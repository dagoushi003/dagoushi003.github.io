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3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29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61"/>
  <sheetViews>
    <sheetView workbookViewId="0">
      <pane ySplit="1" topLeftCell="A44" activePane="bottomLeft" state="frozen"/>
      <selection activeCell="A1" sqref="A1"/>
      <selection pane="bottomLeft" activeCell="K2" sqref="K2:K1048576"/>
    </sheetView>
  </sheetViews>
  <sheetFormatPr baseColWidth="8" defaultColWidth="9" defaultRowHeight="13.5"/>
  <cols>
    <col width="15.625" customWidth="1" min="1" max="10"/>
    <col width="20.625" customWidth="1" style="4" min="11" max="12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</row>
    <row r="2">
      <c r="A2" t="inlineStr">
        <is>
          <t>2026-06-19</t>
        </is>
      </c>
      <c r="B2" t="inlineStr">
        <is>
          <t>159001</t>
        </is>
      </c>
      <c r="C2" t="inlineStr">
        <is>
          <t>货币ETF易方达</t>
        </is>
      </c>
      <c r="D2" t="n">
        <v>1734.2761</v>
      </c>
      <c r="E2" t="n">
        <v>1721.4253</v>
      </c>
      <c r="F2" t="n">
        <v>100</v>
      </c>
      <c r="G2" t="n">
        <v>12.8508</v>
      </c>
      <c r="H2" t="n">
        <v>17.342761</v>
      </c>
      <c r="I2" t="n">
        <v>17.214253</v>
      </c>
      <c r="J2" t="n">
        <v>0.128508</v>
      </c>
      <c r="K2" s="4">
        <f>IFERROR(J2/I2,"")</f>
        <v/>
      </c>
      <c r="L2" s="4">
        <f>IFERROR((D2-E2)/E2,"")</f>
        <v/>
      </c>
    </row>
    <row r="3">
      <c r="A3" t="inlineStr">
        <is>
          <t>2026-06-19</t>
        </is>
      </c>
      <c r="B3" t="inlineStr">
        <is>
          <t>159003</t>
        </is>
      </c>
      <c r="C3" t="inlineStr">
        <is>
          <t>招商快线ETF</t>
        </is>
      </c>
      <c r="D3" t="n">
        <v>186.6341</v>
      </c>
      <c r="E3" t="n">
        <v>182.5932</v>
      </c>
      <c r="F3" t="n">
        <v>100</v>
      </c>
      <c r="G3" t="n">
        <v>4.0409</v>
      </c>
      <c r="H3" t="n">
        <v>1.866341</v>
      </c>
      <c r="I3" t="n">
        <v>1.825932</v>
      </c>
      <c r="J3" t="n">
        <v>0.040409</v>
      </c>
      <c r="K3" s="4">
        <f>IFERROR(J3/I3,"")</f>
        <v/>
      </c>
      <c r="L3" s="4">
        <f>IFERROR((D3-E3)/E3,"")</f>
        <v/>
      </c>
    </row>
    <row r="4">
      <c r="A4" t="inlineStr">
        <is>
          <t>2026-06-19</t>
        </is>
      </c>
      <c r="B4" t="inlineStr">
        <is>
          <t>159005</t>
        </is>
      </c>
      <c r="C4" t="inlineStr">
        <is>
          <t>快钱ETF汇添富</t>
        </is>
      </c>
      <c r="D4" t="n">
        <v>111.7235</v>
      </c>
      <c r="E4" t="n">
        <v>114.6613</v>
      </c>
      <c r="F4" t="n">
        <v>100</v>
      </c>
      <c r="G4" t="n">
        <v>-2.9378</v>
      </c>
      <c r="H4" t="n">
        <v>1.117235</v>
      </c>
      <c r="I4" t="n">
        <v>1.146613</v>
      </c>
      <c r="J4" t="n">
        <v>-0.029378</v>
      </c>
      <c r="K4" s="4">
        <f>IFERROR(J4/I4,"")</f>
        <v/>
      </c>
      <c r="L4" s="4">
        <f>IFERROR((D4-E4)/E4,"")</f>
        <v/>
      </c>
    </row>
    <row r="5">
      <c r="A5" t="inlineStr">
        <is>
          <t>2026-06-19</t>
        </is>
      </c>
      <c r="B5" t="inlineStr">
        <is>
          <t>159007</t>
        </is>
      </c>
      <c r="C5" t="inlineStr">
        <is>
          <t>养殖ETF华泰柏瑞</t>
        </is>
      </c>
      <c r="D5" t="n">
        <v>20260.3274</v>
      </c>
      <c r="E5" t="n">
        <v>20560.3274</v>
      </c>
      <c r="F5" t="n">
        <v>0.8081</v>
      </c>
      <c r="G5" t="n">
        <v>-300</v>
      </c>
      <c r="H5" t="n">
        <v>1.637237</v>
      </c>
      <c r="I5" t="n">
        <v>1.685124</v>
      </c>
      <c r="J5" t="n">
        <v>-0.047887</v>
      </c>
      <c r="K5" s="4">
        <f>IFERROR(J5/I5,"")</f>
        <v/>
      </c>
      <c r="L5" s="4">
        <f>IFERROR((D5-E5)/E5,"")</f>
        <v/>
      </c>
    </row>
    <row r="6">
      <c r="A6" t="inlineStr">
        <is>
          <t>2026-06-19</t>
        </is>
      </c>
      <c r="B6" t="inlineStr">
        <is>
          <t>159008</t>
        </is>
      </c>
      <c r="C6" t="inlineStr">
        <is>
          <t>证券ETF景顺</t>
        </is>
      </c>
      <c r="D6" t="n">
        <v>16428.4531</v>
      </c>
      <c r="E6" t="n">
        <v>16428.4531</v>
      </c>
      <c r="F6" t="n">
        <v>1.0097</v>
      </c>
      <c r="G6" t="n">
        <v>0</v>
      </c>
      <c r="H6" t="n">
        <v>1.658781</v>
      </c>
      <c r="I6" t="n">
        <v>1.661081</v>
      </c>
      <c r="J6" t="n">
        <v>-0.0023</v>
      </c>
      <c r="K6" s="4">
        <f>IFERROR(J6/I6,"")</f>
        <v/>
      </c>
      <c r="L6" s="4">
        <f>IFERROR((D6-E6)/E6,"")</f>
        <v/>
      </c>
    </row>
    <row r="7">
      <c r="A7" t="inlineStr">
        <is>
          <t>2026-06-19</t>
        </is>
      </c>
      <c r="B7" t="inlineStr">
        <is>
          <t>159009</t>
        </is>
      </c>
      <c r="C7" t="inlineStr">
        <is>
          <t>创业板新能源ETF易方达</t>
        </is>
      </c>
      <c r="D7" t="n">
        <v>5339.2703</v>
      </c>
      <c r="E7" t="n">
        <v>5539.2703</v>
      </c>
      <c r="F7" t="n">
        <v>1.0994</v>
      </c>
      <c r="G7" t="n">
        <v>-200</v>
      </c>
      <c r="H7" t="n">
        <v>0.586999</v>
      </c>
      <c r="I7" t="n">
        <v>0.6107050000000001</v>
      </c>
      <c r="J7" t="n">
        <v>-0.023706</v>
      </c>
      <c r="K7" s="4">
        <f>IFERROR(J7/I7,"")</f>
        <v/>
      </c>
      <c r="L7" s="4">
        <f>IFERROR((D7-E7)/E7,"")</f>
        <v/>
      </c>
    </row>
    <row r="8">
      <c r="A8" t="inlineStr">
        <is>
          <t>2026-06-19</t>
        </is>
      </c>
      <c r="B8" t="inlineStr">
        <is>
          <t>159010</t>
        </is>
      </c>
      <c r="C8" t="inlineStr">
        <is>
          <t>港股通科技ETF博时</t>
        </is>
      </c>
      <c r="D8" t="n">
        <v>25609.7611</v>
      </c>
      <c r="E8" t="n">
        <v>25259.7611</v>
      </c>
      <c r="F8" t="n">
        <v>0.9401</v>
      </c>
      <c r="G8" t="n">
        <v>350</v>
      </c>
      <c r="H8" t="n">
        <v>2.407574</v>
      </c>
      <c r="I8" t="n">
        <v>2.353452</v>
      </c>
      <c r="J8" t="n">
        <v>0.054122</v>
      </c>
      <c r="K8" s="4">
        <f>IFERROR(J8/I8,"")</f>
        <v/>
      </c>
      <c r="L8" s="4">
        <f>IFERROR((D8-E8)/E8,"")</f>
        <v/>
      </c>
    </row>
    <row r="9">
      <c r="A9" t="inlineStr">
        <is>
          <t>2026-06-19</t>
        </is>
      </c>
      <c r="B9" t="inlineStr">
        <is>
          <t>159011</t>
        </is>
      </c>
      <c r="C9" t="inlineStr">
        <is>
          <t>养殖ETF华安</t>
        </is>
      </c>
      <c r="D9" t="n">
        <v>11150.5168</v>
      </c>
      <c r="E9" t="n">
        <v>12250.5168</v>
      </c>
      <c r="F9" t="n">
        <v>0.9779</v>
      </c>
      <c r="G9" t="n">
        <v>-1100</v>
      </c>
      <c r="H9" t="n">
        <v>1.090409</v>
      </c>
      <c r="I9" t="n">
        <v>1.214516</v>
      </c>
      <c r="J9" t="n">
        <v>-0.124107</v>
      </c>
      <c r="K9" s="4">
        <f>IFERROR(J9/I9,"")</f>
        <v/>
      </c>
      <c r="L9" s="4">
        <f>IFERROR((D9-E9)/E9,"")</f>
        <v/>
      </c>
    </row>
    <row r="10">
      <c r="A10" t="inlineStr">
        <is>
          <t>2026-06-19</t>
        </is>
      </c>
      <c r="B10" t="inlineStr">
        <is>
          <t>159012</t>
        </is>
      </c>
      <c r="C10" t="inlineStr">
        <is>
          <t>科创创业50ETF鹏华</t>
        </is>
      </c>
      <c r="D10" t="n">
        <v>7788.1148</v>
      </c>
      <c r="E10" t="n">
        <v>8688.114799999999</v>
      </c>
      <c r="F10" t="n">
        <v>1.1024</v>
      </c>
      <c r="G10" t="n">
        <v>-900</v>
      </c>
      <c r="H10" t="n">
        <v>0.858562</v>
      </c>
      <c r="I10" t="n">
        <v>0.9318</v>
      </c>
      <c r="J10" t="n">
        <v>-0.073238</v>
      </c>
      <c r="K10" s="4">
        <f>IFERROR(J10/I10,"")</f>
        <v/>
      </c>
      <c r="L10" s="4">
        <f>IFERROR((D10-E10)/E10,"")</f>
        <v/>
      </c>
    </row>
    <row r="11">
      <c r="A11" t="inlineStr">
        <is>
          <t>2026-06-19</t>
        </is>
      </c>
      <c r="B11" t="inlineStr">
        <is>
          <t>159013</t>
        </is>
      </c>
      <c r="C11" t="inlineStr">
        <is>
          <t>工业互联网ETF大成</t>
        </is>
      </c>
      <c r="D11" t="n">
        <v>5057.8881</v>
      </c>
      <c r="E11" t="n">
        <v>5457.8881</v>
      </c>
      <c r="F11" t="n">
        <v>1.1427</v>
      </c>
      <c r="G11" t="n">
        <v>-400</v>
      </c>
      <c r="H11" t="n">
        <v>0.577965</v>
      </c>
      <c r="I11" t="n">
        <v>0.610792</v>
      </c>
      <c r="J11" t="n">
        <v>-0.032827</v>
      </c>
      <c r="K11" s="4">
        <f>IFERROR(J11/I11,"")</f>
        <v/>
      </c>
      <c r="L11" s="4">
        <f>IFERROR((D11-E11)/E11,"")</f>
        <v/>
      </c>
    </row>
    <row r="12">
      <c r="A12" t="inlineStr">
        <is>
          <t>2026-06-19</t>
        </is>
      </c>
      <c r="B12" t="inlineStr">
        <is>
          <t>159015</t>
        </is>
      </c>
      <c r="C12" t="inlineStr">
        <is>
          <t>恒生港股通科技ETF国联</t>
        </is>
      </c>
      <c r="D12" t="n">
        <v>13335.2934</v>
      </c>
      <c r="E12" t="n">
        <v>13335.2934</v>
      </c>
      <c r="F12" t="n">
        <v>0.9273</v>
      </c>
      <c r="G12" t="n">
        <v>0</v>
      </c>
      <c r="H12" t="n">
        <v>1.236582</v>
      </c>
      <c r="I12" t="n">
        <v>1.225513</v>
      </c>
      <c r="J12" t="n">
        <v>0.011069</v>
      </c>
      <c r="K12" s="4">
        <f>IFERROR(J12/I12,"")</f>
        <v/>
      </c>
      <c r="L12" s="4">
        <f>IFERROR((D12-E12)/E12,"")</f>
        <v/>
      </c>
    </row>
    <row r="13">
      <c r="A13" t="inlineStr">
        <is>
          <t>2026-06-19</t>
        </is>
      </c>
      <c r="B13" t="inlineStr">
        <is>
          <t>159016</t>
        </is>
      </c>
      <c r="C13" t="inlineStr">
        <is>
          <t>证券ETF广发</t>
        </is>
      </c>
      <c r="D13" t="n">
        <v>21204.0154</v>
      </c>
      <c r="E13" t="n">
        <v>21254.0154</v>
      </c>
      <c r="F13" t="n">
        <v>1.0045</v>
      </c>
      <c r="G13" t="n">
        <v>-50</v>
      </c>
      <c r="H13" t="n">
        <v>2.129943</v>
      </c>
      <c r="I13" t="n">
        <v>2.137091</v>
      </c>
      <c r="J13" t="n">
        <v>-0.007148</v>
      </c>
      <c r="K13" s="4">
        <f>IFERROR(J13/I13,"")</f>
        <v/>
      </c>
      <c r="L13" s="4">
        <f>IFERROR((D13-E13)/E13,"")</f>
        <v/>
      </c>
    </row>
    <row r="14">
      <c r="A14" t="inlineStr">
        <is>
          <t>2026-06-19</t>
        </is>
      </c>
      <c r="B14" t="inlineStr">
        <is>
          <t>159017</t>
        </is>
      </c>
      <c r="C14" t="inlineStr">
        <is>
          <t>石油ETF工银</t>
        </is>
      </c>
      <c r="D14" t="n">
        <v>16725.6813</v>
      </c>
      <c r="E14" t="n">
        <v>16725.6813</v>
      </c>
      <c r="F14" t="n">
        <v>0.8935</v>
      </c>
      <c r="G14" t="n">
        <v>0</v>
      </c>
      <c r="H14" t="n">
        <v>1.49444</v>
      </c>
      <c r="I14" t="n">
        <v>1.48591</v>
      </c>
      <c r="J14" t="n">
        <v>0.008529999999999999</v>
      </c>
      <c r="K14" s="4">
        <f>IFERROR(J14/I14,"")</f>
        <v/>
      </c>
      <c r="L14" s="4">
        <f>IFERROR((D14-E14)/E14,"")</f>
        <v/>
      </c>
    </row>
    <row r="15">
      <c r="A15" t="inlineStr">
        <is>
          <t>2026-06-19</t>
        </is>
      </c>
      <c r="B15" t="inlineStr">
        <is>
          <t>159018</t>
        </is>
      </c>
      <c r="C15" t="inlineStr">
        <is>
          <t>石油ETF广发</t>
        </is>
      </c>
      <c r="D15" t="n">
        <v>3290.4203</v>
      </c>
      <c r="E15" t="n">
        <v>3390.4203</v>
      </c>
      <c r="F15" t="n">
        <v>0.8847</v>
      </c>
      <c r="G15" t="n">
        <v>-100</v>
      </c>
      <c r="H15" t="n">
        <v>0.291103</v>
      </c>
      <c r="I15" t="n">
        <v>0.298221</v>
      </c>
      <c r="J15" t="n">
        <v>-0.007118</v>
      </c>
      <c r="K15" s="4">
        <f>IFERROR(J15/I15,"")</f>
        <v/>
      </c>
      <c r="L15" s="4">
        <f>IFERROR((D15-E15)/E15,"")</f>
        <v/>
      </c>
    </row>
    <row r="16">
      <c r="A16" t="inlineStr">
        <is>
          <t>2026-06-19</t>
        </is>
      </c>
      <c r="B16" t="inlineStr">
        <is>
          <t>159019</t>
        </is>
      </c>
      <c r="C16" t="inlineStr">
        <is>
          <t>石油ETF华宝</t>
        </is>
      </c>
      <c r="D16" t="n">
        <v>6332.7711</v>
      </c>
      <c r="E16" t="n">
        <v>6832.7711</v>
      </c>
      <c r="F16" t="n">
        <v>0.9024</v>
      </c>
      <c r="G16" t="n">
        <v>-500</v>
      </c>
      <c r="H16" t="n">
        <v>0.571469</v>
      </c>
      <c r="I16" t="n">
        <v>0.613036</v>
      </c>
      <c r="J16" t="n">
        <v>-0.041567</v>
      </c>
      <c r="K16" s="4">
        <f>IFERROR(J16/I16,"")</f>
        <v/>
      </c>
      <c r="L16" s="4">
        <f>IFERROR((D16-E16)/E16,"")</f>
        <v/>
      </c>
    </row>
    <row r="17">
      <c r="A17" t="inlineStr">
        <is>
          <t>2026-06-19</t>
        </is>
      </c>
      <c r="B17" t="inlineStr">
        <is>
          <t>159020</t>
        </is>
      </c>
      <c r="C17" t="inlineStr">
        <is>
          <t>养殖ETF易方达</t>
        </is>
      </c>
      <c r="D17" t="n">
        <v>10756.7082</v>
      </c>
      <c r="E17" t="n">
        <v>10756.7082</v>
      </c>
      <c r="F17" t="n">
        <v>0.835</v>
      </c>
      <c r="G17" t="n">
        <v>0</v>
      </c>
      <c r="H17" t="n">
        <v>0.898185</v>
      </c>
      <c r="I17" t="n">
        <v>0.910986</v>
      </c>
      <c r="J17" t="n">
        <v>-0.012801</v>
      </c>
      <c r="K17" s="4">
        <f>IFERROR(J17/I17,"")</f>
        <v/>
      </c>
      <c r="L17" s="4">
        <f>IFERROR((D17-E17)/E17,"")</f>
        <v/>
      </c>
    </row>
    <row r="18">
      <c r="A18" t="inlineStr">
        <is>
          <t>2026-06-19</t>
        </is>
      </c>
      <c r="B18" t="inlineStr">
        <is>
          <t>159021</t>
        </is>
      </c>
      <c r="C18" t="inlineStr">
        <is>
          <t>大盘价值ETF华夏</t>
        </is>
      </c>
      <c r="D18" t="n">
        <v>19090.7712</v>
      </c>
      <c r="E18" t="n">
        <v>19090.7712</v>
      </c>
      <c r="F18" t="n">
        <v>0.9553</v>
      </c>
      <c r="G18" t="n">
        <v>0</v>
      </c>
      <c r="H18" t="n">
        <v>1.823741</v>
      </c>
      <c r="I18" t="n">
        <v>1.83405</v>
      </c>
      <c r="J18" t="n">
        <v>-0.010309</v>
      </c>
      <c r="K18" s="4">
        <f>IFERROR(J18/I18,"")</f>
        <v/>
      </c>
      <c r="L18" s="4">
        <f>IFERROR((D18-E18)/E18,"")</f>
        <v/>
      </c>
    </row>
    <row r="19">
      <c r="A19" t="inlineStr">
        <is>
          <t>2026-06-19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11163.0967</v>
      </c>
      <c r="E19" t="n">
        <v>11463.0967</v>
      </c>
      <c r="F19" t="n">
        <v>1.1664</v>
      </c>
      <c r="G19" t="n">
        <v>-300</v>
      </c>
      <c r="H19" t="n">
        <v>1.302064</v>
      </c>
      <c r="I19" t="n">
        <v>1.300488</v>
      </c>
      <c r="J19" t="n">
        <v>0.001576</v>
      </c>
      <c r="K19" s="4">
        <f>IFERROR(J19/I19,"")</f>
        <v/>
      </c>
      <c r="L19" s="4">
        <f>IFERROR((D19-E19)/E19,"")</f>
        <v/>
      </c>
    </row>
    <row r="20">
      <c r="A20" t="inlineStr">
        <is>
          <t>2026-06-19</t>
        </is>
      </c>
      <c r="B20" t="inlineStr">
        <is>
          <t>159023</t>
        </is>
      </c>
      <c r="C20" t="inlineStr">
        <is>
          <t>养殖ETF万家</t>
        </is>
      </c>
      <c r="D20" t="n">
        <v>12777.7943</v>
      </c>
      <c r="E20" t="n">
        <v>12977.7943</v>
      </c>
      <c r="F20" t="n">
        <v>0.9837</v>
      </c>
      <c r="G20" t="n">
        <v>-200</v>
      </c>
      <c r="H20" t="n">
        <v>1.256952</v>
      </c>
      <c r="I20" t="n">
        <v>1.294924</v>
      </c>
      <c r="J20" t="n">
        <v>-0.037972</v>
      </c>
      <c r="K20" s="4">
        <f>IFERROR(J20/I20,"")</f>
        <v/>
      </c>
      <c r="L20" s="4">
        <f>IFERROR((D20-E20)/E20,"")</f>
        <v/>
      </c>
    </row>
    <row r="21">
      <c r="A21" t="inlineStr">
        <is>
          <t>2026-06-19</t>
        </is>
      </c>
      <c r="B21" t="inlineStr">
        <is>
          <t>159026</t>
        </is>
      </c>
      <c r="C21" t="inlineStr">
        <is>
          <t>石油ETF南方</t>
        </is>
      </c>
      <c r="D21" t="n">
        <v>6051.3446</v>
      </c>
      <c r="E21" t="n">
        <v>6051.3446</v>
      </c>
      <c r="F21" t="n">
        <v>0.8991</v>
      </c>
      <c r="G21" t="n">
        <v>0</v>
      </c>
      <c r="H21" t="n">
        <v>0.544076</v>
      </c>
      <c r="I21" t="n">
        <v>0.54093</v>
      </c>
      <c r="J21" t="n">
        <v>0.003146</v>
      </c>
      <c r="K21" s="4">
        <f>IFERROR(J21/I21,"")</f>
        <v/>
      </c>
      <c r="L21" s="4">
        <f>IFERROR((D21-E21)/E21,"")</f>
        <v/>
      </c>
    </row>
    <row r="22">
      <c r="A22" t="inlineStr">
        <is>
          <t>2026-06-19</t>
        </is>
      </c>
      <c r="B22" t="inlineStr">
        <is>
          <t>159027</t>
        </is>
      </c>
      <c r="C22" t="inlineStr">
        <is>
          <t>畜牧养殖ETF大成</t>
        </is>
      </c>
      <c r="D22" t="n">
        <v>13647.2283</v>
      </c>
      <c r="E22" t="n">
        <v>13547.2283</v>
      </c>
      <c r="F22" t="n">
        <v>0.8353</v>
      </c>
      <c r="G22" t="n">
        <v>100</v>
      </c>
      <c r="H22" t="n">
        <v>1.139953</v>
      </c>
      <c r="I22" t="n">
        <v>1.147721</v>
      </c>
      <c r="J22" t="n">
        <v>-0.007768</v>
      </c>
      <c r="K22" s="4">
        <f>IFERROR(J22/I22,"")</f>
        <v/>
      </c>
      <c r="L22" s="4">
        <f>IFERROR((D22-E22)/E22,"")</f>
        <v/>
      </c>
    </row>
    <row r="23">
      <c r="A23" t="inlineStr">
        <is>
          <t>2026-06-19</t>
        </is>
      </c>
      <c r="B23" t="inlineStr">
        <is>
          <t>159028</t>
        </is>
      </c>
      <c r="C23" t="inlineStr">
        <is>
          <t>港股汽车ETF天弘</t>
        </is>
      </c>
      <c r="D23" t="n">
        <v>14244.9016</v>
      </c>
      <c r="E23" t="n">
        <v>14444.9016</v>
      </c>
      <c r="F23" t="n">
        <v>0.8344</v>
      </c>
      <c r="G23" t="n">
        <v>-200</v>
      </c>
      <c r="H23" t="n">
        <v>1.188595</v>
      </c>
      <c r="I23" t="n">
        <v>1.226805</v>
      </c>
      <c r="J23" t="n">
        <v>-0.03821</v>
      </c>
      <c r="K23" s="4">
        <f>IFERROR(J23/I23,"")</f>
        <v/>
      </c>
      <c r="L23" s="4">
        <f>IFERROR((D23-E23)/E23,"")</f>
        <v/>
      </c>
    </row>
    <row r="24">
      <c r="A24" t="inlineStr">
        <is>
          <t>2026-06-19</t>
        </is>
      </c>
      <c r="B24" t="inlineStr">
        <is>
          <t>159029</t>
        </is>
      </c>
      <c r="C24" t="inlineStr">
        <is>
          <t>有色ETF广发</t>
        </is>
      </c>
      <c r="D24" t="n">
        <v>29512.7717</v>
      </c>
      <c r="E24" t="n">
        <v>30512.7717</v>
      </c>
      <c r="F24" t="n">
        <v>0.984</v>
      </c>
      <c r="G24" t="n">
        <v>-1000</v>
      </c>
      <c r="H24" t="n">
        <v>2.904057</v>
      </c>
      <c r="I24" t="n">
        <v>3.010085</v>
      </c>
      <c r="J24" t="n">
        <v>-0.106028</v>
      </c>
      <c r="K24" s="4">
        <f>IFERROR(J24/I24,"")</f>
        <v/>
      </c>
      <c r="L24" s="4">
        <f>IFERROR((D24-E24)/E24,"")</f>
        <v/>
      </c>
    </row>
    <row r="25">
      <c r="A25" t="inlineStr">
        <is>
          <t>2026-06-19</t>
        </is>
      </c>
      <c r="B25" t="inlineStr">
        <is>
          <t>159030</t>
        </is>
      </c>
      <c r="C25" t="inlineStr">
        <is>
          <t>粮食ETF华夏</t>
        </is>
      </c>
      <c r="D25" t="n">
        <v>34796.8176</v>
      </c>
      <c r="E25" t="n">
        <v>34946.8176</v>
      </c>
      <c r="F25" t="n">
        <v>0.8323</v>
      </c>
      <c r="G25" t="n">
        <v>-150</v>
      </c>
      <c r="H25" t="n">
        <v>2.896139</v>
      </c>
      <c r="I25" t="n">
        <v>2.96349</v>
      </c>
      <c r="J25" t="n">
        <v>-0.06735099999999999</v>
      </c>
      <c r="K25" s="4">
        <f>IFERROR(J25/I25,"")</f>
        <v/>
      </c>
      <c r="L25" s="4">
        <f>IFERROR((D25-E25)/E25,"")</f>
        <v/>
      </c>
    </row>
    <row r="26">
      <c r="A26" t="inlineStr">
        <is>
          <t>2026-06-19</t>
        </is>
      </c>
      <c r="B26" t="inlineStr">
        <is>
          <t>159031</t>
        </is>
      </c>
      <c r="C26" t="inlineStr">
        <is>
          <t>粮食ETF博时</t>
        </is>
      </c>
      <c r="D26" t="n">
        <v>55952.8624</v>
      </c>
      <c r="E26" t="n">
        <v>56102.8624</v>
      </c>
      <c r="F26" t="n">
        <v>0.9274</v>
      </c>
      <c r="G26" t="n">
        <v>-150</v>
      </c>
      <c r="H26" t="n">
        <v>5.189068</v>
      </c>
      <c r="I26" t="n">
        <v>5.298915</v>
      </c>
      <c r="J26" t="n">
        <v>-0.109847</v>
      </c>
      <c r="K26" s="4">
        <f>IFERROR(J26/I26,"")</f>
        <v/>
      </c>
      <c r="L26" s="4">
        <f>IFERROR((D26-E26)/E26,"")</f>
        <v/>
      </c>
    </row>
    <row r="27">
      <c r="A27" t="inlineStr">
        <is>
          <t>2026-06-19</t>
        </is>
      </c>
      <c r="B27" t="inlineStr">
        <is>
          <t>159032</t>
        </is>
      </c>
      <c r="C27" t="inlineStr">
        <is>
          <t>工业有色ETF易方达</t>
        </is>
      </c>
      <c r="D27" t="n">
        <v>26284.5019</v>
      </c>
      <c r="E27" t="n">
        <v>26584.5019</v>
      </c>
      <c r="F27" t="n">
        <v>0.9688</v>
      </c>
      <c r="G27" t="n">
        <v>-300</v>
      </c>
      <c r="H27" t="n">
        <v>2.546443</v>
      </c>
      <c r="I27" t="n">
        <v>2.575772</v>
      </c>
      <c r="J27" t="n">
        <v>-0.029329</v>
      </c>
      <c r="K27" s="4">
        <f>IFERROR(J27/I27,"")</f>
        <v/>
      </c>
      <c r="L27" s="4">
        <f>IFERROR((D27-E27)/E27,"")</f>
        <v/>
      </c>
    </row>
    <row r="28">
      <c r="A28" t="inlineStr">
        <is>
          <t>2026-06-19</t>
        </is>
      </c>
      <c r="B28" t="inlineStr">
        <is>
          <t>159033</t>
        </is>
      </c>
      <c r="C28" t="inlineStr">
        <is>
          <t>粮食ETF国泰</t>
        </is>
      </c>
      <c r="D28" t="n">
        <v>20832.3473</v>
      </c>
      <c r="E28" t="n">
        <v>20932.3473</v>
      </c>
      <c r="F28" t="n">
        <v>0.9454</v>
      </c>
      <c r="G28" t="n">
        <v>-100</v>
      </c>
      <c r="H28" t="n">
        <v>1.96949</v>
      </c>
      <c r="I28" t="n">
        <v>2.015994</v>
      </c>
      <c r="J28" t="n">
        <v>-0.046504</v>
      </c>
      <c r="K28" s="4">
        <f>IFERROR(J28/I28,"")</f>
        <v/>
      </c>
      <c r="L28" s="4">
        <f>IFERROR((D28-E28)/E28,"")</f>
        <v/>
      </c>
    </row>
    <row r="29">
      <c r="A29" t="inlineStr">
        <is>
          <t>2026-06-19</t>
        </is>
      </c>
      <c r="B29" t="inlineStr">
        <is>
          <t>159035</t>
        </is>
      </c>
      <c r="C29" t="inlineStr">
        <is>
          <t>软件ETF天弘</t>
        </is>
      </c>
      <c r="D29" t="n">
        <v>34885.9726</v>
      </c>
      <c r="E29" t="n">
        <v>34885.9726</v>
      </c>
      <c r="F29" t="n">
        <v>0.8429</v>
      </c>
      <c r="G29" t="n">
        <v>0</v>
      </c>
      <c r="H29" t="n">
        <v>2.940539</v>
      </c>
      <c r="I29" t="n">
        <v>2.951702</v>
      </c>
      <c r="J29" t="n">
        <v>-0.011163</v>
      </c>
      <c r="K29" s="4">
        <f>IFERROR(J29/I29,"")</f>
        <v/>
      </c>
      <c r="L29" s="4">
        <f>IFERROR((D29-E29)/E29,"")</f>
        <v/>
      </c>
    </row>
    <row r="30">
      <c r="A30" t="inlineStr">
        <is>
          <t>2026-06-19</t>
        </is>
      </c>
      <c r="B30" t="inlineStr">
        <is>
          <t>159036</t>
        </is>
      </c>
      <c r="C30" t="inlineStr">
        <is>
          <t>软件开发ETF华宝</t>
        </is>
      </c>
      <c r="D30" t="n">
        <v>40274.0164</v>
      </c>
      <c r="E30" t="n">
        <v>40774.0164</v>
      </c>
      <c r="F30" t="n">
        <v>0.9808</v>
      </c>
      <c r="G30" t="n">
        <v>-500</v>
      </c>
      <c r="H30" t="n">
        <v>3.950076</v>
      </c>
      <c r="I30" t="n">
        <v>4.021133</v>
      </c>
      <c r="J30" t="n">
        <v>-0.071057</v>
      </c>
      <c r="K30" s="4">
        <f>IFERROR(J30/I30,"")</f>
        <v/>
      </c>
      <c r="L30" s="4">
        <f>IFERROR((D30-E30)/E30,"")</f>
        <v/>
      </c>
    </row>
    <row r="31">
      <c r="A31" t="inlineStr">
        <is>
          <t>2026-06-19</t>
        </is>
      </c>
      <c r="B31" t="inlineStr">
        <is>
          <t>159037</t>
        </is>
      </c>
      <c r="C31" t="inlineStr">
        <is>
          <t>价值ETF鹏华</t>
        </is>
      </c>
      <c r="D31" t="n">
        <v>18124.9832</v>
      </c>
      <c r="E31" t="n">
        <v>19224.9832</v>
      </c>
      <c r="F31" t="n">
        <v>0.9625</v>
      </c>
      <c r="G31" t="n">
        <v>-1100</v>
      </c>
      <c r="H31" t="n">
        <v>1.74453</v>
      </c>
      <c r="I31" t="n">
        <v>1.86367</v>
      </c>
      <c r="J31" t="n">
        <v>-0.11914</v>
      </c>
      <c r="K31" s="4">
        <f>IFERROR(J31/I31,"")</f>
        <v/>
      </c>
      <c r="L31" s="4">
        <f>IFERROR((D31-E31)/E31,"")</f>
        <v/>
      </c>
    </row>
    <row r="32">
      <c r="A32" t="inlineStr">
        <is>
          <t>2026-06-19</t>
        </is>
      </c>
      <c r="B32" t="inlineStr">
        <is>
          <t>159038</t>
        </is>
      </c>
      <c r="C32" t="inlineStr">
        <is>
          <t>粮食ETF易方达</t>
        </is>
      </c>
      <c r="D32" t="n">
        <v>18902.6939</v>
      </c>
      <c r="E32" t="n">
        <v>19102.6939</v>
      </c>
      <c r="F32" t="n">
        <v>0.8909</v>
      </c>
      <c r="G32" t="n">
        <v>-200</v>
      </c>
      <c r="H32" t="n">
        <v>1.684041</v>
      </c>
      <c r="I32" t="n">
        <v>1.73376</v>
      </c>
      <c r="J32" t="n">
        <v>-0.049719</v>
      </c>
      <c r="K32" s="4">
        <f>IFERROR(J32/I32,"")</f>
        <v/>
      </c>
      <c r="L32" s="4">
        <f>IFERROR((D32-E32)/E32,"")</f>
        <v/>
      </c>
    </row>
    <row r="33">
      <c r="A33" t="inlineStr">
        <is>
          <t>2026-06-19</t>
        </is>
      </c>
      <c r="B33" t="inlineStr">
        <is>
          <t>159041</t>
        </is>
      </c>
      <c r="C33" t="inlineStr">
        <is>
          <t>农业ETF鹏华</t>
        </is>
      </c>
      <c r="D33" t="n">
        <v>16847.1832</v>
      </c>
      <c r="E33" t="n">
        <v>17247.1832</v>
      </c>
      <c r="F33" t="n">
        <v>0.9546</v>
      </c>
      <c r="G33" t="n">
        <v>-400</v>
      </c>
      <c r="H33" t="n">
        <v>1.608232</v>
      </c>
      <c r="I33" t="n">
        <v>1.668837</v>
      </c>
      <c r="J33" t="n">
        <v>-0.060605</v>
      </c>
      <c r="K33" s="4">
        <f>IFERROR(J33/I33,"")</f>
        <v/>
      </c>
      <c r="L33" s="4">
        <f>IFERROR((D33-E33)/E33,"")</f>
        <v/>
      </c>
    </row>
    <row r="34">
      <c r="A34" t="inlineStr">
        <is>
          <t>2026-06-19</t>
        </is>
      </c>
      <c r="B34" t="inlineStr">
        <is>
          <t>159042</t>
        </is>
      </c>
      <c r="C34" t="inlineStr">
        <is>
          <t>价值ETF汇添富</t>
        </is>
      </c>
      <c r="D34" t="n">
        <v>19480.1105</v>
      </c>
      <c r="E34" t="n">
        <v>19780.1105</v>
      </c>
      <c r="F34" t="n">
        <v>0.9637</v>
      </c>
      <c r="G34" t="n">
        <v>-300</v>
      </c>
      <c r="H34" t="n">
        <v>1.877298</v>
      </c>
      <c r="I34" t="n">
        <v>1.920055</v>
      </c>
      <c r="J34" t="n">
        <v>-0.042757</v>
      </c>
      <c r="K34" s="4">
        <f>IFERROR(J34/I34,"")</f>
        <v/>
      </c>
      <c r="L34" s="4">
        <f>IFERROR((D34-E34)/E34,"")</f>
        <v/>
      </c>
    </row>
    <row r="35">
      <c r="A35" t="inlineStr">
        <is>
          <t>2026-06-19</t>
        </is>
      </c>
      <c r="B35" t="inlineStr">
        <is>
          <t>159046</t>
        </is>
      </c>
      <c r="C35" t="inlineStr">
        <is>
          <t>绿电ETF天弘</t>
        </is>
      </c>
      <c r="D35" t="n">
        <v>46197.6854</v>
      </c>
      <c r="E35" t="n">
        <v>47147.6854</v>
      </c>
      <c r="F35" t="n">
        <v>0.9877</v>
      </c>
      <c r="G35" t="n">
        <v>-950</v>
      </c>
      <c r="H35" t="n">
        <v>4.562945</v>
      </c>
      <c r="I35" t="n">
        <v>4.68978</v>
      </c>
      <c r="J35" t="n">
        <v>-0.126835</v>
      </c>
      <c r="K35" s="4">
        <f>IFERROR(J35/I35,"")</f>
        <v/>
      </c>
      <c r="L35" s="4">
        <f>IFERROR((D35-E35)/E35,"")</f>
        <v/>
      </c>
    </row>
    <row r="36">
      <c r="A36" t="inlineStr">
        <is>
          <t>2026-06-19</t>
        </is>
      </c>
      <c r="B36" t="inlineStr">
        <is>
          <t>159048</t>
        </is>
      </c>
      <c r="C36" t="inlineStr">
        <is>
          <t>机器人ETF大成</t>
        </is>
      </c>
      <c r="D36" t="n">
        <v>18080.3897</v>
      </c>
      <c r="E36" t="n">
        <v>20080.3897</v>
      </c>
      <c r="F36" t="n">
        <v>1.0271</v>
      </c>
      <c r="G36" t="n">
        <v>-2000</v>
      </c>
      <c r="H36" t="n">
        <v>1.857037</v>
      </c>
      <c r="I36" t="n">
        <v>2.079124</v>
      </c>
      <c r="J36" t="n">
        <v>-0.222087</v>
      </c>
      <c r="K36" s="4">
        <f>IFERROR(J36/I36,"")</f>
        <v/>
      </c>
      <c r="L36" s="4">
        <f>IFERROR((D36-E36)/E36,"")</f>
        <v/>
      </c>
    </row>
    <row r="37">
      <c r="A37" t="inlineStr">
        <is>
          <t>2026-06-19</t>
        </is>
      </c>
      <c r="B37" t="inlineStr">
        <is>
          <t>159050</t>
        </is>
      </c>
      <c r="C37" t="inlineStr">
        <is>
          <t>机器人ETF广发</t>
        </is>
      </c>
      <c r="D37" t="n">
        <v>23270.3612</v>
      </c>
      <c r="E37" t="n">
        <v>24370.3612</v>
      </c>
      <c r="F37" t="n">
        <v>1.0134</v>
      </c>
      <c r="G37" t="n">
        <v>-1100</v>
      </c>
      <c r="H37" t="n">
        <v>2.358218</v>
      </c>
      <c r="I37" t="n">
        <v>2.48992</v>
      </c>
      <c r="J37" t="n">
        <v>-0.131702</v>
      </c>
      <c r="K37" s="4">
        <f>IFERROR(J37/I37,"")</f>
        <v/>
      </c>
      <c r="L37" s="4">
        <f>IFERROR((D37-E37)/E37,"")</f>
        <v/>
      </c>
    </row>
    <row r="38">
      <c r="A38" t="inlineStr">
        <is>
          <t>2026-06-19</t>
        </is>
      </c>
      <c r="B38" t="inlineStr">
        <is>
          <t>159051</t>
        </is>
      </c>
      <c r="C38" t="inlineStr">
        <is>
          <t>医疗器械ETF易方达</t>
        </is>
      </c>
      <c r="D38" t="n">
        <v>22511.7894</v>
      </c>
      <c r="E38" t="n">
        <v>22911.7894</v>
      </c>
      <c r="F38" t="n">
        <v>0.9814000000000001</v>
      </c>
      <c r="G38" t="n">
        <v>-400</v>
      </c>
      <c r="H38" t="n">
        <v>2.209307</v>
      </c>
      <c r="I38" t="n">
        <v>2.262081</v>
      </c>
      <c r="J38" t="n">
        <v>-0.052774</v>
      </c>
      <c r="K38" s="4">
        <f>IFERROR(J38/I38,"")</f>
        <v/>
      </c>
      <c r="L38" s="4">
        <f>IFERROR((D38-E38)/E38,"")</f>
        <v/>
      </c>
    </row>
    <row r="39">
      <c r="A39" t="inlineStr">
        <is>
          <t>2026-06-19</t>
        </is>
      </c>
      <c r="B39" t="inlineStr">
        <is>
          <t>159052</t>
        </is>
      </c>
      <c r="C39" t="inlineStr">
        <is>
          <t>新能源电池ETF嘉实</t>
        </is>
      </c>
      <c r="D39" t="n">
        <v>25292.6092</v>
      </c>
      <c r="E39" t="n">
        <v>30292.6092</v>
      </c>
      <c r="F39" t="n">
        <v>1.0533</v>
      </c>
      <c r="G39" t="n">
        <v>-5000</v>
      </c>
      <c r="H39" t="n">
        <v>2.664071</v>
      </c>
      <c r="I39" t="n">
        <v>3.173151</v>
      </c>
      <c r="J39" t="n">
        <v>-0.50908</v>
      </c>
      <c r="K39" s="4">
        <f>IFERROR(J39/I39,"")</f>
        <v/>
      </c>
      <c r="L39" s="4">
        <f>IFERROR((D39-E39)/E39,"")</f>
        <v/>
      </c>
    </row>
    <row r="40">
      <c r="A40" t="inlineStr">
        <is>
          <t>2026-06-19</t>
        </is>
      </c>
      <c r="B40" t="inlineStr">
        <is>
          <t>159053</t>
        </is>
      </c>
      <c r="C40" t="inlineStr">
        <is>
          <t>稀有金属ETF华夏</t>
        </is>
      </c>
      <c r="D40" t="n">
        <v>12169.8132</v>
      </c>
      <c r="E40" t="n">
        <v>12319.8132</v>
      </c>
      <c r="F40" t="n">
        <v>1.102</v>
      </c>
      <c r="G40" t="n">
        <v>-150</v>
      </c>
      <c r="H40" t="n">
        <v>1.341113</v>
      </c>
      <c r="I40" t="n">
        <v>1.370702</v>
      </c>
      <c r="J40" t="n">
        <v>-0.029589</v>
      </c>
      <c r="K40" s="4">
        <f>IFERROR(J40/I40,"")</f>
        <v/>
      </c>
      <c r="L40" s="4">
        <f>IFERROR((D40-E40)/E40,"")</f>
        <v/>
      </c>
    </row>
    <row r="41">
      <c r="A41" t="inlineStr">
        <is>
          <t>2026-06-19</t>
        </is>
      </c>
      <c r="B41" t="inlineStr">
        <is>
          <t>159055</t>
        </is>
      </c>
      <c r="C41" t="inlineStr">
        <is>
          <t>稀有金属ETF富国</t>
        </is>
      </c>
      <c r="D41" t="n">
        <v>9729.395200000001</v>
      </c>
      <c r="E41" t="n">
        <v>9929.395200000001</v>
      </c>
      <c r="F41" t="n">
        <v>1.1235</v>
      </c>
      <c r="G41" t="n">
        <v>-200</v>
      </c>
      <c r="H41" t="n">
        <v>1.093098</v>
      </c>
      <c r="I41" t="n">
        <v>1.126291</v>
      </c>
      <c r="J41" t="n">
        <v>-0.033193</v>
      </c>
      <c r="K41" s="4">
        <f>IFERROR(J41/I41,"")</f>
        <v/>
      </c>
      <c r="L41" s="4">
        <f>IFERROR((D41-E41)/E41,"")</f>
        <v/>
      </c>
    </row>
    <row r="42">
      <c r="A42" t="inlineStr">
        <is>
          <t>2026-06-19</t>
        </is>
      </c>
      <c r="B42" t="inlineStr">
        <is>
          <t>159056</t>
        </is>
      </c>
      <c r="C42" t="inlineStr">
        <is>
          <t>医疗器械ETF富国</t>
        </is>
      </c>
      <c r="D42" t="n">
        <v>23793.4358</v>
      </c>
      <c r="E42" t="n">
        <v>24493.4358</v>
      </c>
      <c r="F42" t="n">
        <v>0.9798</v>
      </c>
      <c r="G42" t="n">
        <v>-700</v>
      </c>
      <c r="H42" t="n">
        <v>2.331281</v>
      </c>
      <c r="I42" t="n">
        <v>2.414318</v>
      </c>
      <c r="J42" t="n">
        <v>-0.083037</v>
      </c>
      <c r="K42" s="4">
        <f>IFERROR(J42/I42,"")</f>
        <v/>
      </c>
      <c r="L42" s="4">
        <f>IFERROR((D42-E42)/E42,"")</f>
        <v/>
      </c>
    </row>
    <row r="43">
      <c r="A43" t="inlineStr">
        <is>
          <t>2026-06-19</t>
        </is>
      </c>
      <c r="B43" t="inlineStr">
        <is>
          <t>159057</t>
        </is>
      </c>
      <c r="C43" t="inlineStr">
        <is>
          <t>医疗器械ETF鹏华</t>
        </is>
      </c>
      <c r="D43" t="n">
        <v>14071.5334</v>
      </c>
      <c r="E43" t="n">
        <v>14671.5334</v>
      </c>
      <c r="F43" t="n">
        <v>0.9828</v>
      </c>
      <c r="G43" t="n">
        <v>-600</v>
      </c>
      <c r="H43" t="n">
        <v>1.38295</v>
      </c>
      <c r="I43" t="n">
        <v>1.450721</v>
      </c>
      <c r="J43" t="n">
        <v>-0.067771</v>
      </c>
      <c r="K43" s="4">
        <f>IFERROR(J43/I43,"")</f>
        <v/>
      </c>
      <c r="L43" s="4">
        <f>IFERROR((D43-E43)/E43,"")</f>
        <v/>
      </c>
    </row>
    <row r="44">
      <c r="A44" t="inlineStr">
        <is>
          <t>2026-06-19</t>
        </is>
      </c>
      <c r="B44" t="inlineStr">
        <is>
          <t>159060</t>
        </is>
      </c>
      <c r="C44" t="inlineStr">
        <is>
          <t>粮食ETF浦银</t>
        </is>
      </c>
      <c r="D44" t="n">
        <v>14048.3423</v>
      </c>
      <c r="E44" t="n">
        <v>14548.3423</v>
      </c>
      <c r="F44" t="n">
        <v>0.9854000000000001</v>
      </c>
      <c r="G44" t="n">
        <v>-500</v>
      </c>
      <c r="H44" t="n">
        <v>1.384324</v>
      </c>
      <c r="I44" t="n">
        <v>1.460654</v>
      </c>
      <c r="J44" t="n">
        <v>-0.07633</v>
      </c>
      <c r="K44" s="4">
        <f>IFERROR(J44/I44,"")</f>
        <v/>
      </c>
      <c r="L44" s="4">
        <f>IFERROR((D44-E44)/E44,"")</f>
        <v/>
      </c>
    </row>
    <row r="45">
      <c r="A45" t="inlineStr">
        <is>
          <t>2026-06-19</t>
        </is>
      </c>
      <c r="B45" t="inlineStr">
        <is>
          <t>159063</t>
        </is>
      </c>
      <c r="C45" t="inlineStr">
        <is>
          <t>粮食ETF南方</t>
        </is>
      </c>
      <c r="D45" t="n">
        <v>9598.664699999999</v>
      </c>
      <c r="E45" t="n">
        <v>9498.664699999999</v>
      </c>
      <c r="F45" t="n">
        <v>0.9996</v>
      </c>
      <c r="G45" t="n">
        <v>100</v>
      </c>
      <c r="H45" t="n">
        <v>0.959483</v>
      </c>
      <c r="I45" t="n">
        <v>0.967534</v>
      </c>
      <c r="J45" t="n">
        <v>-0.008051000000000001</v>
      </c>
      <c r="K45" s="4">
        <f>IFERROR(J45/I45,"")</f>
        <v/>
      </c>
      <c r="L45" s="4">
        <f>IFERROR((D45-E45)/E45,"")</f>
        <v/>
      </c>
    </row>
    <row r="46">
      <c r="A46" t="inlineStr">
        <is>
          <t>2026-06-19</t>
        </is>
      </c>
      <c r="B46" t="inlineStr">
        <is>
          <t>159100</t>
        </is>
      </c>
      <c r="C46" t="inlineStr">
        <is>
          <t>巴西ETF华夏</t>
        </is>
      </c>
      <c r="D46" t="n">
        <v>47354.6935</v>
      </c>
      <c r="E46" t="n">
        <v>47354.6935</v>
      </c>
      <c r="F46" t="n">
        <v>1.079</v>
      </c>
      <c r="G46" t="n">
        <v>0</v>
      </c>
      <c r="H46" t="n">
        <v>5.109571</v>
      </c>
      <c r="I46" t="n">
        <v>5.173027</v>
      </c>
      <c r="J46" t="n">
        <v>-0.063456</v>
      </c>
      <c r="K46" s="4">
        <f>IFERROR(J46/I46,"")</f>
        <v/>
      </c>
      <c r="L46" s="4">
        <f>IFERROR((D46-E46)/E46,"")</f>
        <v/>
      </c>
    </row>
    <row r="47">
      <c r="A47" t="inlineStr">
        <is>
          <t>2026-06-19</t>
        </is>
      </c>
      <c r="B47" t="inlineStr">
        <is>
          <t>159101</t>
        </is>
      </c>
      <c r="C47" t="inlineStr">
        <is>
          <t>港股通科技ETF华夏</t>
        </is>
      </c>
      <c r="D47" t="n">
        <v>350131.1457</v>
      </c>
      <c r="E47" t="n">
        <v>350731.1457</v>
      </c>
      <c r="F47" t="n">
        <v>0.7122000000000001</v>
      </c>
      <c r="G47" t="n">
        <v>-600</v>
      </c>
      <c r="H47" t="n">
        <v>24.93634</v>
      </c>
      <c r="I47" t="n">
        <v>25.007131</v>
      </c>
      <c r="J47" t="n">
        <v>-0.07079100000000001</v>
      </c>
      <c r="K47" s="4">
        <f>IFERROR(J47/I47,"")</f>
        <v/>
      </c>
      <c r="L47" s="4">
        <f>IFERROR((D47-E47)/E47,"")</f>
        <v/>
      </c>
    </row>
    <row r="48">
      <c r="A48" t="inlineStr">
        <is>
          <t>2026-06-19</t>
        </is>
      </c>
      <c r="B48" t="inlineStr">
        <is>
          <t>159102</t>
        </is>
      </c>
      <c r="C48" t="inlineStr">
        <is>
          <t>港股通生物科技ETF华安</t>
        </is>
      </c>
      <c r="D48" t="n">
        <v>82362.2004</v>
      </c>
      <c r="E48" t="n">
        <v>82362.2004</v>
      </c>
      <c r="F48" t="n">
        <v>0.645</v>
      </c>
      <c r="G48" t="n">
        <v>0</v>
      </c>
      <c r="H48" t="n">
        <v>5.312362</v>
      </c>
      <c r="I48" t="n">
        <v>5.384841</v>
      </c>
      <c r="J48" t="n">
        <v>-0.072479</v>
      </c>
      <c r="K48" s="4">
        <f>IFERROR(J48/I48,"")</f>
        <v/>
      </c>
      <c r="L48" s="4">
        <f>IFERROR((D48-E48)/E48,"")</f>
        <v/>
      </c>
    </row>
    <row r="49">
      <c r="A49" t="inlineStr">
        <is>
          <t>2026-06-19</t>
        </is>
      </c>
      <c r="B49" t="inlineStr">
        <is>
          <t>159103</t>
        </is>
      </c>
      <c r="C49" t="inlineStr">
        <is>
          <t>金融科技ETF汇添富</t>
        </is>
      </c>
      <c r="D49" t="n">
        <v>29540.6771</v>
      </c>
      <c r="E49" t="n">
        <v>29640.6771</v>
      </c>
      <c r="F49" t="n">
        <v>0.6891</v>
      </c>
      <c r="G49" t="n">
        <v>-100</v>
      </c>
      <c r="H49" t="n">
        <v>2.035648</v>
      </c>
      <c r="I49" t="n">
        <v>2.049949</v>
      </c>
      <c r="J49" t="n">
        <v>-0.014301</v>
      </c>
      <c r="K49" s="4">
        <f>IFERROR(J49/I49,"")</f>
        <v/>
      </c>
      <c r="L49" s="4">
        <f>IFERROR((D49-E49)/E49,"")</f>
        <v/>
      </c>
    </row>
    <row r="50">
      <c r="A50" t="inlineStr">
        <is>
          <t>2026-06-19</t>
        </is>
      </c>
      <c r="B50" t="inlineStr">
        <is>
          <t>159105</t>
        </is>
      </c>
      <c r="C50" t="inlineStr">
        <is>
          <t>恒生生物科技ETF易方达</t>
        </is>
      </c>
      <c r="D50" t="n">
        <v>21827.2984</v>
      </c>
      <c r="E50" t="n">
        <v>21827.2984</v>
      </c>
      <c r="F50" t="n">
        <v>0.7278</v>
      </c>
      <c r="G50" t="n">
        <v>0</v>
      </c>
      <c r="H50" t="n">
        <v>1.588591</v>
      </c>
      <c r="I50" t="n">
        <v>1.610636</v>
      </c>
      <c r="J50" t="n">
        <v>-0.022045</v>
      </c>
      <c r="K50" s="4">
        <f>IFERROR(J50/I50,"")</f>
        <v/>
      </c>
      <c r="L50" s="4">
        <f>IFERROR((D50-E50)/E50,"")</f>
        <v/>
      </c>
    </row>
    <row r="51">
      <c r="A51" t="inlineStr">
        <is>
          <t>2026-06-19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1.2112</v>
      </c>
      <c r="G51" t="n">
        <v>0</v>
      </c>
      <c r="H51" t="n">
        <v>0.479387</v>
      </c>
      <c r="I51" t="n">
        <v>0.472896</v>
      </c>
      <c r="J51" t="n">
        <v>0.006491</v>
      </c>
      <c r="K51" s="4">
        <f>IFERROR(J51/I51,"")</f>
        <v/>
      </c>
      <c r="L51" s="4">
        <f>IFERROR((D51-E51)/E51,"")</f>
        <v/>
      </c>
    </row>
    <row r="52">
      <c r="A52" t="inlineStr">
        <is>
          <t>2026-06-19</t>
        </is>
      </c>
      <c r="B52" t="inlineStr">
        <is>
          <t>159107</t>
        </is>
      </c>
      <c r="C52" t="inlineStr">
        <is>
          <t>创业板软件ETF富国</t>
        </is>
      </c>
      <c r="D52" t="n">
        <v>67182.3006</v>
      </c>
      <c r="E52" t="n">
        <v>67782.3006</v>
      </c>
      <c r="F52" t="n">
        <v>0.7857</v>
      </c>
      <c r="G52" t="n">
        <v>-600</v>
      </c>
      <c r="H52" t="n">
        <v>5.278513</v>
      </c>
      <c r="I52" t="n">
        <v>5.316844</v>
      </c>
      <c r="J52" t="n">
        <v>-0.038331</v>
      </c>
      <c r="K52" s="4">
        <f>IFERROR(J52/I52,"")</f>
        <v/>
      </c>
      <c r="L52" s="4">
        <f>IFERROR((D52-E52)/E52,"")</f>
        <v/>
      </c>
    </row>
    <row r="53">
      <c r="A53" t="inlineStr">
        <is>
          <t>2026-06-19</t>
        </is>
      </c>
      <c r="B53" t="inlineStr">
        <is>
          <t>159108</t>
        </is>
      </c>
      <c r="C53" t="inlineStr">
        <is>
          <t>工业软件ETF博时</t>
        </is>
      </c>
      <c r="D53" t="n">
        <v>12073.8511</v>
      </c>
      <c r="E53" t="n">
        <v>12173.8511</v>
      </c>
      <c r="F53" t="n">
        <v>1.1195</v>
      </c>
      <c r="G53" t="n">
        <v>-100</v>
      </c>
      <c r="H53" t="n">
        <v>1.351668</v>
      </c>
      <c r="I53" t="n">
        <v>1.341437</v>
      </c>
      <c r="J53" t="n">
        <v>0.010231</v>
      </c>
      <c r="K53" s="4">
        <f>IFERROR(J53/I53,"")</f>
        <v/>
      </c>
      <c r="L53" s="4">
        <f>IFERROR((D53-E53)/E53,"")</f>
        <v/>
      </c>
    </row>
    <row r="54">
      <c r="A54" t="inlineStr">
        <is>
          <t>2026-06-19</t>
        </is>
      </c>
      <c r="B54" t="inlineStr">
        <is>
          <t>159109</t>
        </is>
      </c>
      <c r="C54" t="inlineStr">
        <is>
          <t>恒生50ETF景顺</t>
        </is>
      </c>
      <c r="D54" t="n">
        <v>64716.3854</v>
      </c>
      <c r="E54" t="n">
        <v>62116.3854</v>
      </c>
      <c r="F54" t="n">
        <v>0.7973</v>
      </c>
      <c r="G54" t="n">
        <v>2600</v>
      </c>
      <c r="H54" t="n">
        <v>5.159837</v>
      </c>
      <c r="I54" t="n">
        <v>4.992915</v>
      </c>
      <c r="J54" t="n">
        <v>0.166922</v>
      </c>
      <c r="K54" s="4">
        <f>IFERROR(J54/I54,"")</f>
        <v/>
      </c>
      <c r="L54" s="4">
        <f>IFERROR((D54-E54)/E54,"")</f>
        <v/>
      </c>
    </row>
    <row r="55">
      <c r="A55" t="inlineStr">
        <is>
          <t>2026-06-19</t>
        </is>
      </c>
      <c r="B55" t="inlineStr">
        <is>
          <t>159110</t>
        </is>
      </c>
      <c r="C55" t="inlineStr">
        <is>
          <t>科创债ETF万家</t>
        </is>
      </c>
      <c r="D55" t="n">
        <v>2211.7093</v>
      </c>
      <c r="E55" t="n">
        <v>2211.7093</v>
      </c>
      <c r="F55" t="n">
        <v>101.9429</v>
      </c>
      <c r="G55" t="n">
        <v>0</v>
      </c>
      <c r="H55" t="n">
        <v>22.546806</v>
      </c>
      <c r="I55" t="n">
        <v>22.542316</v>
      </c>
      <c r="J55" t="n">
        <v>0.00449</v>
      </c>
      <c r="K55" s="4">
        <f>IFERROR(J55/I55,"")</f>
        <v/>
      </c>
      <c r="L55" s="4">
        <f>IFERROR((D55-E55)/E55,"")</f>
        <v/>
      </c>
    </row>
    <row r="56">
      <c r="A56" t="inlineStr">
        <is>
          <t>2026-06-19</t>
        </is>
      </c>
      <c r="B56" t="inlineStr">
        <is>
          <t>159111</t>
        </is>
      </c>
      <c r="C56" t="inlineStr">
        <is>
          <t>科创债ETF天弘</t>
        </is>
      </c>
      <c r="D56" t="n">
        <v>12524.6676</v>
      </c>
      <c r="E56" t="n">
        <v>12524.6676</v>
      </c>
      <c r="F56" t="n">
        <v>101.8321</v>
      </c>
      <c r="G56" t="n">
        <v>0</v>
      </c>
      <c r="H56" t="n">
        <v>127.54132</v>
      </c>
      <c r="I56" t="n">
        <v>127.514017</v>
      </c>
      <c r="J56" t="n">
        <v>0.027303</v>
      </c>
      <c r="K56" s="4">
        <f>IFERROR(J56/I56,"")</f>
        <v/>
      </c>
      <c r="L56" s="4">
        <f>IFERROR((D56-E56)/E56,"")</f>
        <v/>
      </c>
    </row>
    <row r="57">
      <c r="A57" t="inlineStr">
        <is>
          <t>2026-06-19</t>
        </is>
      </c>
      <c r="B57" t="inlineStr">
        <is>
          <t>159112</t>
        </is>
      </c>
      <c r="C57" t="inlineStr">
        <is>
          <t>科创债ETF银华</t>
        </is>
      </c>
      <c r="D57" t="n">
        <v>23768.783</v>
      </c>
      <c r="E57" t="n">
        <v>23468.783</v>
      </c>
      <c r="F57" t="n">
        <v>101.7252</v>
      </c>
      <c r="G57" t="n">
        <v>300</v>
      </c>
      <c r="H57" t="n">
        <v>241.78842</v>
      </c>
      <c r="I57" t="n">
        <v>238.681278</v>
      </c>
      <c r="J57" t="n">
        <v>3.107142</v>
      </c>
      <c r="K57" s="4">
        <f>IFERROR(J57/I57,"")</f>
        <v/>
      </c>
      <c r="L57" s="4">
        <f>IFERROR((D57-E57)/E57,"")</f>
        <v/>
      </c>
    </row>
    <row r="58">
      <c r="A58" t="inlineStr">
        <is>
          <t>2026-06-19</t>
        </is>
      </c>
      <c r="B58" t="inlineStr">
        <is>
          <t>159113</t>
        </is>
      </c>
      <c r="C58" t="inlineStr">
        <is>
          <t>科创债ETF大成</t>
        </is>
      </c>
      <c r="D58" t="n">
        <v>8766.6237</v>
      </c>
      <c r="E58" t="n">
        <v>8466.6237</v>
      </c>
      <c r="F58" t="n">
        <v>101.6738</v>
      </c>
      <c r="G58" t="n">
        <v>300</v>
      </c>
      <c r="H58" t="n">
        <v>89.133594</v>
      </c>
      <c r="I58" t="n">
        <v>86.060436</v>
      </c>
      <c r="J58" t="n">
        <v>3.073158</v>
      </c>
      <c r="K58" s="4">
        <f>IFERROR(J58/I58,"")</f>
        <v/>
      </c>
      <c r="L58" s="4">
        <f>IFERROR((D58-E58)/E58,"")</f>
        <v/>
      </c>
    </row>
    <row r="59">
      <c r="A59" t="inlineStr">
        <is>
          <t>2026-06-19</t>
        </is>
      </c>
      <c r="B59" t="inlineStr">
        <is>
          <t>159115</t>
        </is>
      </c>
      <c r="C59" t="inlineStr">
        <is>
          <t>科创债ETF华安</t>
        </is>
      </c>
      <c r="D59" t="n">
        <v>5152.3487</v>
      </c>
      <c r="E59" t="n">
        <v>5152.3487</v>
      </c>
      <c r="F59" t="n">
        <v>101.7104</v>
      </c>
      <c r="G59" t="n">
        <v>0</v>
      </c>
      <c r="H59" t="n">
        <v>52.404745</v>
      </c>
      <c r="I59" t="n">
        <v>52.392328</v>
      </c>
      <c r="J59" t="n">
        <v>0.012417</v>
      </c>
      <c r="K59" s="4">
        <f>IFERROR(J59/I59,"")</f>
        <v/>
      </c>
      <c r="L59" s="4">
        <f>IFERROR((D59-E59)/E59,"")</f>
        <v/>
      </c>
    </row>
    <row r="60">
      <c r="A60" t="inlineStr">
        <is>
          <t>2026-06-19</t>
        </is>
      </c>
      <c r="B60" t="inlineStr">
        <is>
          <t>159116</t>
        </is>
      </c>
      <c r="C60" t="inlineStr">
        <is>
          <t>科创债ETF工银</t>
        </is>
      </c>
      <c r="D60" t="n">
        <v>10516.2743</v>
      </c>
      <c r="E60" t="n">
        <v>10516.2743</v>
      </c>
      <c r="F60" t="n">
        <v>101.9</v>
      </c>
      <c r="G60" t="n">
        <v>0</v>
      </c>
      <c r="H60" t="n">
        <v>107.160835</v>
      </c>
      <c r="I60" t="n">
        <v>107.134755</v>
      </c>
      <c r="J60" t="n">
        <v>0.02608</v>
      </c>
      <c r="K60" s="4">
        <f>IFERROR(J60/I60,"")</f>
        <v/>
      </c>
      <c r="L60" s="4">
        <f>IFERROR((D60-E60)/E60,"")</f>
        <v/>
      </c>
    </row>
    <row r="61">
      <c r="A61" t="inlineStr">
        <is>
          <t>2026-06-19</t>
        </is>
      </c>
      <c r="B61" t="inlineStr">
        <is>
          <t>159117</t>
        </is>
      </c>
      <c r="C61" t="inlineStr">
        <is>
          <t>港股通红利低波ETF鹏华</t>
        </is>
      </c>
      <c r="D61" t="n">
        <v>6240.1153</v>
      </c>
      <c r="E61" t="n">
        <v>6240.1153</v>
      </c>
      <c r="F61" t="n">
        <v>0.9937</v>
      </c>
      <c r="G61" t="n">
        <v>0</v>
      </c>
      <c r="H61" t="n">
        <v>0.62008</v>
      </c>
      <c r="I61" t="n">
        <v>0.630252</v>
      </c>
      <c r="J61" t="n">
        <v>-0.010172</v>
      </c>
      <c r="K61" s="4">
        <f>IFERROR(J61/I61,"")</f>
        <v/>
      </c>
      <c r="L61" s="4">
        <f>IFERROR((D61-E61)/E61,"")</f>
        <v/>
      </c>
    </row>
    <row r="62">
      <c r="A62" t="inlineStr">
        <is>
          <t>2026-06-19</t>
        </is>
      </c>
      <c r="B62" t="inlineStr">
        <is>
          <t>159118</t>
        </is>
      </c>
      <c r="C62" t="inlineStr">
        <is>
          <t>港股通红利低波ETF华夏</t>
        </is>
      </c>
      <c r="D62" t="n">
        <v>7767.702</v>
      </c>
      <c r="E62" t="n">
        <v>7767.702</v>
      </c>
      <c r="F62" t="n">
        <v>0.9479</v>
      </c>
      <c r="G62" t="n">
        <v>0</v>
      </c>
      <c r="H62" t="n">
        <v>0.7363</v>
      </c>
      <c r="I62" t="n">
        <v>0.748418</v>
      </c>
      <c r="J62" t="n">
        <v>-0.012118</v>
      </c>
      <c r="K62" s="4">
        <f>IFERROR(J62/I62,"")</f>
        <v/>
      </c>
      <c r="L62" s="4">
        <f>IFERROR((D62-E62)/E62,"")</f>
        <v/>
      </c>
    </row>
    <row r="63">
      <c r="A63" t="inlineStr">
        <is>
          <t>2026-06-19</t>
        </is>
      </c>
      <c r="B63" t="inlineStr">
        <is>
          <t>159119</t>
        </is>
      </c>
      <c r="C63" t="inlineStr">
        <is>
          <t>800现金流ETF招商</t>
        </is>
      </c>
      <c r="D63" t="n">
        <v>17805.4229</v>
      </c>
      <c r="E63" t="n">
        <v>17905.4229</v>
      </c>
      <c r="F63" t="n">
        <v>0.9562</v>
      </c>
      <c r="G63" t="n">
        <v>-100</v>
      </c>
      <c r="H63" t="n">
        <v>1.702555</v>
      </c>
      <c r="I63" t="n">
        <v>1.715519</v>
      </c>
      <c r="J63" t="n">
        <v>-0.012964</v>
      </c>
      <c r="K63" s="4">
        <f>IFERROR(J63/I63,"")</f>
        <v/>
      </c>
      <c r="L63" s="4">
        <f>IFERROR((D63-E63)/E63,"")</f>
        <v/>
      </c>
    </row>
    <row r="64">
      <c r="A64" t="inlineStr">
        <is>
          <t>2026-06-19</t>
        </is>
      </c>
      <c r="B64" t="inlineStr">
        <is>
          <t>159120</t>
        </is>
      </c>
      <c r="C64" t="inlineStr">
        <is>
          <t>港股通科技ETF国联安</t>
        </is>
      </c>
      <c r="D64" t="n">
        <v>17002.4466</v>
      </c>
      <c r="E64" t="n">
        <v>17002.4466</v>
      </c>
      <c r="F64" t="n">
        <v>0.769</v>
      </c>
      <c r="G64" t="n">
        <v>0</v>
      </c>
      <c r="H64" t="n">
        <v>1.307488</v>
      </c>
      <c r="I64" t="n">
        <v>1.295586</v>
      </c>
      <c r="J64" t="n">
        <v>0.011902</v>
      </c>
      <c r="K64" s="4">
        <f>IFERROR(J64/I64,"")</f>
        <v/>
      </c>
      <c r="L64" s="4">
        <f>IFERROR((D64-E64)/E64,"")</f>
        <v/>
      </c>
    </row>
    <row r="65">
      <c r="A65" t="inlineStr">
        <is>
          <t>2026-06-19</t>
        </is>
      </c>
      <c r="B65" t="inlineStr">
        <is>
          <t>159121</t>
        </is>
      </c>
      <c r="C65" t="inlineStr">
        <is>
          <t>港股通汽车ETF易方达</t>
        </is>
      </c>
      <c r="D65" t="n">
        <v>10948.1127</v>
      </c>
      <c r="E65" t="n">
        <v>10948.1127</v>
      </c>
      <c r="F65" t="n">
        <v>0.8055</v>
      </c>
      <c r="G65" t="n">
        <v>0</v>
      </c>
      <c r="H65" t="n">
        <v>0.88187</v>
      </c>
      <c r="I65" t="n">
        <v>0.897636</v>
      </c>
      <c r="J65" t="n">
        <v>-0.015766</v>
      </c>
      <c r="K65" s="4">
        <f>IFERROR(J65/I65,"")</f>
        <v/>
      </c>
      <c r="L65" s="4">
        <f>IFERROR((D65-E65)/E65,"")</f>
        <v/>
      </c>
    </row>
    <row r="66">
      <c r="A66" t="inlineStr">
        <is>
          <t>2026-06-19</t>
        </is>
      </c>
      <c r="B66" t="inlineStr">
        <is>
          <t>159122</t>
        </is>
      </c>
      <c r="C66" t="inlineStr">
        <is>
          <t>创业板新能源ETF富国</t>
        </is>
      </c>
      <c r="D66" t="n">
        <v>7116.0935</v>
      </c>
      <c r="E66" t="n">
        <v>7116.0935</v>
      </c>
      <c r="F66" t="n">
        <v>1.1259</v>
      </c>
      <c r="G66" t="n">
        <v>0</v>
      </c>
      <c r="H66" t="n">
        <v>0.8012010000000001</v>
      </c>
      <c r="I66" t="n">
        <v>0.803407</v>
      </c>
      <c r="J66" t="n">
        <v>-0.002206</v>
      </c>
      <c r="K66" s="4">
        <f>IFERROR(J66/I66,"")</f>
        <v/>
      </c>
      <c r="L66" s="4">
        <f>IFERROR((D66-E66)/E66,"")</f>
        <v/>
      </c>
    </row>
    <row r="67">
      <c r="A67" t="inlineStr">
        <is>
          <t>2026-06-19</t>
        </is>
      </c>
      <c r="B67" t="inlineStr">
        <is>
          <t>159123</t>
        </is>
      </c>
      <c r="C67" t="inlineStr">
        <is>
          <t>光伏ETF嘉实</t>
        </is>
      </c>
      <c r="D67" t="n">
        <v>41204.7026</v>
      </c>
      <c r="E67" t="n">
        <v>41404.7026</v>
      </c>
      <c r="F67" t="n">
        <v>1.09</v>
      </c>
      <c r="G67" t="n">
        <v>-200</v>
      </c>
      <c r="H67" t="n">
        <v>4.491313</v>
      </c>
      <c r="I67" t="n">
        <v>4.534643</v>
      </c>
      <c r="J67" t="n">
        <v>-0.04333</v>
      </c>
      <c r="K67" s="4">
        <f>IFERROR(J67/I67,"")</f>
        <v/>
      </c>
      <c r="L67" s="4">
        <f>IFERROR((D67-E67)/E67,"")</f>
        <v/>
      </c>
    </row>
    <row r="68">
      <c r="A68" t="inlineStr">
        <is>
          <t>2026-06-19</t>
        </is>
      </c>
      <c r="B68" t="inlineStr">
        <is>
          <t>159125</t>
        </is>
      </c>
      <c r="C68" t="inlineStr">
        <is>
          <t>港股通科技ETF招商</t>
        </is>
      </c>
      <c r="D68" t="n">
        <v>99724.5883</v>
      </c>
      <c r="E68" t="n">
        <v>100824.5883</v>
      </c>
      <c r="F68" t="n">
        <v>0.6905</v>
      </c>
      <c r="G68" t="n">
        <v>-1100</v>
      </c>
      <c r="H68" t="n">
        <v>6.885983</v>
      </c>
      <c r="I68" t="n">
        <v>6.968996</v>
      </c>
      <c r="J68" t="n">
        <v>-0.083013</v>
      </c>
      <c r="K68" s="4">
        <f>IFERROR(J68/I68,"")</f>
        <v/>
      </c>
      <c r="L68" s="4">
        <f>IFERROR((D68-E68)/E68,"")</f>
        <v/>
      </c>
    </row>
    <row r="69">
      <c r="A69" t="inlineStr">
        <is>
          <t>2026-06-19</t>
        </is>
      </c>
      <c r="B69" t="inlineStr">
        <is>
          <t>159126</t>
        </is>
      </c>
      <c r="C69" t="inlineStr">
        <is>
          <t>港股通50ETF南方</t>
        </is>
      </c>
      <c r="D69" t="n">
        <v>28861.6546</v>
      </c>
      <c r="E69" t="n">
        <v>28861.6546</v>
      </c>
      <c r="F69" t="n">
        <v>0.9102</v>
      </c>
      <c r="G69" t="n">
        <v>0</v>
      </c>
      <c r="H69" t="n">
        <v>2.626988</v>
      </c>
      <c r="I69" t="n">
        <v>2.645459</v>
      </c>
      <c r="J69" t="n">
        <v>-0.018471</v>
      </c>
      <c r="K69" s="4">
        <f>IFERROR(J69/I69,"")</f>
        <v/>
      </c>
      <c r="L69" s="4">
        <f>IFERROR((D69-E69)/E69,"")</f>
        <v/>
      </c>
    </row>
    <row r="70">
      <c r="A70" t="inlineStr">
        <is>
          <t>2026-06-19</t>
        </is>
      </c>
      <c r="B70" t="inlineStr">
        <is>
          <t>159127</t>
        </is>
      </c>
      <c r="C70" t="inlineStr">
        <is>
          <t>港股通红利ETF南方</t>
        </is>
      </c>
      <c r="D70" t="n">
        <v>19634.4268</v>
      </c>
      <c r="E70" t="n">
        <v>19634.4268</v>
      </c>
      <c r="F70" t="n">
        <v>0.9378</v>
      </c>
      <c r="G70" t="n">
        <v>0</v>
      </c>
      <c r="H70" t="n">
        <v>1.841317</v>
      </c>
      <c r="I70" t="n">
        <v>1.867823</v>
      </c>
      <c r="J70" t="n">
        <v>-0.026506</v>
      </c>
      <c r="K70" s="4">
        <f>IFERROR(J70/I70,"")</f>
        <v/>
      </c>
      <c r="L70" s="4">
        <f>IFERROR((D70-E70)/E70,"")</f>
        <v/>
      </c>
    </row>
    <row r="71">
      <c r="A71" t="inlineStr">
        <is>
          <t>2026-06-19</t>
        </is>
      </c>
      <c r="B71" t="inlineStr">
        <is>
          <t>159128</t>
        </is>
      </c>
      <c r="C71" t="inlineStr">
        <is>
          <t>港股科技ETF天弘</t>
        </is>
      </c>
      <c r="D71" t="n">
        <v>228476.0841</v>
      </c>
      <c r="E71" t="n">
        <v>228976.0841</v>
      </c>
      <c r="F71" t="n">
        <v>0.699</v>
      </c>
      <c r="G71" t="n">
        <v>-500</v>
      </c>
      <c r="H71" t="n">
        <v>15.970478</v>
      </c>
      <c r="I71" t="n">
        <v>16.021457</v>
      </c>
      <c r="J71" t="n">
        <v>-0.050979</v>
      </c>
      <c r="K71" s="4">
        <f>IFERROR(J71/I71,"")</f>
        <v/>
      </c>
      <c r="L71" s="4">
        <f>IFERROR((D71-E71)/E71,"")</f>
        <v/>
      </c>
    </row>
    <row r="72">
      <c r="A72" t="inlineStr">
        <is>
          <t>2026-06-19</t>
        </is>
      </c>
      <c r="B72" t="inlineStr">
        <is>
          <t>159129</t>
        </is>
      </c>
      <c r="C72" t="inlineStr">
        <is>
          <t>化工ETF嘉实</t>
        </is>
      </c>
      <c r="D72" t="n">
        <v>125790.6595</v>
      </c>
      <c r="E72" t="n">
        <v>133790.6595</v>
      </c>
      <c r="F72" t="n">
        <v>1.1242</v>
      </c>
      <c r="G72" t="n">
        <v>-8000</v>
      </c>
      <c r="H72" t="n">
        <v>14.141386</v>
      </c>
      <c r="I72" t="n">
        <v>15.039408</v>
      </c>
      <c r="J72" t="n">
        <v>-0.898022</v>
      </c>
      <c r="K72" s="4">
        <f>IFERROR(J72/I72,"")</f>
        <v/>
      </c>
      <c r="L72" s="4">
        <f>IFERROR((D72-E72)/E72,"")</f>
        <v/>
      </c>
    </row>
    <row r="73">
      <c r="A73" t="inlineStr">
        <is>
          <t>2026-06-19</t>
        </is>
      </c>
      <c r="B73" t="inlineStr">
        <is>
          <t>159130</t>
        </is>
      </c>
      <c r="C73" t="inlineStr">
        <is>
          <t>恒生生物科技ETF鹏华</t>
        </is>
      </c>
      <c r="D73" t="n">
        <v>26038.9466</v>
      </c>
      <c r="E73" t="n">
        <v>26038.9466</v>
      </c>
      <c r="F73" t="n">
        <v>0.7299</v>
      </c>
      <c r="G73" t="n">
        <v>0</v>
      </c>
      <c r="H73" t="n">
        <v>1.900583</v>
      </c>
      <c r="I73" t="n">
        <v>1.926882</v>
      </c>
      <c r="J73" t="n">
        <v>-0.026299</v>
      </c>
      <c r="K73" s="4">
        <f>IFERROR(J73/I73,"")</f>
        <v/>
      </c>
      <c r="L73" s="4">
        <f>IFERROR((D73-E73)/E73,"")</f>
        <v/>
      </c>
    </row>
    <row r="74">
      <c r="A74" t="inlineStr">
        <is>
          <t>2026-06-19</t>
        </is>
      </c>
      <c r="B74" t="inlineStr">
        <is>
          <t>159131</t>
        </is>
      </c>
      <c r="C74" t="inlineStr">
        <is>
          <t>港股通信息技术ETF华宝</t>
        </is>
      </c>
      <c r="D74" t="n">
        <v>123391.9902</v>
      </c>
      <c r="E74" t="n">
        <v>123391.9902</v>
      </c>
      <c r="F74" t="n">
        <v>1.1129</v>
      </c>
      <c r="G74" t="n">
        <v>0</v>
      </c>
      <c r="H74" t="n">
        <v>13.732295</v>
      </c>
      <c r="I74" t="n">
        <v>13.369522</v>
      </c>
      <c r="J74" t="n">
        <v>0.362773</v>
      </c>
      <c r="K74" s="4">
        <f>IFERROR(J74/I74,"")</f>
        <v/>
      </c>
      <c r="L74" s="4">
        <f>IFERROR((D74-E74)/E74,"")</f>
        <v/>
      </c>
    </row>
    <row r="75">
      <c r="A75" t="inlineStr">
        <is>
          <t>2026-06-19</t>
        </is>
      </c>
      <c r="B75" t="inlineStr">
        <is>
          <t>159132</t>
        </is>
      </c>
      <c r="C75" t="inlineStr">
        <is>
          <t>恒生生物科技ETF富国</t>
        </is>
      </c>
      <c r="D75" t="n">
        <v>10396.3558</v>
      </c>
      <c r="E75" t="n">
        <v>10396.3558</v>
      </c>
      <c r="F75" t="n">
        <v>0.7523</v>
      </c>
      <c r="G75" t="n">
        <v>0</v>
      </c>
      <c r="H75" t="n">
        <v>0.782118</v>
      </c>
      <c r="I75" t="n">
        <v>0.793034</v>
      </c>
      <c r="J75" t="n">
        <v>-0.010916</v>
      </c>
      <c r="K75" s="4">
        <f>IFERROR(J75/I75,"")</f>
        <v/>
      </c>
      <c r="L75" s="4">
        <f>IFERROR((D75-E75)/E75,"")</f>
        <v/>
      </c>
    </row>
    <row r="76">
      <c r="A76" t="inlineStr">
        <is>
          <t>2026-06-19</t>
        </is>
      </c>
      <c r="B76" t="inlineStr">
        <is>
          <t>159133</t>
        </is>
      </c>
      <c r="C76" t="inlineStr">
        <is>
          <t>化工ETF天弘</t>
        </is>
      </c>
      <c r="D76" t="n">
        <v>180541.3345</v>
      </c>
      <c r="E76" t="n">
        <v>181891.3345</v>
      </c>
      <c r="F76" t="n">
        <v>1.1559</v>
      </c>
      <c r="G76" t="n">
        <v>-1350</v>
      </c>
      <c r="H76" t="n">
        <v>20.868773</v>
      </c>
      <c r="I76" t="n">
        <v>21.023</v>
      </c>
      <c r="J76" t="n">
        <v>-0.154227</v>
      </c>
      <c r="K76" s="4">
        <f>IFERROR(J76/I76,"")</f>
        <v/>
      </c>
      <c r="L76" s="4">
        <f>IFERROR((D76-E76)/E76,"")</f>
        <v/>
      </c>
    </row>
    <row r="77">
      <c r="A77" t="inlineStr">
        <is>
          <t>2026-06-19</t>
        </is>
      </c>
      <c r="B77" t="inlineStr">
        <is>
          <t>159135</t>
        </is>
      </c>
      <c r="C77" t="inlineStr">
        <is>
          <t>港股通科技ETF前海开源</t>
        </is>
      </c>
      <c r="D77" t="n">
        <v>74846.6376</v>
      </c>
      <c r="E77" t="n">
        <v>74946.6376</v>
      </c>
      <c r="F77" t="n">
        <v>0.8185</v>
      </c>
      <c r="G77" t="n">
        <v>-100</v>
      </c>
      <c r="H77" t="n">
        <v>6.126197</v>
      </c>
      <c r="I77" t="n">
        <v>6.079671</v>
      </c>
      <c r="J77" t="n">
        <v>0.046526</v>
      </c>
      <c r="K77" s="4">
        <f>IFERROR(J77/I77,"")</f>
        <v/>
      </c>
      <c r="L77" s="4">
        <f>IFERROR((D77-E77)/E77,"")</f>
        <v/>
      </c>
    </row>
    <row r="78">
      <c r="A78" t="inlineStr">
        <is>
          <t>2026-06-19</t>
        </is>
      </c>
      <c r="B78" t="inlineStr">
        <is>
          <t>159136</t>
        </is>
      </c>
      <c r="C78" t="inlineStr">
        <is>
          <t>A50ETF广发</t>
        </is>
      </c>
      <c r="D78" t="n">
        <v>11391.4074</v>
      </c>
      <c r="E78" t="n">
        <v>11391.4074</v>
      </c>
      <c r="F78" t="n">
        <v>1.0468</v>
      </c>
      <c r="G78" t="n">
        <v>0</v>
      </c>
      <c r="H78" t="n">
        <v>1.192453</v>
      </c>
      <c r="I78" t="n">
        <v>1.188466</v>
      </c>
      <c r="J78" t="n">
        <v>0.003987</v>
      </c>
      <c r="K78" s="4">
        <f>IFERROR(J78/I78,"")</f>
        <v/>
      </c>
      <c r="L78" s="4">
        <f>IFERROR((D78-E78)/E78,"")</f>
        <v/>
      </c>
    </row>
    <row r="79">
      <c r="A79" t="inlineStr">
        <is>
          <t>2026-06-19</t>
        </is>
      </c>
      <c r="B79" t="inlineStr">
        <is>
          <t>159137</t>
        </is>
      </c>
      <c r="C79" t="inlineStr">
        <is>
          <t>港股通医疗ETF华宝</t>
        </is>
      </c>
      <c r="D79" t="n">
        <v>19163.2607</v>
      </c>
      <c r="E79" t="n">
        <v>19163.2607</v>
      </c>
      <c r="F79" t="n">
        <v>0.7408</v>
      </c>
      <c r="G79" t="n">
        <v>0</v>
      </c>
      <c r="H79" t="n">
        <v>1.419614</v>
      </c>
      <c r="I79" t="n">
        <v>1.434178</v>
      </c>
      <c r="J79" t="n">
        <v>-0.014564</v>
      </c>
      <c r="K79" s="4">
        <f>IFERROR(J79/I79,"")</f>
        <v/>
      </c>
      <c r="L79" s="4">
        <f>IFERROR((D79-E79)/E79,"")</f>
        <v/>
      </c>
    </row>
    <row r="80">
      <c r="A80" t="inlineStr">
        <is>
          <t>2026-06-19</t>
        </is>
      </c>
      <c r="B80" t="inlineStr">
        <is>
          <t>159138</t>
        </is>
      </c>
      <c r="C80" t="inlineStr">
        <is>
          <t>工程机械ETF易方达</t>
        </is>
      </c>
      <c r="D80" t="n">
        <v>6676.7924</v>
      </c>
      <c r="E80" t="n">
        <v>6726.7924</v>
      </c>
      <c r="F80" t="n">
        <v>0.9909</v>
      </c>
      <c r="G80" t="n">
        <v>-50</v>
      </c>
      <c r="H80" t="n">
        <v>0.6616030000000001</v>
      </c>
      <c r="I80" t="n">
        <v>0.660369</v>
      </c>
      <c r="J80" t="n">
        <v>0.001234</v>
      </c>
      <c r="K80" s="4">
        <f>IFERROR(J80/I80,"")</f>
        <v/>
      </c>
      <c r="L80" s="4">
        <f>IFERROR((D80-E80)/E80,"")</f>
        <v/>
      </c>
    </row>
    <row r="81">
      <c r="A81" t="inlineStr">
        <is>
          <t>2026-06-19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13210.921</v>
      </c>
      <c r="E81" t="n">
        <v>13410.921</v>
      </c>
      <c r="F81" t="n">
        <v>1.4566</v>
      </c>
      <c r="G81" t="n">
        <v>-200</v>
      </c>
      <c r="H81" t="n">
        <v>1.924303</v>
      </c>
      <c r="I81" t="n">
        <v>1.900059</v>
      </c>
      <c r="J81" t="n">
        <v>0.024244</v>
      </c>
      <c r="K81" s="4">
        <f>IFERROR(J81/I81,"")</f>
        <v/>
      </c>
      <c r="L81" s="4">
        <f>IFERROR((D81-E81)/E81,"")</f>
        <v/>
      </c>
    </row>
    <row r="82">
      <c r="A82" t="inlineStr">
        <is>
          <t>2026-06-19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40993.6834</v>
      </c>
      <c r="E82" t="n">
        <v>34993.6834</v>
      </c>
      <c r="F82" t="n">
        <v>1.464</v>
      </c>
      <c r="G82" t="n">
        <v>6000</v>
      </c>
      <c r="H82" t="n">
        <v>6.001475</v>
      </c>
      <c r="I82" t="n">
        <v>4.981351</v>
      </c>
      <c r="J82" t="n">
        <v>1.020124</v>
      </c>
      <c r="K82" s="4">
        <f>IFERROR(J82/I82,"")</f>
        <v/>
      </c>
      <c r="L82" s="4">
        <f>IFERROR((D82-E82)/E82,"")</f>
        <v/>
      </c>
    </row>
    <row r="83">
      <c r="A83" t="inlineStr">
        <is>
          <t>2026-06-19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111106.073</v>
      </c>
      <c r="E83" t="n">
        <v>111106.073</v>
      </c>
      <c r="F83" t="n">
        <v>1.383</v>
      </c>
      <c r="G83" t="n">
        <v>0</v>
      </c>
      <c r="H83" t="n">
        <v>15.36597</v>
      </c>
      <c r="I83" t="n">
        <v>14.944878</v>
      </c>
      <c r="J83" t="n">
        <v>0.421092</v>
      </c>
      <c r="K83" s="4">
        <f>IFERROR(J83/I83,"")</f>
        <v/>
      </c>
      <c r="L83" s="4">
        <f>IFERROR((D83-E83)/E83,"")</f>
        <v/>
      </c>
    </row>
    <row r="84">
      <c r="A84" t="inlineStr">
        <is>
          <t>2026-06-19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85726.01420000001</v>
      </c>
      <c r="E84" t="n">
        <v>86126.01420000001</v>
      </c>
      <c r="F84" t="n">
        <v>1.405</v>
      </c>
      <c r="G84" t="n">
        <v>-400</v>
      </c>
      <c r="H84" t="n">
        <v>12.044505</v>
      </c>
      <c r="I84" t="n">
        <v>11.770842</v>
      </c>
      <c r="J84" t="n">
        <v>0.273663</v>
      </c>
      <c r="K84" s="4">
        <f>IFERROR(J84/I84,"")</f>
        <v/>
      </c>
      <c r="L84" s="4">
        <f>IFERROR((D84-E84)/E84,"")</f>
        <v/>
      </c>
    </row>
    <row r="85">
      <c r="A85" t="inlineStr">
        <is>
          <t>2026-06-19</t>
        </is>
      </c>
      <c r="B85" t="inlineStr">
        <is>
          <t>159143</t>
        </is>
      </c>
      <c r="C85" t="inlineStr">
        <is>
          <t>港股通央企红利ETF平安</t>
        </is>
      </c>
      <c r="D85" t="n">
        <v>5455.4456</v>
      </c>
      <c r="E85" t="n">
        <v>5455.4456</v>
      </c>
      <c r="F85" t="n">
        <v>0.9617</v>
      </c>
      <c r="G85" t="n">
        <v>0</v>
      </c>
      <c r="H85" t="n">
        <v>0.5246499999999999</v>
      </c>
      <c r="I85" t="n">
        <v>0.533433</v>
      </c>
      <c r="J85" t="n">
        <v>-0.008782999999999999</v>
      </c>
      <c r="K85" s="4">
        <f>IFERROR(J85/I85,"")</f>
        <v/>
      </c>
      <c r="L85" s="4">
        <f>IFERROR((D85-E85)/E85,"")</f>
        <v/>
      </c>
    </row>
    <row r="86">
      <c r="A86" t="inlineStr">
        <is>
          <t>2026-06-19</t>
        </is>
      </c>
      <c r="B86" t="inlineStr">
        <is>
          <t>159145</t>
        </is>
      </c>
      <c r="C86" t="inlineStr">
        <is>
          <t>工业软件ETF广发</t>
        </is>
      </c>
      <c r="D86" t="n">
        <v>7158.1845</v>
      </c>
      <c r="E86" t="n">
        <v>7258.1845</v>
      </c>
      <c r="F86" t="n">
        <v>0.9737</v>
      </c>
      <c r="G86" t="n">
        <v>-100</v>
      </c>
      <c r="H86" t="n">
        <v>0.6969919999999999</v>
      </c>
      <c r="I86" t="n">
        <v>0.695624</v>
      </c>
      <c r="J86" t="n">
        <v>0.001368</v>
      </c>
      <c r="K86" s="4">
        <f>IFERROR(J86/I86,"")</f>
        <v/>
      </c>
      <c r="L86" s="4">
        <f>IFERROR((D86-E86)/E86,"")</f>
        <v/>
      </c>
    </row>
    <row r="87">
      <c r="A87" t="inlineStr">
        <is>
          <t>2026-06-19</t>
        </is>
      </c>
      <c r="B87" t="inlineStr">
        <is>
          <t>159146</t>
        </is>
      </c>
      <c r="C87" t="inlineStr">
        <is>
          <t>电力ETF华宝</t>
        </is>
      </c>
      <c r="D87" t="n">
        <v>93044.0849</v>
      </c>
      <c r="E87" t="n">
        <v>93944.0849</v>
      </c>
      <c r="F87" t="n">
        <v>1.095</v>
      </c>
      <c r="G87" t="n">
        <v>-900</v>
      </c>
      <c r="H87" t="n">
        <v>10.188327</v>
      </c>
      <c r="I87" t="n">
        <v>10.369548</v>
      </c>
      <c r="J87" t="n">
        <v>-0.181221</v>
      </c>
      <c r="K87" s="4">
        <f>IFERROR(J87/I87,"")</f>
        <v/>
      </c>
      <c r="L87" s="4">
        <f>IFERROR((D87-E87)/E87,"")</f>
        <v/>
      </c>
    </row>
    <row r="88">
      <c r="A88" t="inlineStr">
        <is>
          <t>2026-06-19</t>
        </is>
      </c>
      <c r="B88" t="inlineStr">
        <is>
          <t>159147</t>
        </is>
      </c>
      <c r="C88" t="inlineStr">
        <is>
          <t>电池ETF南方</t>
        </is>
      </c>
      <c r="D88" t="n">
        <v>218640.9552</v>
      </c>
      <c r="E88" t="n">
        <v>214440.9552</v>
      </c>
      <c r="F88" t="n">
        <v>1.0681</v>
      </c>
      <c r="G88" t="n">
        <v>4200</v>
      </c>
      <c r="H88" t="n">
        <v>23.35304</v>
      </c>
      <c r="I88" t="n">
        <v>22.98807</v>
      </c>
      <c r="J88" t="n">
        <v>0.36497</v>
      </c>
      <c r="K88" s="4">
        <f>IFERROR(J88/I88,"")</f>
        <v/>
      </c>
      <c r="L88" s="4">
        <f>IFERROR((D88-E88)/E88,"")</f>
        <v/>
      </c>
    </row>
    <row r="89">
      <c r="A89" t="inlineStr">
        <is>
          <t>2026-06-19</t>
        </is>
      </c>
      <c r="B89" t="inlineStr">
        <is>
          <t>159148</t>
        </is>
      </c>
      <c r="C89" t="inlineStr">
        <is>
          <t>石油ETF富国</t>
        </is>
      </c>
      <c r="D89" t="n">
        <v>23646.6601</v>
      </c>
      <c r="E89" t="n">
        <v>23646.6601</v>
      </c>
      <c r="F89" t="n">
        <v>0.9579</v>
      </c>
      <c r="G89" t="n">
        <v>0</v>
      </c>
      <c r="H89" t="n">
        <v>2.265114</v>
      </c>
      <c r="I89" t="n">
        <v>2.252344</v>
      </c>
      <c r="J89" t="n">
        <v>0.01277</v>
      </c>
      <c r="K89" s="4">
        <f>IFERROR(J89/I89,"")</f>
        <v/>
      </c>
      <c r="L89" s="4">
        <f>IFERROR((D89-E89)/E89,"")</f>
        <v/>
      </c>
    </row>
    <row r="90">
      <c r="A90" t="inlineStr">
        <is>
          <t>2026-06-19</t>
        </is>
      </c>
      <c r="B90" t="inlineStr">
        <is>
          <t>159149</t>
        </is>
      </c>
      <c r="C90" t="inlineStr">
        <is>
          <t>创业板新能源ETF工银</t>
        </is>
      </c>
      <c r="D90" t="n">
        <v>5551.5298</v>
      </c>
      <c r="E90" t="n">
        <v>5551.5298</v>
      </c>
      <c r="F90" t="n">
        <v>1.0754</v>
      </c>
      <c r="G90" t="n">
        <v>0</v>
      </c>
      <c r="H90" t="n">
        <v>0.597012</v>
      </c>
      <c r="I90" t="n">
        <v>0.598566</v>
      </c>
      <c r="J90" t="n">
        <v>-0.001554</v>
      </c>
      <c r="K90" s="4">
        <f>IFERROR(J90/I90,"")</f>
        <v/>
      </c>
      <c r="L90" s="4">
        <f>IFERROR((D90-E90)/E90,"")</f>
        <v/>
      </c>
    </row>
    <row r="91">
      <c r="A91" t="inlineStr">
        <is>
          <t>2026-06-19</t>
        </is>
      </c>
      <c r="B91" t="inlineStr">
        <is>
          <t>159150</t>
        </is>
      </c>
      <c r="C91" t="inlineStr">
        <is>
          <t>深证50ETF易方达</t>
        </is>
      </c>
      <c r="D91" t="n">
        <v>8599.7623</v>
      </c>
      <c r="E91" t="n">
        <v>8599.7623</v>
      </c>
      <c r="F91" t="n">
        <v>1.7767</v>
      </c>
      <c r="G91" t="n">
        <v>0</v>
      </c>
      <c r="H91" t="n">
        <v>1.52792</v>
      </c>
      <c r="I91" t="n">
        <v>1.512354</v>
      </c>
      <c r="J91" t="n">
        <v>0.015566</v>
      </c>
      <c r="K91" s="4">
        <f>IFERROR(J91/I91,"")</f>
        <v/>
      </c>
      <c r="L91" s="4">
        <f>IFERROR((D91-E91)/E91,"")</f>
        <v/>
      </c>
    </row>
    <row r="92">
      <c r="A92" t="inlineStr">
        <is>
          <t>2026-06-19</t>
        </is>
      </c>
      <c r="B92" t="inlineStr">
        <is>
          <t>159151</t>
        </is>
      </c>
      <c r="C92" t="inlineStr">
        <is>
          <t>食品ETF华夏</t>
        </is>
      </c>
      <c r="D92" t="n">
        <v>13425.1063</v>
      </c>
      <c r="E92" t="n">
        <v>13425.1063</v>
      </c>
      <c r="F92" t="n">
        <v>0.8875999999999999</v>
      </c>
      <c r="G92" t="n">
        <v>0</v>
      </c>
      <c r="H92" t="n">
        <v>1.191612</v>
      </c>
      <c r="I92" t="n">
        <v>1.200607</v>
      </c>
      <c r="J92" t="n">
        <v>-0.008995</v>
      </c>
      <c r="K92" s="4">
        <f>IFERROR(J92/I92,"")</f>
        <v/>
      </c>
      <c r="L92" s="4">
        <f>IFERROR((D92-E92)/E92,"")</f>
        <v/>
      </c>
    </row>
    <row r="93">
      <c r="A93" t="inlineStr">
        <is>
          <t>2026-06-19</t>
        </is>
      </c>
      <c r="B93" t="inlineStr">
        <is>
          <t>159152</t>
        </is>
      </c>
      <c r="C93" t="inlineStr">
        <is>
          <t>港股通科技ETF平安</t>
        </is>
      </c>
      <c r="D93" t="n">
        <v>90955.6093</v>
      </c>
      <c r="E93" t="n">
        <v>90955.6093</v>
      </c>
      <c r="F93" t="n">
        <v>0.7921</v>
      </c>
      <c r="G93" t="n">
        <v>0</v>
      </c>
      <c r="H93" t="n">
        <v>7.204594</v>
      </c>
      <c r="I93" t="n">
        <v>7.139106</v>
      </c>
      <c r="J93" t="n">
        <v>0.065488</v>
      </c>
      <c r="K93" s="4">
        <f>IFERROR(J93/I93,"")</f>
        <v/>
      </c>
      <c r="L93" s="4">
        <f>IFERROR((D93-E93)/E93,"")</f>
        <v/>
      </c>
    </row>
    <row r="94">
      <c r="A94" t="inlineStr">
        <is>
          <t>2026-06-19</t>
        </is>
      </c>
      <c r="B94" t="inlineStr">
        <is>
          <t>159153</t>
        </is>
      </c>
      <c r="C94" t="inlineStr">
        <is>
          <t>消费电子ETF鹏华</t>
        </is>
      </c>
      <c r="D94" t="n">
        <v>9422.5988</v>
      </c>
      <c r="E94" t="n">
        <v>8822.5988</v>
      </c>
      <c r="F94" t="n">
        <v>1.4773</v>
      </c>
      <c r="G94" t="n">
        <v>600</v>
      </c>
      <c r="H94" t="n">
        <v>1.392001</v>
      </c>
      <c r="I94" t="n">
        <v>1.245133</v>
      </c>
      <c r="J94" t="n">
        <v>0.146868</v>
      </c>
      <c r="K94" s="4">
        <f>IFERROR(J94/I94,"")</f>
        <v/>
      </c>
      <c r="L94" s="4">
        <f>IFERROR((D94-E94)/E94,"")</f>
        <v/>
      </c>
    </row>
    <row r="95">
      <c r="A95" t="inlineStr">
        <is>
          <t>2026-06-19</t>
        </is>
      </c>
      <c r="B95" t="inlineStr">
        <is>
          <t>159155</t>
        </is>
      </c>
      <c r="C95" t="inlineStr">
        <is>
          <t>电池ETF大成</t>
        </is>
      </c>
      <c r="D95" t="n">
        <v>54451.3298</v>
      </c>
      <c r="E95" t="n">
        <v>54251.3298</v>
      </c>
      <c r="F95" t="n">
        <v>1.0639</v>
      </c>
      <c r="G95" t="n">
        <v>200</v>
      </c>
      <c r="H95" t="n">
        <v>5.793077</v>
      </c>
      <c r="I95" t="n">
        <v>5.791872</v>
      </c>
      <c r="J95" t="n">
        <v>0.001205</v>
      </c>
      <c r="K95" s="4">
        <f>IFERROR(J95/I95,"")</f>
        <v/>
      </c>
      <c r="L95" s="4">
        <f>IFERROR((D95-E95)/E95,"")</f>
        <v/>
      </c>
    </row>
    <row r="96">
      <c r="A96" t="inlineStr">
        <is>
          <t>2026-06-19</t>
        </is>
      </c>
      <c r="B96" t="inlineStr">
        <is>
          <t>159156</t>
        </is>
      </c>
      <c r="C96" t="inlineStr">
        <is>
          <t>电池ETF万家</t>
        </is>
      </c>
      <c r="D96" t="n">
        <v>21946.1253</v>
      </c>
      <c r="E96" t="n">
        <v>22046.1253</v>
      </c>
      <c r="F96" t="n">
        <v>1.0613</v>
      </c>
      <c r="G96" t="n">
        <v>-100</v>
      </c>
      <c r="H96" t="n">
        <v>2.329142</v>
      </c>
      <c r="I96" t="n">
        <v>2.34218</v>
      </c>
      <c r="J96" t="n">
        <v>-0.013038</v>
      </c>
      <c r="K96" s="4">
        <f>IFERROR(J96/I96,"")</f>
        <v/>
      </c>
      <c r="L96" s="4">
        <f>IFERROR((D96-E96)/E96,"")</f>
        <v/>
      </c>
    </row>
    <row r="97">
      <c r="A97" t="inlineStr">
        <is>
          <t>2026-06-19</t>
        </is>
      </c>
      <c r="B97" t="inlineStr">
        <is>
          <t>159157</t>
        </is>
      </c>
      <c r="C97" t="inlineStr">
        <is>
          <t>有色金属ETF天弘</t>
        </is>
      </c>
      <c r="D97" t="n">
        <v>875675.876</v>
      </c>
      <c r="E97" t="n">
        <v>885075.876</v>
      </c>
      <c r="F97" t="n">
        <v>0.9167999999999999</v>
      </c>
      <c r="G97" t="n">
        <v>-9400</v>
      </c>
      <c r="H97" t="n">
        <v>80.281964</v>
      </c>
      <c r="I97" t="n">
        <v>81.143756</v>
      </c>
      <c r="J97" t="n">
        <v>-0.861792</v>
      </c>
      <c r="K97" s="4">
        <f>IFERROR(J97/I97,"")</f>
        <v/>
      </c>
      <c r="L97" s="4">
        <f>IFERROR((D97-E97)/E97,"")</f>
        <v/>
      </c>
    </row>
    <row r="98">
      <c r="A98" t="inlineStr">
        <is>
          <t>2026-06-19</t>
        </is>
      </c>
      <c r="B98" t="inlineStr">
        <is>
          <t>159158</t>
        </is>
      </c>
      <c r="C98" t="inlineStr">
        <is>
          <t>电力ETF景顺</t>
        </is>
      </c>
      <c r="D98" t="n">
        <v>98653.5344</v>
      </c>
      <c r="E98" t="n">
        <v>98453.5344</v>
      </c>
      <c r="F98" t="n">
        <v>1.0842</v>
      </c>
      <c r="G98" t="n">
        <v>200</v>
      </c>
      <c r="H98" t="n">
        <v>10.696016</v>
      </c>
      <c r="I98" t="n">
        <v>10.759987</v>
      </c>
      <c r="J98" t="n">
        <v>-0.063971</v>
      </c>
      <c r="K98" s="4">
        <f>IFERROR(J98/I98,"")</f>
        <v/>
      </c>
      <c r="L98" s="4">
        <f>IFERROR((D98-E98)/E98,"")</f>
        <v/>
      </c>
    </row>
    <row r="99">
      <c r="A99" t="inlineStr">
        <is>
          <t>2026-06-19</t>
        </is>
      </c>
      <c r="B99" t="inlineStr">
        <is>
          <t>159159</t>
        </is>
      </c>
      <c r="C99" t="inlineStr">
        <is>
          <t>公用事业ETF国投瑞银</t>
        </is>
      </c>
      <c r="D99" t="n">
        <v>11981.8582</v>
      </c>
      <c r="E99" t="n">
        <v>11981.8582</v>
      </c>
      <c r="F99" t="n">
        <v>1.0642</v>
      </c>
      <c r="G99" t="n">
        <v>0</v>
      </c>
      <c r="H99" t="n">
        <v>1.275109</v>
      </c>
      <c r="I99" t="n">
        <v>1.283497</v>
      </c>
      <c r="J99" t="n">
        <v>-0.008388</v>
      </c>
      <c r="K99" s="4">
        <f>IFERROR(J99/I99,"")</f>
        <v/>
      </c>
      <c r="L99" s="4">
        <f>IFERROR((D99-E99)/E99,"")</f>
        <v/>
      </c>
    </row>
    <row r="100">
      <c r="A100" t="inlineStr">
        <is>
          <t>2026-06-19</t>
        </is>
      </c>
      <c r="B100" t="inlineStr">
        <is>
          <t>159160</t>
        </is>
      </c>
      <c r="C100" t="inlineStr">
        <is>
          <t>电池ETF东财</t>
        </is>
      </c>
      <c r="D100" t="n">
        <v>15581.9254</v>
      </c>
      <c r="E100" t="n">
        <v>15381.9254</v>
      </c>
      <c r="F100" t="n">
        <v>1.055</v>
      </c>
      <c r="G100" t="n">
        <v>200</v>
      </c>
      <c r="H100" t="n">
        <v>1.643893</v>
      </c>
      <c r="I100" t="n">
        <v>1.628638</v>
      </c>
      <c r="J100" t="n">
        <v>0.015255</v>
      </c>
      <c r="K100" s="4">
        <f>IFERROR(J100/I100,"")</f>
        <v/>
      </c>
      <c r="L100" s="4">
        <f>IFERROR((D100-E100)/E100,"")</f>
        <v/>
      </c>
    </row>
    <row r="101">
      <c r="A101" t="inlineStr">
        <is>
          <t>2026-06-19</t>
        </is>
      </c>
      <c r="B101" t="inlineStr">
        <is>
          <t>159162</t>
        </is>
      </c>
      <c r="C101" t="inlineStr">
        <is>
          <t>工业有色ETF鹏华</t>
        </is>
      </c>
      <c r="D101" t="n">
        <v>45393.9837</v>
      </c>
      <c r="E101" t="n">
        <v>45893.9837</v>
      </c>
      <c r="F101" t="n">
        <v>0.9044</v>
      </c>
      <c r="G101" t="n">
        <v>-500</v>
      </c>
      <c r="H101" t="n">
        <v>4.105432</v>
      </c>
      <c r="I101" t="n">
        <v>4.151111</v>
      </c>
      <c r="J101" t="n">
        <v>-0.045679</v>
      </c>
      <c r="K101" s="4">
        <f>IFERROR(J101/I101,"")</f>
        <v/>
      </c>
      <c r="L101" s="4">
        <f>IFERROR((D101-E101)/E101,"")</f>
        <v/>
      </c>
    </row>
    <row r="102">
      <c r="A102" t="inlineStr">
        <is>
          <t>2026-06-19</t>
        </is>
      </c>
      <c r="B102" t="inlineStr">
        <is>
          <t>159163</t>
        </is>
      </c>
      <c r="C102" t="inlineStr">
        <is>
          <t>有色ETF泰康</t>
        </is>
      </c>
      <c r="D102" t="n">
        <v>22880.7013</v>
      </c>
      <c r="E102" t="n">
        <v>23180.7013</v>
      </c>
      <c r="F102" t="n">
        <v>0.8189</v>
      </c>
      <c r="G102" t="n">
        <v>-300</v>
      </c>
      <c r="H102" t="n">
        <v>1.873701</v>
      </c>
      <c r="I102" t="n">
        <v>1.902904</v>
      </c>
      <c r="J102" t="n">
        <v>-0.029203</v>
      </c>
      <c r="K102" s="4">
        <f>IFERROR(J102/I102,"")</f>
        <v/>
      </c>
      <c r="L102" s="4">
        <f>IFERROR((D102-E102)/E102,"")</f>
        <v/>
      </c>
    </row>
    <row r="103">
      <c r="A103" t="inlineStr">
        <is>
          <t>2026-06-19</t>
        </is>
      </c>
      <c r="B103" t="inlineStr">
        <is>
          <t>159165</t>
        </is>
      </c>
      <c r="C103" t="inlineStr">
        <is>
          <t>养殖ETF永赢</t>
        </is>
      </c>
      <c r="D103" t="n">
        <v>11157.1257</v>
      </c>
      <c r="E103" t="n">
        <v>11257.1257</v>
      </c>
      <c r="F103" t="n">
        <v>0.7983</v>
      </c>
      <c r="G103" t="n">
        <v>-100</v>
      </c>
      <c r="H103" t="n">
        <v>0.890673</v>
      </c>
      <c r="I103" t="n">
        <v>0.911602</v>
      </c>
      <c r="J103" t="n">
        <v>-0.020929</v>
      </c>
      <c r="K103" s="4">
        <f>IFERROR(J103/I103,"")</f>
        <v/>
      </c>
      <c r="L103" s="4">
        <f>IFERROR((D103-E103)/E103,"")</f>
        <v/>
      </c>
    </row>
    <row r="104">
      <c r="A104" t="inlineStr">
        <is>
          <t>2026-06-19</t>
        </is>
      </c>
      <c r="B104" t="inlineStr">
        <is>
          <t>159166</t>
        </is>
      </c>
      <c r="C104" t="inlineStr">
        <is>
          <t>现金流ETF长城</t>
        </is>
      </c>
      <c r="D104" t="n">
        <v>64381.6059</v>
      </c>
      <c r="E104" t="n">
        <v>65381.6059</v>
      </c>
      <c r="F104" t="n">
        <v>0.8298</v>
      </c>
      <c r="G104" t="n">
        <v>-1000</v>
      </c>
      <c r="H104" t="n">
        <v>5.342386</v>
      </c>
      <c r="I104" t="n">
        <v>5.444326</v>
      </c>
      <c r="J104" t="n">
        <v>-0.10194</v>
      </c>
      <c r="K104" s="4">
        <f>IFERROR(J104/I104,"")</f>
        <v/>
      </c>
      <c r="L104" s="4">
        <f>IFERROR((D104-E104)/E104,"")</f>
        <v/>
      </c>
    </row>
    <row r="105">
      <c r="A105" t="inlineStr">
        <is>
          <t>2026-06-19</t>
        </is>
      </c>
      <c r="B105" t="inlineStr">
        <is>
          <t>159167</t>
        </is>
      </c>
      <c r="C105" t="inlineStr">
        <is>
          <t>港股通医疗ETF工银</t>
        </is>
      </c>
      <c r="D105" t="n">
        <v>24154.9164</v>
      </c>
      <c r="E105" t="n">
        <v>24154.9164</v>
      </c>
      <c r="F105" t="n">
        <v>0.7313</v>
      </c>
      <c r="G105" t="n">
        <v>0</v>
      </c>
      <c r="H105" t="n">
        <v>1.766449</v>
      </c>
      <c r="I105" t="n">
        <v>1.785048</v>
      </c>
      <c r="J105" t="n">
        <v>-0.018599</v>
      </c>
      <c r="K105" s="4">
        <f>IFERROR(J105/I105,"")</f>
        <v/>
      </c>
      <c r="L105" s="4">
        <f>IFERROR((D105-E105)/E105,"")</f>
        <v/>
      </c>
    </row>
    <row r="106">
      <c r="A106" t="inlineStr">
        <is>
          <t>2026-06-19</t>
        </is>
      </c>
      <c r="B106" t="inlineStr">
        <is>
          <t>159168</t>
        </is>
      </c>
      <c r="C106" t="inlineStr">
        <is>
          <t>有色ETF富国</t>
        </is>
      </c>
      <c r="D106" t="n">
        <v>28145.506</v>
      </c>
      <c r="E106" t="n">
        <v>28745.506</v>
      </c>
      <c r="F106" t="n">
        <v>0.954</v>
      </c>
      <c r="G106" t="n">
        <v>-600</v>
      </c>
      <c r="H106" t="n">
        <v>2.685081</v>
      </c>
      <c r="I106" t="n">
        <v>2.742609</v>
      </c>
      <c r="J106" t="n">
        <v>-0.057528</v>
      </c>
      <c r="K106" s="4">
        <f>IFERROR(J106/I106,"")</f>
        <v/>
      </c>
      <c r="L106" s="4">
        <f>IFERROR((D106-E106)/E106,"")</f>
        <v/>
      </c>
    </row>
    <row r="107">
      <c r="A107" t="inlineStr">
        <is>
          <t>2026-06-19</t>
        </is>
      </c>
      <c r="B107" t="inlineStr">
        <is>
          <t>159169</t>
        </is>
      </c>
      <c r="C107" t="inlineStr">
        <is>
          <t>恒生生物科技ETF广发</t>
        </is>
      </c>
      <c r="D107" t="n">
        <v>19487.4485</v>
      </c>
      <c r="E107" t="n">
        <v>19487.4485</v>
      </c>
      <c r="F107" t="n">
        <v>0.7739</v>
      </c>
      <c r="G107" t="n">
        <v>0</v>
      </c>
      <c r="H107" t="n">
        <v>1.508134</v>
      </c>
      <c r="I107" t="n">
        <v>1.528985</v>
      </c>
      <c r="J107" t="n">
        <v>-0.020851</v>
      </c>
      <c r="K107" s="4">
        <f>IFERROR(J107/I107,"")</f>
        <v/>
      </c>
      <c r="L107" s="4">
        <f>IFERROR((D107-E107)/E107,"")</f>
        <v/>
      </c>
    </row>
    <row r="108">
      <c r="A108" t="inlineStr">
        <is>
          <t>2026-06-19</t>
        </is>
      </c>
      <c r="B108" t="inlineStr">
        <is>
          <t>159170</t>
        </is>
      </c>
      <c r="C108" t="inlineStr">
        <is>
          <t>港股通互联网ETF永赢</t>
        </is>
      </c>
      <c r="D108" t="n">
        <v>40463.8357</v>
      </c>
      <c r="E108" t="n">
        <v>40463.8357</v>
      </c>
      <c r="F108" t="n">
        <v>0.8467</v>
      </c>
      <c r="G108" t="n">
        <v>0</v>
      </c>
      <c r="H108" t="n">
        <v>3.426073</v>
      </c>
      <c r="I108" t="n">
        <v>3.445496</v>
      </c>
      <c r="J108" t="n">
        <v>-0.019423</v>
      </c>
      <c r="K108" s="4">
        <f>IFERROR(J108/I108,"")</f>
        <v/>
      </c>
      <c r="L108" s="4">
        <f>IFERROR((D108-E108)/E108,"")</f>
        <v/>
      </c>
    </row>
    <row r="109">
      <c r="A109" t="inlineStr">
        <is>
          <t>2026-06-19</t>
        </is>
      </c>
      <c r="B109" t="inlineStr">
        <is>
          <t>159171</t>
        </is>
      </c>
      <c r="C109" t="inlineStr">
        <is>
          <t>工业有色ETF博时</t>
        </is>
      </c>
      <c r="D109" t="n">
        <v>22253.2934</v>
      </c>
      <c r="E109" t="n">
        <v>22553.2934</v>
      </c>
      <c r="F109" t="n">
        <v>0.8782</v>
      </c>
      <c r="G109" t="n">
        <v>-300</v>
      </c>
      <c r="H109" t="n">
        <v>1.954284</v>
      </c>
      <c r="I109" t="n">
        <v>1.98063</v>
      </c>
      <c r="J109" t="n">
        <v>-0.026346</v>
      </c>
      <c r="K109" s="4">
        <f>IFERROR(J109/I109,"")</f>
        <v/>
      </c>
      <c r="L109" s="4">
        <f>IFERROR((D109-E109)/E109,"")</f>
        <v/>
      </c>
    </row>
    <row r="110">
      <c r="A110" t="inlineStr">
        <is>
          <t>2026-06-19</t>
        </is>
      </c>
      <c r="B110" t="inlineStr">
        <is>
          <t>159172</t>
        </is>
      </c>
      <c r="C110" t="inlineStr">
        <is>
          <t>养殖ETF汇添富</t>
        </is>
      </c>
      <c r="D110" t="n">
        <v>39582.9293</v>
      </c>
      <c r="E110" t="n">
        <v>39682.9293</v>
      </c>
      <c r="F110" t="n">
        <v>0.7677</v>
      </c>
      <c r="G110" t="n">
        <v>-100</v>
      </c>
      <c r="H110" t="n">
        <v>3.038781</v>
      </c>
      <c r="I110" t="n">
        <v>3.09011</v>
      </c>
      <c r="J110" t="n">
        <v>-0.051329</v>
      </c>
      <c r="K110" s="4">
        <f>IFERROR(J110/I110,"")</f>
        <v/>
      </c>
      <c r="L110" s="4">
        <f>IFERROR((D110-E110)/E110,"")</f>
        <v/>
      </c>
    </row>
    <row r="111">
      <c r="A111" t="inlineStr">
        <is>
          <t>2026-06-19</t>
        </is>
      </c>
      <c r="B111" t="inlineStr">
        <is>
          <t>159173</t>
        </is>
      </c>
      <c r="C111" t="inlineStr">
        <is>
          <t>农牧ETF南方</t>
        </is>
      </c>
      <c r="D111" t="n">
        <v>5545.5388</v>
      </c>
      <c r="E111" t="n">
        <v>5745.5388</v>
      </c>
      <c r="F111" t="n">
        <v>0.8108</v>
      </c>
      <c r="G111" t="n">
        <v>-200</v>
      </c>
      <c r="H111" t="n">
        <v>0.449632</v>
      </c>
      <c r="I111" t="n">
        <v>0.473203</v>
      </c>
      <c r="J111" t="n">
        <v>-0.023571</v>
      </c>
      <c r="K111" s="4">
        <f>IFERROR(J111/I111,"")</f>
        <v/>
      </c>
      <c r="L111" s="4">
        <f>IFERROR((D111-E111)/E111,"")</f>
        <v/>
      </c>
    </row>
    <row r="112">
      <c r="A112" t="inlineStr">
        <is>
          <t>2026-06-19</t>
        </is>
      </c>
      <c r="B112" t="inlineStr">
        <is>
          <t>159175</t>
        </is>
      </c>
      <c r="C112" t="inlineStr">
        <is>
          <t>电池ETF易方达</t>
        </is>
      </c>
      <c r="D112" t="n">
        <v>29327.0382</v>
      </c>
      <c r="E112" t="n">
        <v>22827.0382</v>
      </c>
      <c r="F112" t="n">
        <v>1.1304</v>
      </c>
      <c r="G112" t="n">
        <v>6500</v>
      </c>
      <c r="H112" t="n">
        <v>3.315128</v>
      </c>
      <c r="I112" t="n">
        <v>2.589271</v>
      </c>
      <c r="J112" t="n">
        <v>0.725857</v>
      </c>
      <c r="K112" s="4">
        <f>IFERROR(J112/I112,"")</f>
        <v/>
      </c>
      <c r="L112" s="4">
        <f>IFERROR((D112-E112)/E112,"")</f>
        <v/>
      </c>
    </row>
    <row r="113">
      <c r="A113" t="inlineStr">
        <is>
          <t>2026-06-19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2230.3341</v>
      </c>
      <c r="F113" t="n">
        <v>1.021</v>
      </c>
      <c r="G113" t="n">
        <v>100</v>
      </c>
      <c r="H113" t="n">
        <v>0.237927</v>
      </c>
      <c r="I113" t="n">
        <v>0.227873</v>
      </c>
      <c r="J113" t="n">
        <v>0.010054</v>
      </c>
      <c r="K113" s="4">
        <f>IFERROR(J113/I113,"")</f>
        <v/>
      </c>
      <c r="L113" s="4">
        <f>IFERROR((D113-E113)/E113,"")</f>
        <v/>
      </c>
    </row>
    <row r="114">
      <c r="A114" t="inlineStr">
        <is>
          <t>2026-06-19</t>
        </is>
      </c>
      <c r="B114" t="inlineStr">
        <is>
          <t>159177</t>
        </is>
      </c>
      <c r="C114" t="inlineStr">
        <is>
          <t>工程机械ETF鹏华</t>
        </is>
      </c>
      <c r="D114" t="n">
        <v>4761.9279</v>
      </c>
      <c r="E114" t="n">
        <v>4761.9279</v>
      </c>
      <c r="F114" t="n">
        <v>1.0319</v>
      </c>
      <c r="G114" t="n">
        <v>0</v>
      </c>
      <c r="H114" t="n">
        <v>0.491383</v>
      </c>
      <c r="I114" t="n">
        <v>0.48686</v>
      </c>
      <c r="J114" t="n">
        <v>0.004523</v>
      </c>
      <c r="K114" s="4">
        <f>IFERROR(J114/I114,"")</f>
        <v/>
      </c>
      <c r="L114" s="4">
        <f>IFERROR((D114-E114)/E114,"")</f>
        <v/>
      </c>
    </row>
    <row r="115">
      <c r="A115" t="inlineStr">
        <is>
          <t>2026-06-19</t>
        </is>
      </c>
      <c r="B115" t="inlineStr">
        <is>
          <t>159178</t>
        </is>
      </c>
      <c r="C115" t="inlineStr">
        <is>
          <t>消费电子ETF汇添富</t>
        </is>
      </c>
      <c r="D115" t="n">
        <v>6443.2994</v>
      </c>
      <c r="E115" t="n">
        <v>6143.2994</v>
      </c>
      <c r="F115" t="n">
        <v>1.2975</v>
      </c>
      <c r="G115" t="n">
        <v>300</v>
      </c>
      <c r="H115" t="n">
        <v>0.836018</v>
      </c>
      <c r="I115" t="n">
        <v>0.761278</v>
      </c>
      <c r="J115" t="n">
        <v>0.07474</v>
      </c>
      <c r="K115" s="4">
        <f>IFERROR(J115/I115,"")</f>
        <v/>
      </c>
      <c r="L115" s="4">
        <f>IFERROR((D115-E115)/E115,"")</f>
        <v/>
      </c>
    </row>
    <row r="116">
      <c r="A116" t="inlineStr">
        <is>
          <t>2026-06-19</t>
        </is>
      </c>
      <c r="B116" t="inlineStr">
        <is>
          <t>159179</t>
        </is>
      </c>
      <c r="C116" t="inlineStr">
        <is>
          <t>港股通互联网ETF工银</t>
        </is>
      </c>
      <c r="D116" t="n">
        <v>9690.3568</v>
      </c>
      <c r="E116" t="n">
        <v>9490.3568</v>
      </c>
      <c r="F116" t="n">
        <v>0.8385</v>
      </c>
      <c r="G116" t="n">
        <v>200</v>
      </c>
      <c r="H116" t="n">
        <v>0.812536</v>
      </c>
      <c r="I116" t="n">
        <v>0.801176</v>
      </c>
      <c r="J116" t="n">
        <v>0.01136</v>
      </c>
      <c r="K116" s="4">
        <f>IFERROR(J116/I116,"")</f>
        <v/>
      </c>
      <c r="L116" s="4">
        <f>IFERROR((D116-E116)/E116,"")</f>
        <v/>
      </c>
    </row>
    <row r="117">
      <c r="A117" t="inlineStr">
        <is>
          <t>2026-06-19</t>
        </is>
      </c>
      <c r="B117" t="inlineStr">
        <is>
          <t>159180</t>
        </is>
      </c>
      <c r="C117" t="inlineStr">
        <is>
          <t>软件ETF银华</t>
        </is>
      </c>
      <c r="D117" t="n">
        <v>3015.5926</v>
      </c>
      <c r="E117" t="n">
        <v>3015.5926</v>
      </c>
      <c r="F117" t="n">
        <v>1.1971</v>
      </c>
      <c r="G117" t="n">
        <v>0</v>
      </c>
      <c r="H117" t="n">
        <v>0.360997</v>
      </c>
      <c r="I117" t="n">
        <v>0.355327</v>
      </c>
      <c r="J117" t="n">
        <v>0.00567</v>
      </c>
      <c r="K117" s="4">
        <f>IFERROR(J117/I117,"")</f>
        <v/>
      </c>
      <c r="L117" s="4">
        <f>IFERROR((D117-E117)/E117,"")</f>
        <v/>
      </c>
    </row>
    <row r="118">
      <c r="A118" t="inlineStr">
        <is>
          <t>2026-06-19</t>
        </is>
      </c>
      <c r="B118" t="inlineStr">
        <is>
          <t>159181</t>
        </is>
      </c>
      <c r="C118" t="inlineStr">
        <is>
          <t>石油ETF易方达</t>
        </is>
      </c>
      <c r="D118" t="n">
        <v>15540.5335</v>
      </c>
      <c r="E118" t="n">
        <v>15940.5335</v>
      </c>
      <c r="F118" t="n">
        <v>0.8542999999999999</v>
      </c>
      <c r="G118" t="n">
        <v>-400</v>
      </c>
      <c r="H118" t="n">
        <v>1.327628</v>
      </c>
      <c r="I118" t="n">
        <v>1.35383</v>
      </c>
      <c r="J118" t="n">
        <v>-0.026202</v>
      </c>
      <c r="K118" s="4">
        <f>IFERROR(J118/I118,"")</f>
        <v/>
      </c>
      <c r="L118" s="4">
        <f>IFERROR((D118-E118)/E118,"")</f>
        <v/>
      </c>
    </row>
    <row r="119">
      <c r="A119" t="inlineStr">
        <is>
          <t>2026-06-19</t>
        </is>
      </c>
      <c r="B119" t="inlineStr">
        <is>
          <t>159182</t>
        </is>
      </c>
      <c r="C119" t="inlineStr">
        <is>
          <t>家电ETF南方</t>
        </is>
      </c>
      <c r="D119" t="n">
        <v>4048.5663</v>
      </c>
      <c r="E119" t="n">
        <v>4048.5663</v>
      </c>
      <c r="F119" t="n">
        <v>0.9582000000000001</v>
      </c>
      <c r="G119" t="n">
        <v>0</v>
      </c>
      <c r="H119" t="n">
        <v>0.387934</v>
      </c>
      <c r="I119" t="n">
        <v>0.388298</v>
      </c>
      <c r="J119" t="n">
        <v>-0.000364</v>
      </c>
      <c r="K119" s="4">
        <f>IFERROR(J119/I119,"")</f>
        <v/>
      </c>
      <c r="L119" s="4">
        <f>IFERROR((D119-E119)/E119,"")</f>
        <v/>
      </c>
    </row>
    <row r="120">
      <c r="A120" t="inlineStr">
        <is>
          <t>2026-06-19</t>
        </is>
      </c>
      <c r="B120" t="inlineStr">
        <is>
          <t>159183</t>
        </is>
      </c>
      <c r="C120" t="inlineStr">
        <is>
          <t>新能源车ETF招商</t>
        </is>
      </c>
      <c r="D120" t="n">
        <v>4838.7793</v>
      </c>
      <c r="E120" t="n">
        <v>4838.7793</v>
      </c>
      <c r="F120" t="n">
        <v>1.0412</v>
      </c>
      <c r="G120" t="n">
        <v>0</v>
      </c>
      <c r="H120" t="n">
        <v>0.503814</v>
      </c>
      <c r="I120" t="n">
        <v>0.506669</v>
      </c>
      <c r="J120" t="n">
        <v>-0.002855</v>
      </c>
      <c r="K120" s="4">
        <f>IFERROR(J120/I120,"")</f>
        <v/>
      </c>
      <c r="L120" s="4">
        <f>IFERROR((D120-E120)/E120,"")</f>
        <v/>
      </c>
    </row>
    <row r="121">
      <c r="A121" t="inlineStr">
        <is>
          <t>2026-06-19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16009.9035</v>
      </c>
      <c r="E121" t="n">
        <v>16409.9035</v>
      </c>
      <c r="F121" t="n">
        <v>1.2665</v>
      </c>
      <c r="G121" t="n">
        <v>-400</v>
      </c>
      <c r="H121" t="n">
        <v>2.027654</v>
      </c>
      <c r="I121" t="n">
        <v>2.025967</v>
      </c>
      <c r="J121" t="n">
        <v>0.001687</v>
      </c>
      <c r="K121" s="4">
        <f>IFERROR(J121/I121,"")</f>
        <v/>
      </c>
      <c r="L121" s="4">
        <f>IFERROR((D121-E121)/E121,"")</f>
        <v/>
      </c>
    </row>
    <row r="122">
      <c r="A122" t="inlineStr">
        <is>
          <t>2026-06-19</t>
        </is>
      </c>
      <c r="B122" t="inlineStr">
        <is>
          <t>159186</t>
        </is>
      </c>
      <c r="C122" t="inlineStr">
        <is>
          <t>港股通汽车ETF鹏华</t>
        </is>
      </c>
      <c r="D122" t="n">
        <v>10486.9245</v>
      </c>
      <c r="E122" t="n">
        <v>10486.9245</v>
      </c>
      <c r="F122" t="n">
        <v>0.8087</v>
      </c>
      <c r="G122" t="n">
        <v>0</v>
      </c>
      <c r="H122" t="n">
        <v>0.848078</v>
      </c>
      <c r="I122" t="n">
        <v>0.863074</v>
      </c>
      <c r="J122" t="n">
        <v>-0.014996</v>
      </c>
      <c r="K122" s="4">
        <f>IFERROR(J122/I122,"")</f>
        <v/>
      </c>
      <c r="L122" s="4">
        <f>IFERROR((D122-E122)/E122,"")</f>
        <v/>
      </c>
    </row>
    <row r="123">
      <c r="A123" t="inlineStr">
        <is>
          <t>2026-06-19</t>
        </is>
      </c>
      <c r="B123" t="inlineStr">
        <is>
          <t>159187</t>
        </is>
      </c>
      <c r="C123" t="inlineStr">
        <is>
          <t>创业板新能源ETF景顺</t>
        </is>
      </c>
      <c r="D123" t="n">
        <v>5417.6266</v>
      </c>
      <c r="E123" t="n">
        <v>5517.6266</v>
      </c>
      <c r="F123" t="n">
        <v>1.0692</v>
      </c>
      <c r="G123" t="n">
        <v>-100</v>
      </c>
      <c r="H123" t="n">
        <v>0.579253</v>
      </c>
      <c r="I123" t="n">
        <v>0.5916</v>
      </c>
      <c r="J123" t="n">
        <v>-0.012347</v>
      </c>
      <c r="K123" s="4">
        <f>IFERROR(J123/I123,"")</f>
        <v/>
      </c>
      <c r="L123" s="4">
        <f>IFERROR((D123-E123)/E123,"")</f>
        <v/>
      </c>
    </row>
    <row r="124">
      <c r="A124" t="inlineStr">
        <is>
          <t>2026-06-19</t>
        </is>
      </c>
      <c r="B124" t="inlineStr">
        <is>
          <t>159188</t>
        </is>
      </c>
      <c r="C124" t="inlineStr">
        <is>
          <t>红利100ETF景顺</t>
        </is>
      </c>
      <c r="D124" t="n">
        <v>7260.1882</v>
      </c>
      <c r="E124" t="n">
        <v>7260.1882</v>
      </c>
      <c r="F124" t="n">
        <v>0.9293</v>
      </c>
      <c r="G124" t="n">
        <v>0</v>
      </c>
      <c r="H124" t="n">
        <v>0.674689</v>
      </c>
      <c r="I124" t="n">
        <v>0.679626</v>
      </c>
      <c r="J124" t="n">
        <v>-0.004937</v>
      </c>
      <c r="K124" s="4">
        <f>IFERROR(J124/I124,"")</f>
        <v/>
      </c>
      <c r="L124" s="4">
        <f>IFERROR((D124-E124)/E124,"")</f>
        <v/>
      </c>
    </row>
    <row r="125">
      <c r="A125" t="inlineStr">
        <is>
          <t>2026-06-19</t>
        </is>
      </c>
      <c r="B125" t="inlineStr">
        <is>
          <t>159189</t>
        </is>
      </c>
      <c r="C125" t="inlineStr">
        <is>
          <t>石油ETF华夏</t>
        </is>
      </c>
      <c r="D125" t="n">
        <v>12708.3187</v>
      </c>
      <c r="E125" t="n">
        <v>12908.3187</v>
      </c>
      <c r="F125" t="n">
        <v>0.8596</v>
      </c>
      <c r="G125" t="n">
        <v>-200</v>
      </c>
      <c r="H125" t="n">
        <v>1.092407</v>
      </c>
      <c r="I125" t="n">
        <v>1.103274</v>
      </c>
      <c r="J125" t="n">
        <v>-0.010867</v>
      </c>
      <c r="K125" s="4">
        <f>IFERROR(J125/I125,"")</f>
        <v/>
      </c>
      <c r="L125" s="4">
        <f>IFERROR((D125-E125)/E125,"")</f>
        <v/>
      </c>
    </row>
    <row r="126">
      <c r="A126" t="inlineStr">
        <is>
          <t>2026-06-19</t>
        </is>
      </c>
      <c r="B126" t="inlineStr">
        <is>
          <t>159190</t>
        </is>
      </c>
      <c r="C126" t="inlineStr">
        <is>
          <t>创业板新能源ETF天弘</t>
        </is>
      </c>
      <c r="D126" t="n">
        <v>7006.9299</v>
      </c>
      <c r="E126" t="n">
        <v>6806.9299</v>
      </c>
      <c r="F126" t="n">
        <v>1.0639</v>
      </c>
      <c r="G126" t="n">
        <v>200</v>
      </c>
      <c r="H126" t="n">
        <v>0.745467</v>
      </c>
      <c r="I126" t="n">
        <v>0.726163</v>
      </c>
      <c r="J126" t="n">
        <v>0.019304</v>
      </c>
      <c r="K126" s="4">
        <f>IFERROR(J126/I126,"")</f>
        <v/>
      </c>
      <c r="L126" s="4">
        <f>IFERROR((D126-E126)/E126,"")</f>
        <v/>
      </c>
    </row>
    <row r="127">
      <c r="A127" t="inlineStr">
        <is>
          <t>2026-06-19</t>
        </is>
      </c>
      <c r="B127" t="inlineStr">
        <is>
          <t>159191</t>
        </is>
      </c>
      <c r="C127" t="inlineStr">
        <is>
          <t>港股通科技ETF易方达</t>
        </is>
      </c>
      <c r="D127" t="n">
        <v>7810.4851</v>
      </c>
      <c r="E127" t="n">
        <v>7810.4851</v>
      </c>
      <c r="F127" t="n">
        <v>0.884</v>
      </c>
      <c r="G127" t="n">
        <v>0</v>
      </c>
      <c r="H127" t="n">
        <v>0.690447</v>
      </c>
      <c r="I127" t="n">
        <v>0.691228</v>
      </c>
      <c r="J127" t="n">
        <v>-0.000781</v>
      </c>
      <c r="K127" s="4">
        <f>IFERROR(J127/I127,"")</f>
        <v/>
      </c>
      <c r="L127" s="4">
        <f>IFERROR((D127-E127)/E127,"")</f>
        <v/>
      </c>
    </row>
    <row r="128">
      <c r="A128" t="inlineStr">
        <is>
          <t>2026-06-19</t>
        </is>
      </c>
      <c r="B128" t="inlineStr">
        <is>
          <t>159192</t>
        </is>
      </c>
      <c r="C128" t="inlineStr">
        <is>
          <t>家电ETF汇添富</t>
        </is>
      </c>
      <c r="D128" t="n">
        <v>2298.7065</v>
      </c>
      <c r="E128" t="n">
        <v>2298.7065</v>
      </c>
      <c r="F128" t="n">
        <v>0.9889</v>
      </c>
      <c r="G128" t="n">
        <v>0</v>
      </c>
      <c r="H128" t="n">
        <v>0.227319</v>
      </c>
      <c r="I128" t="n">
        <v>0.227526</v>
      </c>
      <c r="J128" t="n">
        <v>-0.000207</v>
      </c>
      <c r="K128" s="4">
        <f>IFERROR(J128/I128,"")</f>
        <v/>
      </c>
      <c r="L128" s="4">
        <f>IFERROR((D128-E128)/E128,"")</f>
        <v/>
      </c>
    </row>
    <row r="129">
      <c r="A129" t="inlineStr">
        <is>
          <t>2026-06-19</t>
        </is>
      </c>
      <c r="B129" t="inlineStr">
        <is>
          <t>159193</t>
        </is>
      </c>
      <c r="C129" t="inlineStr">
        <is>
          <t>新能源电池ETF银华</t>
        </is>
      </c>
      <c r="D129" t="n">
        <v>23608.0335</v>
      </c>
      <c r="E129" t="n">
        <v>23608.0335</v>
      </c>
      <c r="F129" t="n">
        <v>0.9944</v>
      </c>
      <c r="G129" t="n">
        <v>0</v>
      </c>
      <c r="H129" t="n">
        <v>2.347583</v>
      </c>
      <c r="I129" t="n">
        <v>2.334835</v>
      </c>
      <c r="J129" t="n">
        <v>0.012748</v>
      </c>
      <c r="K129" s="4">
        <f>IFERROR(J129/I129,"")</f>
        <v/>
      </c>
      <c r="L129" s="4">
        <f>IFERROR((D129-E129)/E129,"")</f>
        <v/>
      </c>
    </row>
    <row r="130">
      <c r="A130" t="inlineStr">
        <is>
          <t>2026-06-19</t>
        </is>
      </c>
      <c r="B130" t="inlineStr">
        <is>
          <t>159195</t>
        </is>
      </c>
      <c r="C130" t="inlineStr">
        <is>
          <t>石油ETF华安</t>
        </is>
      </c>
      <c r="D130" t="n">
        <v>9749.0164</v>
      </c>
      <c r="E130" t="n">
        <v>9749.0164</v>
      </c>
      <c r="F130" t="n">
        <v>0.8784999999999999</v>
      </c>
      <c r="G130" t="n">
        <v>0</v>
      </c>
      <c r="H130" t="n">
        <v>0.856451</v>
      </c>
      <c r="I130" t="n">
        <v>0.851577</v>
      </c>
      <c r="J130" t="n">
        <v>0.004874</v>
      </c>
      <c r="K130" s="4">
        <f>IFERROR(J130/I130,"")</f>
        <v/>
      </c>
      <c r="L130" s="4">
        <f>IFERROR((D130-E130)/E130,"")</f>
        <v/>
      </c>
    </row>
    <row r="131">
      <c r="A131" t="inlineStr">
        <is>
          <t>2026-06-19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19853.0324</v>
      </c>
      <c r="E131" t="n">
        <v>19953.0324</v>
      </c>
      <c r="F131" t="n">
        <v>1.4205</v>
      </c>
      <c r="G131" t="n">
        <v>-100</v>
      </c>
      <c r="H131" t="n">
        <v>2.820123</v>
      </c>
      <c r="I131" t="n">
        <v>2.759305</v>
      </c>
      <c r="J131" t="n">
        <v>0.060818</v>
      </c>
      <c r="K131" s="4">
        <f>IFERROR(J131/I131,"")</f>
        <v/>
      </c>
      <c r="L131" s="4">
        <f>IFERROR((D131-E131)/E131,"")</f>
        <v/>
      </c>
    </row>
    <row r="132">
      <c r="A132" t="inlineStr">
        <is>
          <t>2026-06-19</t>
        </is>
      </c>
      <c r="B132" t="inlineStr">
        <is>
          <t>159197</t>
        </is>
      </c>
      <c r="C132" t="inlineStr">
        <is>
          <t>石油ETF招商</t>
        </is>
      </c>
      <c r="D132" t="n">
        <v>4838.829</v>
      </c>
      <c r="E132" t="n">
        <v>4838.829</v>
      </c>
      <c r="F132" t="n">
        <v>0.8771</v>
      </c>
      <c r="G132" t="n">
        <v>0</v>
      </c>
      <c r="H132" t="n">
        <v>0.424414</v>
      </c>
      <c r="I132" t="n">
        <v>0.421946</v>
      </c>
      <c r="J132" t="n">
        <v>0.002468</v>
      </c>
      <c r="K132" s="4">
        <f>IFERROR(J132/I132,"")</f>
        <v/>
      </c>
      <c r="L132" s="4">
        <f>IFERROR((D132-E132)/E132,"")</f>
        <v/>
      </c>
    </row>
    <row r="133">
      <c r="A133" t="inlineStr">
        <is>
          <t>2026-06-19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7634.4347</v>
      </c>
      <c r="E133" t="n">
        <v>7634.4347</v>
      </c>
      <c r="F133" t="n">
        <v>1.4276</v>
      </c>
      <c r="G133" t="n">
        <v>0</v>
      </c>
      <c r="H133" t="n">
        <v>1.089892</v>
      </c>
      <c r="I133" t="n">
        <v>1.061034</v>
      </c>
      <c r="J133" t="n">
        <v>0.028858</v>
      </c>
      <c r="K133" s="4">
        <f>IFERROR(J133/I133,"")</f>
        <v/>
      </c>
      <c r="L133" s="4">
        <f>IFERROR((D133-E133)/E133,"")</f>
        <v/>
      </c>
    </row>
    <row r="134">
      <c r="A134" t="inlineStr">
        <is>
          <t>2026-06-19</t>
        </is>
      </c>
      <c r="B134" t="inlineStr">
        <is>
          <t>159199</t>
        </is>
      </c>
      <c r="C134" t="inlineStr">
        <is>
          <t>石油ETF平安</t>
        </is>
      </c>
      <c r="D134" t="n">
        <v>9015.4938</v>
      </c>
      <c r="E134" t="n">
        <v>9015.4938</v>
      </c>
      <c r="F134" t="n">
        <v>0.8743</v>
      </c>
      <c r="G134" t="n">
        <v>0</v>
      </c>
      <c r="H134" t="n">
        <v>0.788225</v>
      </c>
      <c r="I134" t="n">
        <v>0.783807</v>
      </c>
      <c r="J134" t="n">
        <v>0.004418</v>
      </c>
      <c r="K134" s="4">
        <f>IFERROR(J134/I134,"")</f>
        <v/>
      </c>
      <c r="L134" s="4">
        <f>IFERROR((D134-E134)/E134,"")</f>
        <v/>
      </c>
    </row>
    <row r="135">
      <c r="A135" t="inlineStr">
        <is>
          <t>2026-06-19</t>
        </is>
      </c>
      <c r="B135" t="inlineStr">
        <is>
          <t>159200</t>
        </is>
      </c>
      <c r="C135" t="inlineStr">
        <is>
          <t>科创债ETF富国</t>
        </is>
      </c>
      <c r="D135" t="n">
        <v>15361.2633</v>
      </c>
      <c r="E135" t="n">
        <v>15258.2633</v>
      </c>
      <c r="F135" t="n">
        <v>101.661</v>
      </c>
      <c r="G135" t="n">
        <v>103</v>
      </c>
      <c r="H135" t="n">
        <v>156.164139</v>
      </c>
      <c r="I135" t="n">
        <v>155.083005</v>
      </c>
      <c r="J135" t="n">
        <v>1.081134</v>
      </c>
      <c r="K135" s="4">
        <f>IFERROR(J135/I135,"")</f>
        <v/>
      </c>
      <c r="L135" s="4">
        <f>IFERROR((D135-E135)/E135,"")</f>
        <v/>
      </c>
    </row>
    <row r="136">
      <c r="A136" t="inlineStr">
        <is>
          <t>2026-06-19</t>
        </is>
      </c>
      <c r="B136" t="inlineStr">
        <is>
          <t>159201</t>
        </is>
      </c>
      <c r="C136" t="inlineStr">
        <is>
          <t>自由现金流ETF华夏</t>
        </is>
      </c>
      <c r="D136" t="n">
        <v>1280027.5939</v>
      </c>
      <c r="E136" t="n">
        <v>1296127.5939</v>
      </c>
      <c r="F136" t="n">
        <v>1.1419</v>
      </c>
      <c r="G136" t="n">
        <v>-16100</v>
      </c>
      <c r="H136" t="n">
        <v>146.166351</v>
      </c>
      <c r="I136" t="n">
        <v>148.549184</v>
      </c>
      <c r="J136" t="n">
        <v>-2.382833</v>
      </c>
      <c r="K136" s="4">
        <f>IFERROR(J136/I136,"")</f>
        <v/>
      </c>
      <c r="L136" s="4">
        <f>IFERROR((D136-E136)/E136,"")</f>
        <v/>
      </c>
    </row>
    <row r="137">
      <c r="A137" t="inlineStr">
        <is>
          <t>2026-06-19</t>
        </is>
      </c>
      <c r="B137" t="inlineStr">
        <is>
          <t>159202</t>
        </is>
      </c>
      <c r="C137" t="inlineStr">
        <is>
          <t>恒生互联网ETF万家</t>
        </is>
      </c>
      <c r="D137" t="n">
        <v>118940.19</v>
      </c>
      <c r="E137" t="n">
        <v>118940.19</v>
      </c>
      <c r="F137" t="n">
        <v>0.8162</v>
      </c>
      <c r="G137" t="n">
        <v>0</v>
      </c>
      <c r="H137" t="n">
        <v>9.707898</v>
      </c>
      <c r="I137" t="n">
        <v>9.696004</v>
      </c>
      <c r="J137" t="n">
        <v>0.011894</v>
      </c>
      <c r="K137" s="4">
        <f>IFERROR(J137/I137,"")</f>
        <v/>
      </c>
      <c r="L137" s="4">
        <f>IFERROR((D137-E137)/E137,"")</f>
        <v/>
      </c>
    </row>
    <row r="138">
      <c r="A138" t="inlineStr">
        <is>
          <t>2026-06-19</t>
        </is>
      </c>
      <c r="B138" t="inlineStr">
        <is>
          <t>159203</t>
        </is>
      </c>
      <c r="C138" t="inlineStr">
        <is>
          <t>大盘成长ETF博时</t>
        </is>
      </c>
      <c r="D138" t="n">
        <v>479.1913</v>
      </c>
      <c r="E138" t="n">
        <v>479.1913</v>
      </c>
      <c r="F138" t="n">
        <v>1.4807</v>
      </c>
      <c r="G138" t="n">
        <v>0</v>
      </c>
      <c r="H138" t="n">
        <v>0.070954</v>
      </c>
      <c r="I138" t="n">
        <v>0.070134</v>
      </c>
      <c r="J138" t="n">
        <v>0.00082</v>
      </c>
      <c r="K138" s="4">
        <f>IFERROR(J138/I138,"")</f>
        <v/>
      </c>
      <c r="L138" s="4">
        <f>IFERROR((D138-E138)/E138,"")</f>
        <v/>
      </c>
    </row>
    <row r="139">
      <c r="A139" t="inlineStr">
        <is>
          <t>2026-06-19</t>
        </is>
      </c>
      <c r="B139" t="inlineStr">
        <is>
          <t>159205</t>
        </is>
      </c>
      <c r="C139" t="inlineStr">
        <is>
          <t>创业板ETF东财</t>
        </is>
      </c>
      <c r="D139" t="n">
        <v>28105.6064</v>
      </c>
      <c r="E139" t="n">
        <v>28505.6064</v>
      </c>
      <c r="F139" t="n">
        <v>2.0409</v>
      </c>
      <c r="G139" t="n">
        <v>-400</v>
      </c>
      <c r="H139" t="n">
        <v>5.736073</v>
      </c>
      <c r="I139" t="n">
        <v>5.728487</v>
      </c>
      <c r="J139" t="n">
        <v>0.007586</v>
      </c>
      <c r="K139" s="4">
        <f>IFERROR(J139/I139,"")</f>
        <v/>
      </c>
      <c r="L139" s="4">
        <f>IFERROR((D139-E139)/E139,"")</f>
        <v/>
      </c>
    </row>
    <row r="140">
      <c r="A140" t="inlineStr">
        <is>
          <t>2026-06-19</t>
        </is>
      </c>
      <c r="B140" t="inlineStr">
        <is>
          <t>159206</t>
        </is>
      </c>
      <c r="C140" t="inlineStr">
        <is>
          <t>卫星ETF永赢</t>
        </is>
      </c>
      <c r="D140" t="n">
        <v>1055895.3365</v>
      </c>
      <c r="E140" t="n">
        <v>1061195.3365</v>
      </c>
      <c r="F140" t="n">
        <v>1.6703</v>
      </c>
      <c r="G140" t="n">
        <v>-5300</v>
      </c>
      <c r="H140" t="n">
        <v>176.366198</v>
      </c>
      <c r="I140" t="n">
        <v>173.197691</v>
      </c>
      <c r="J140" t="n">
        <v>3.168507</v>
      </c>
      <c r="K140" s="4">
        <f>IFERROR(J140/I140,"")</f>
        <v/>
      </c>
      <c r="L140" s="4">
        <f>IFERROR((D140-E140)/E140,"")</f>
        <v/>
      </c>
    </row>
    <row r="141">
      <c r="A141" t="inlineStr">
        <is>
          <t>2026-06-19</t>
        </is>
      </c>
      <c r="B141" t="inlineStr">
        <is>
          <t>159207</t>
        </is>
      </c>
      <c r="C141" t="inlineStr">
        <is>
          <t>高股息ETF广发</t>
        </is>
      </c>
      <c r="D141" t="n">
        <v>162998.3345</v>
      </c>
      <c r="E141" t="n">
        <v>163398.3345</v>
      </c>
      <c r="F141" t="n">
        <v>1.1319</v>
      </c>
      <c r="G141" t="n">
        <v>-400</v>
      </c>
      <c r="H141" t="n">
        <v>18.449781</v>
      </c>
      <c r="I141" t="n">
        <v>18.669894</v>
      </c>
      <c r="J141" t="n">
        <v>-0.220113</v>
      </c>
      <c r="K141" s="4">
        <f>IFERROR(J141/I141,"")</f>
        <v/>
      </c>
      <c r="L141" s="4">
        <f>IFERROR((D141-E141)/E141,"")</f>
        <v/>
      </c>
    </row>
    <row r="142">
      <c r="A142" t="inlineStr">
        <is>
          <t>2026-06-19</t>
        </is>
      </c>
      <c r="B142" t="inlineStr">
        <is>
          <t>159208</t>
        </is>
      </c>
      <c r="C142" t="inlineStr">
        <is>
          <t>航空航天ETF万家</t>
        </is>
      </c>
      <c r="D142" t="n">
        <v>32846.2783</v>
      </c>
      <c r="E142" t="n">
        <v>33046.2783</v>
      </c>
      <c r="F142" t="n">
        <v>1.1833</v>
      </c>
      <c r="G142" t="n">
        <v>-200</v>
      </c>
      <c r="H142" t="n">
        <v>3.8867</v>
      </c>
      <c r="I142" t="n">
        <v>3.894504</v>
      </c>
      <c r="J142" t="n">
        <v>-0.007804</v>
      </c>
      <c r="K142" s="4">
        <f>IFERROR(J142/I142,"")</f>
        <v/>
      </c>
      <c r="L142" s="4">
        <f>IFERROR((D142-E142)/E142,"")</f>
        <v/>
      </c>
    </row>
    <row r="143">
      <c r="A143" t="inlineStr">
        <is>
          <t>2026-06-19</t>
        </is>
      </c>
      <c r="B143" t="inlineStr">
        <is>
          <t>159209</t>
        </is>
      </c>
      <c r="C143" t="inlineStr">
        <is>
          <t>红利质量ETF招商</t>
        </is>
      </c>
      <c r="D143" t="n">
        <v>200863.5053</v>
      </c>
      <c r="E143" t="n">
        <v>200963.5053</v>
      </c>
      <c r="F143" t="n">
        <v>1.0933</v>
      </c>
      <c r="G143" t="n">
        <v>-100</v>
      </c>
      <c r="H143" t="n">
        <v>21.960407</v>
      </c>
      <c r="I143" t="n">
        <v>22.087899</v>
      </c>
      <c r="J143" t="n">
        <v>-0.127492</v>
      </c>
      <c r="K143" s="4">
        <f>IFERROR(J143/I143,"")</f>
        <v/>
      </c>
      <c r="L143" s="4">
        <f>IFERROR((D143-E143)/E143,"")</f>
        <v/>
      </c>
    </row>
    <row r="144">
      <c r="A144" t="inlineStr">
        <is>
          <t>2026-06-19</t>
        </is>
      </c>
      <c r="B144" t="inlineStr">
        <is>
          <t>159210</t>
        </is>
      </c>
      <c r="C144" t="inlineStr">
        <is>
          <t>港股通汽车ETF汇添富</t>
        </is>
      </c>
      <c r="D144" t="n">
        <v>3214.9802</v>
      </c>
      <c r="E144" t="n">
        <v>3214.9802</v>
      </c>
      <c r="F144" t="n">
        <v>0.9147999999999999</v>
      </c>
      <c r="G144" t="n">
        <v>0</v>
      </c>
      <c r="H144" t="n">
        <v>0.294106</v>
      </c>
      <c r="I144" t="n">
        <v>0.297868</v>
      </c>
      <c r="J144" t="n">
        <v>-0.003762</v>
      </c>
      <c r="K144" s="4">
        <f>IFERROR(J144/I144,"")</f>
        <v/>
      </c>
      <c r="L144" s="4">
        <f>IFERROR((D144-E144)/E144,"")</f>
        <v/>
      </c>
    </row>
    <row r="145">
      <c r="A145" t="inlineStr">
        <is>
          <t>2026-06-19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1.622</v>
      </c>
      <c r="G145" t="n">
        <v>0</v>
      </c>
      <c r="H145" t="n">
        <v>0.319263</v>
      </c>
      <c r="I145" t="n">
        <v>0.315307</v>
      </c>
      <c r="J145" t="n">
        <v>0.003956</v>
      </c>
      <c r="K145" s="4">
        <f>IFERROR(J145/I145,"")</f>
        <v/>
      </c>
      <c r="L145" s="4">
        <f>IFERROR((D145-E145)/E145,"")</f>
        <v/>
      </c>
    </row>
    <row r="146">
      <c r="A146" t="inlineStr">
        <is>
          <t>2026-06-19</t>
        </is>
      </c>
      <c r="B146" t="inlineStr">
        <is>
          <t>159212</t>
        </is>
      </c>
      <c r="C146" t="inlineStr">
        <is>
          <t>深100ETF南方</t>
        </is>
      </c>
      <c r="D146" t="n">
        <v>7720.4367</v>
      </c>
      <c r="E146" t="n">
        <v>7720.4367</v>
      </c>
      <c r="F146" t="n">
        <v>1.6478</v>
      </c>
      <c r="G146" t="n">
        <v>0</v>
      </c>
      <c r="H146" t="n">
        <v>1.272174</v>
      </c>
      <c r="I146" t="n">
        <v>1.256424</v>
      </c>
      <c r="J146" t="n">
        <v>0.01575</v>
      </c>
      <c r="K146" s="4">
        <f>IFERROR(J146/I146,"")</f>
        <v/>
      </c>
      <c r="L146" s="4">
        <f>IFERROR((D146-E146)/E146,"")</f>
        <v/>
      </c>
    </row>
    <row r="147">
      <c r="A147" t="inlineStr">
        <is>
          <t>2026-06-19</t>
        </is>
      </c>
      <c r="B147" t="inlineStr">
        <is>
          <t>159213</t>
        </is>
      </c>
      <c r="C147" t="inlineStr">
        <is>
          <t>机器人ETF汇添富</t>
        </is>
      </c>
      <c r="D147" t="n">
        <v>41073.7566</v>
      </c>
      <c r="E147" t="n">
        <v>41823.7566</v>
      </c>
      <c r="F147" t="n">
        <v>1.375</v>
      </c>
      <c r="G147" t="n">
        <v>-750</v>
      </c>
      <c r="H147" t="n">
        <v>5.647642</v>
      </c>
      <c r="I147" t="n">
        <v>5.74282</v>
      </c>
      <c r="J147" t="n">
        <v>-0.095178</v>
      </c>
      <c r="K147" s="4">
        <f>IFERROR(J147/I147,"")</f>
        <v/>
      </c>
      <c r="L147" s="4">
        <f>IFERROR((D147-E147)/E147,"")</f>
        <v/>
      </c>
    </row>
    <row r="148">
      <c r="A148" t="inlineStr">
        <is>
          <t>2026-06-19</t>
        </is>
      </c>
      <c r="B148" t="inlineStr">
        <is>
          <t>159215</t>
        </is>
      </c>
      <c r="C148" t="inlineStr">
        <is>
          <t>A500ETF平安</t>
        </is>
      </c>
      <c r="D148" t="n">
        <v>92858.2803</v>
      </c>
      <c r="E148" t="n">
        <v>93158.2803</v>
      </c>
      <c r="F148" t="n">
        <v>1.3966</v>
      </c>
      <c r="G148" t="n">
        <v>-300</v>
      </c>
      <c r="H148" t="n">
        <v>12.968587</v>
      </c>
      <c r="I148" t="n">
        <v>12.846527</v>
      </c>
      <c r="J148" t="n">
        <v>0.12206</v>
      </c>
      <c r="K148" s="4">
        <f>IFERROR(J148/I148,"")</f>
        <v/>
      </c>
      <c r="L148" s="4">
        <f>IFERROR((D148-E148)/E148,"")</f>
        <v/>
      </c>
    </row>
    <row r="149">
      <c r="A149" t="inlineStr">
        <is>
          <t>2026-06-19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1.6626</v>
      </c>
      <c r="G149" t="n">
        <v>0</v>
      </c>
      <c r="H149" t="n">
        <v>0.183688</v>
      </c>
      <c r="I149" t="n">
        <v>0.181346</v>
      </c>
      <c r="J149" t="n">
        <v>0.002342</v>
      </c>
      <c r="K149" s="4">
        <f>IFERROR(J149/I149,"")</f>
        <v/>
      </c>
      <c r="L149" s="4">
        <f>IFERROR((D149-E149)/E149,"")</f>
        <v/>
      </c>
    </row>
    <row r="150">
      <c r="A150" t="inlineStr">
        <is>
          <t>2026-06-19</t>
        </is>
      </c>
      <c r="B150" t="inlineStr">
        <is>
          <t>159217</t>
        </is>
      </c>
      <c r="C150" t="inlineStr">
        <is>
          <t>港股通创新药ETF工银</t>
        </is>
      </c>
      <c r="D150" t="n">
        <v>507115.7596</v>
      </c>
      <c r="E150" t="n">
        <v>507115.7596</v>
      </c>
      <c r="F150" t="n">
        <v>0.9883999999999999</v>
      </c>
      <c r="G150" t="n">
        <v>0</v>
      </c>
      <c r="H150" t="n">
        <v>50.123322</v>
      </c>
      <c r="I150" t="n">
        <v>51.031059</v>
      </c>
      <c r="J150" t="n">
        <v>-0.907737</v>
      </c>
      <c r="K150" s="4">
        <f>IFERROR(J150/I150,"")</f>
        <v/>
      </c>
      <c r="L150" s="4">
        <f>IFERROR((D150-E150)/E150,"")</f>
        <v/>
      </c>
    </row>
    <row r="151">
      <c r="A151" t="inlineStr">
        <is>
          <t>2026-06-19</t>
        </is>
      </c>
      <c r="B151" t="inlineStr">
        <is>
          <t>159218</t>
        </is>
      </c>
      <c r="C151" t="inlineStr">
        <is>
          <t>卫星ETF招商</t>
        </is>
      </c>
      <c r="D151" t="n">
        <v>234961.639</v>
      </c>
      <c r="E151" t="n">
        <v>238161.639</v>
      </c>
      <c r="F151" t="n">
        <v>1.665</v>
      </c>
      <c r="G151" t="n">
        <v>-3200</v>
      </c>
      <c r="H151" t="n">
        <v>39.121113</v>
      </c>
      <c r="I151" t="n">
        <v>39.22284</v>
      </c>
      <c r="J151" t="n">
        <v>-0.101727</v>
      </c>
      <c r="K151" s="4">
        <f>IFERROR(J151/I151,"")</f>
        <v/>
      </c>
      <c r="L151" s="4">
        <f>IFERROR((D151-E151)/E151,"")</f>
        <v/>
      </c>
    </row>
    <row r="152">
      <c r="A152" t="inlineStr">
        <is>
          <t>2026-06-19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1.5399</v>
      </c>
      <c r="G152" t="n">
        <v>0</v>
      </c>
      <c r="H152" t="n">
        <v>0.129167</v>
      </c>
      <c r="I152" t="n">
        <v>0.12764</v>
      </c>
      <c r="J152" t="n">
        <v>0.001527</v>
      </c>
      <c r="K152" s="4">
        <f>IFERROR(J152/I152,"")</f>
        <v/>
      </c>
      <c r="L152" s="4">
        <f>IFERROR((D152-E152)/E152,"")</f>
        <v/>
      </c>
    </row>
    <row r="153">
      <c r="A153" t="inlineStr">
        <is>
          <t>2026-06-19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49356.9526</v>
      </c>
      <c r="E153" t="n">
        <v>49356.9526</v>
      </c>
      <c r="F153" t="n">
        <v>0.5760999999999999</v>
      </c>
      <c r="G153" t="n">
        <v>0</v>
      </c>
      <c r="H153" t="n">
        <v>2.843454</v>
      </c>
      <c r="I153" t="n">
        <v>2.88985</v>
      </c>
      <c r="J153" t="n">
        <v>-0.046396</v>
      </c>
      <c r="K153" s="4">
        <f>IFERROR(J153/I153,"")</f>
        <v/>
      </c>
      <c r="L153" s="4">
        <f>IFERROR((D153-E153)/E153,"")</f>
        <v/>
      </c>
    </row>
    <row r="154">
      <c r="A154" t="inlineStr">
        <is>
          <t>2026-06-19</t>
        </is>
      </c>
      <c r="B154" t="inlineStr">
        <is>
          <t>159221</t>
        </is>
      </c>
      <c r="C154" t="inlineStr">
        <is>
          <t>现金流ETF嘉实</t>
        </is>
      </c>
      <c r="D154" t="n">
        <v>153301.3233</v>
      </c>
      <c r="E154" t="n">
        <v>157101.3233</v>
      </c>
      <c r="F154" t="n">
        <v>1.1327</v>
      </c>
      <c r="G154" t="n">
        <v>-3800</v>
      </c>
      <c r="H154" t="n">
        <v>17.364441</v>
      </c>
      <c r="I154" t="n">
        <v>17.859278</v>
      </c>
      <c r="J154" t="n">
        <v>-0.494837</v>
      </c>
      <c r="K154" s="4">
        <f>IFERROR(J154/I154,"")</f>
        <v/>
      </c>
      <c r="L154" s="4">
        <f>IFERROR((D154-E154)/E154,"")</f>
        <v/>
      </c>
    </row>
    <row r="155">
      <c r="A155" t="inlineStr">
        <is>
          <t>2026-06-19</t>
        </is>
      </c>
      <c r="B155" t="inlineStr">
        <is>
          <t>159222</t>
        </is>
      </c>
      <c r="C155" t="inlineStr">
        <is>
          <t>自由现金流ETF易方达</t>
        </is>
      </c>
      <c r="D155" t="n">
        <v>148437.0402</v>
      </c>
      <c r="E155" t="n">
        <v>148237.0402</v>
      </c>
      <c r="F155" t="n">
        <v>1.2142</v>
      </c>
      <c r="G155" t="n">
        <v>200</v>
      </c>
      <c r="H155" t="n">
        <v>18.023225</v>
      </c>
      <c r="I155" t="n">
        <v>18.062683</v>
      </c>
      <c r="J155" t="n">
        <v>-0.039458</v>
      </c>
      <c r="K155" s="4">
        <f>IFERROR(J155/I155,"")</f>
        <v/>
      </c>
      <c r="L155" s="4">
        <f>IFERROR((D155-E155)/E155,"")</f>
        <v/>
      </c>
    </row>
    <row r="156">
      <c r="A156" t="inlineStr">
        <is>
          <t>2026-06-19</t>
        </is>
      </c>
      <c r="B156" t="inlineStr">
        <is>
          <t>159223</t>
        </is>
      </c>
      <c r="C156" t="inlineStr">
        <is>
          <t>现金流ETF永赢</t>
        </is>
      </c>
      <c r="D156" t="n">
        <v>21084.4755</v>
      </c>
      <c r="E156" t="n">
        <v>21184.4755</v>
      </c>
      <c r="F156" t="n">
        <v>1.1033</v>
      </c>
      <c r="G156" t="n">
        <v>-100</v>
      </c>
      <c r="H156" t="n">
        <v>2.32625</v>
      </c>
      <c r="I156" t="n">
        <v>2.345969</v>
      </c>
      <c r="J156" t="n">
        <v>-0.019719</v>
      </c>
      <c r="K156" s="4">
        <f>IFERROR(J156/I156,"")</f>
        <v/>
      </c>
      <c r="L156" s="4">
        <f>IFERROR((D156-E156)/E156,"")</f>
        <v/>
      </c>
    </row>
    <row r="157">
      <c r="A157" t="inlineStr">
        <is>
          <t>2026-06-19</t>
        </is>
      </c>
      <c r="B157" t="inlineStr">
        <is>
          <t>159225</t>
        </is>
      </c>
      <c r="C157" t="inlineStr">
        <is>
          <t>现金流ETF银华</t>
        </is>
      </c>
      <c r="D157" t="n">
        <v>30074.4804</v>
      </c>
      <c r="E157" t="n">
        <v>30974.4804</v>
      </c>
      <c r="F157" t="n">
        <v>1.1954</v>
      </c>
      <c r="G157" t="n">
        <v>-900</v>
      </c>
      <c r="H157" t="n">
        <v>3.595103</v>
      </c>
      <c r="I157" t="n">
        <v>3.716938</v>
      </c>
      <c r="J157" t="n">
        <v>-0.121835</v>
      </c>
      <c r="K157" s="4">
        <f>IFERROR(J157/I157,"")</f>
        <v/>
      </c>
      <c r="L157" s="4">
        <f>IFERROR((D157-E157)/E157,"")</f>
        <v/>
      </c>
    </row>
    <row r="158">
      <c r="A158" t="inlineStr">
        <is>
          <t>2026-06-19</t>
        </is>
      </c>
      <c r="B158" t="inlineStr">
        <is>
          <t>159226</t>
        </is>
      </c>
      <c r="C158" t="inlineStr">
        <is>
          <t>中证A500增强ETF国泰</t>
        </is>
      </c>
      <c r="D158" t="n">
        <v>8109.484</v>
      </c>
      <c r="E158" t="n">
        <v>7809.484</v>
      </c>
      <c r="F158" t="n">
        <v>1.3348</v>
      </c>
      <c r="G158" t="n">
        <v>300</v>
      </c>
      <c r="H158" t="n">
        <v>1.082454</v>
      </c>
      <c r="I158" t="n">
        <v>1.034288</v>
      </c>
      <c r="J158" t="n">
        <v>0.048166</v>
      </c>
      <c r="K158" s="4">
        <f>IFERROR(J158/I158,"")</f>
        <v/>
      </c>
      <c r="L158" s="4">
        <f>IFERROR((D158-E158)/E158,"")</f>
        <v/>
      </c>
    </row>
    <row r="159">
      <c r="A159" t="inlineStr">
        <is>
          <t>2026-06-19</t>
        </is>
      </c>
      <c r="B159" t="inlineStr">
        <is>
          <t>159227</t>
        </is>
      </c>
      <c r="C159" t="inlineStr">
        <is>
          <t>航空航天ETF华夏</t>
        </is>
      </c>
      <c r="D159" t="n">
        <v>451991.1199</v>
      </c>
      <c r="E159" t="n">
        <v>460391.1199</v>
      </c>
      <c r="F159" t="n">
        <v>1.1424</v>
      </c>
      <c r="G159" t="n">
        <v>-8400</v>
      </c>
      <c r="H159" t="n">
        <v>51.635466</v>
      </c>
      <c r="I159" t="n">
        <v>52.383302</v>
      </c>
      <c r="J159" t="n">
        <v>-0.7478359999999999</v>
      </c>
      <c r="K159" s="4">
        <f>IFERROR(J159/I159,"")</f>
        <v/>
      </c>
      <c r="L159" s="4">
        <f>IFERROR((D159-E159)/E159,"")</f>
        <v/>
      </c>
    </row>
    <row r="160">
      <c r="A160" t="inlineStr">
        <is>
          <t>2026-06-19</t>
        </is>
      </c>
      <c r="B160" t="inlineStr">
        <is>
          <t>159228</t>
        </is>
      </c>
      <c r="C160" t="inlineStr">
        <is>
          <t>红利低波ETF长城</t>
        </is>
      </c>
      <c r="D160" t="n">
        <v>12021.2692</v>
      </c>
      <c r="E160" t="n">
        <v>12021.2692</v>
      </c>
      <c r="F160" t="n">
        <v>1.0009</v>
      </c>
      <c r="G160" t="n">
        <v>0</v>
      </c>
      <c r="H160" t="n">
        <v>1.203209</v>
      </c>
      <c r="I160" t="n">
        <v>1.210782</v>
      </c>
      <c r="J160" t="n">
        <v>-0.007573</v>
      </c>
      <c r="K160" s="4">
        <f>IFERROR(J160/I160,"")</f>
        <v/>
      </c>
      <c r="L160" s="4">
        <f>IFERROR((D160-E160)/E160,"")</f>
        <v/>
      </c>
    </row>
    <row r="161">
      <c r="A161" t="inlineStr">
        <is>
          <t>2026-06-19</t>
        </is>
      </c>
      <c r="B161" t="inlineStr">
        <is>
          <t>159229</t>
        </is>
      </c>
      <c r="C161" t="inlineStr">
        <is>
          <t>自由现金流ETF广发</t>
        </is>
      </c>
      <c r="D161" t="n">
        <v>14255.6022</v>
      </c>
      <c r="E161" t="n">
        <v>14255.6022</v>
      </c>
      <c r="F161" t="n">
        <v>1.1637</v>
      </c>
      <c r="G161" t="n">
        <v>0</v>
      </c>
      <c r="H161" t="n">
        <v>1.658924</v>
      </c>
      <c r="I161" t="n">
        <v>1.660778</v>
      </c>
      <c r="J161" t="n">
        <v>-0.001854</v>
      </c>
      <c r="K161" s="4">
        <f>IFERROR(J161/I161,"")</f>
        <v/>
      </c>
      <c r="L161" s="4">
        <f>IFERROR((D161-E161)/E161,"")</f>
        <v/>
      </c>
    </row>
    <row r="162">
      <c r="A162" t="inlineStr">
        <is>
          <t>2026-06-19</t>
        </is>
      </c>
      <c r="B162" t="inlineStr">
        <is>
          <t>159230</t>
        </is>
      </c>
      <c r="C162" t="inlineStr">
        <is>
          <t>通用航空ETF华夏</t>
        </is>
      </c>
      <c r="D162" t="n">
        <v>32930.4228</v>
      </c>
      <c r="E162" t="n">
        <v>33130.4228</v>
      </c>
      <c r="F162" t="n">
        <v>1.1049</v>
      </c>
      <c r="G162" t="n">
        <v>-200</v>
      </c>
      <c r="H162" t="n">
        <v>3.638482</v>
      </c>
      <c r="I162" t="n">
        <v>3.656605</v>
      </c>
      <c r="J162" t="n">
        <v>-0.018123</v>
      </c>
      <c r="K162" s="4">
        <f>IFERROR(J162/I162,"")</f>
        <v/>
      </c>
      <c r="L162" s="4">
        <f>IFERROR((D162-E162)/E162,"")</f>
        <v/>
      </c>
    </row>
    <row r="163">
      <c r="A163" t="inlineStr">
        <is>
          <t>2026-06-19</t>
        </is>
      </c>
      <c r="B163" t="inlineStr">
        <is>
          <t>159231</t>
        </is>
      </c>
      <c r="C163" t="inlineStr">
        <is>
          <t>通用航空ETF华宝</t>
        </is>
      </c>
      <c r="D163" t="n">
        <v>33309.186</v>
      </c>
      <c r="E163" t="n">
        <v>33009.186</v>
      </c>
      <c r="F163" t="n">
        <v>0.5764</v>
      </c>
      <c r="G163" t="n">
        <v>300</v>
      </c>
      <c r="H163" t="n">
        <v>1.919941</v>
      </c>
      <c r="I163" t="n">
        <v>1.900669</v>
      </c>
      <c r="J163" t="n">
        <v>0.019272</v>
      </c>
      <c r="K163" s="4">
        <f>IFERROR(J163/I163,"")</f>
        <v/>
      </c>
      <c r="L163" s="4">
        <f>IFERROR((D163-E163)/E163,"")</f>
        <v/>
      </c>
    </row>
    <row r="164">
      <c r="A164" t="inlineStr">
        <is>
          <t>2026-06-19</t>
        </is>
      </c>
      <c r="B164" t="inlineStr">
        <is>
          <t>159232</t>
        </is>
      </c>
      <c r="C164" t="inlineStr">
        <is>
          <t>自由现金流ETF南方</t>
        </is>
      </c>
      <c r="D164" t="n">
        <v>277294.8566</v>
      </c>
      <c r="E164" t="n">
        <v>283494.8566</v>
      </c>
      <c r="F164" t="n">
        <v>1.1778</v>
      </c>
      <c r="G164" t="n">
        <v>-6200</v>
      </c>
      <c r="H164" t="n">
        <v>32.659788</v>
      </c>
      <c r="I164" t="n">
        <v>33.571461</v>
      </c>
      <c r="J164" t="n">
        <v>-0.911673</v>
      </c>
      <c r="K164" s="4">
        <f>IFERROR(J164/I164,"")</f>
        <v/>
      </c>
      <c r="L164" s="4">
        <f>IFERROR((D164-E164)/E164,"")</f>
        <v/>
      </c>
    </row>
    <row r="165">
      <c r="A165" t="inlineStr">
        <is>
          <t>2026-06-19</t>
        </is>
      </c>
      <c r="B165" t="inlineStr">
        <is>
          <t>159233</t>
        </is>
      </c>
      <c r="C165" t="inlineStr">
        <is>
          <t>自由现金流ETF平安</t>
        </is>
      </c>
      <c r="D165" t="n">
        <v>46862.3418</v>
      </c>
      <c r="E165" t="n">
        <v>47962.3418</v>
      </c>
      <c r="F165" t="n">
        <v>1.1647</v>
      </c>
      <c r="G165" t="n">
        <v>-1100</v>
      </c>
      <c r="H165" t="n">
        <v>5.458057</v>
      </c>
      <c r="I165" t="n">
        <v>5.61687</v>
      </c>
      <c r="J165" t="n">
        <v>-0.158813</v>
      </c>
      <c r="K165" s="4">
        <f>IFERROR(J165/I165,"")</f>
        <v/>
      </c>
      <c r="L165" s="4">
        <f>IFERROR((D165-E165)/E165,"")</f>
        <v/>
      </c>
    </row>
    <row r="166">
      <c r="A166" t="inlineStr">
        <is>
          <t>2026-06-19</t>
        </is>
      </c>
      <c r="B166" t="inlineStr">
        <is>
          <t>159235</t>
        </is>
      </c>
      <c r="C166" t="inlineStr">
        <is>
          <t>中证现金流ETF大成</t>
        </is>
      </c>
      <c r="D166" t="n">
        <v>248772.9545</v>
      </c>
      <c r="E166" t="n">
        <v>251472.9545</v>
      </c>
      <c r="F166" t="n">
        <v>1.2014</v>
      </c>
      <c r="G166" t="n">
        <v>-2700</v>
      </c>
      <c r="H166" t="n">
        <v>29.887583</v>
      </c>
      <c r="I166" t="n">
        <v>30.367874</v>
      </c>
      <c r="J166" t="n">
        <v>-0.480291</v>
      </c>
      <c r="K166" s="4">
        <f>IFERROR(J166/I166,"")</f>
        <v/>
      </c>
      <c r="L166" s="4">
        <f>IFERROR((D166-E166)/E166,"")</f>
        <v/>
      </c>
    </row>
    <row r="167">
      <c r="A167" t="inlineStr">
        <is>
          <t>2026-06-19</t>
        </is>
      </c>
      <c r="B167" t="inlineStr">
        <is>
          <t>159236</t>
        </is>
      </c>
      <c r="C167" t="inlineStr">
        <is>
          <t>自由现金流ETF工银</t>
        </is>
      </c>
      <c r="D167" t="n">
        <v>5472.2161</v>
      </c>
      <c r="E167" t="n">
        <v>5472.2161</v>
      </c>
      <c r="F167" t="n">
        <v>1.1639</v>
      </c>
      <c r="G167" t="n">
        <v>0</v>
      </c>
      <c r="H167" t="n">
        <v>0.636911</v>
      </c>
      <c r="I167" t="n">
        <v>0.640359</v>
      </c>
      <c r="J167" t="n">
        <v>-0.003448</v>
      </c>
      <c r="K167" s="4">
        <f>IFERROR(J167/I167,"")</f>
        <v/>
      </c>
      <c r="L167" s="4">
        <f>IFERROR((D167-E167)/E167,"")</f>
        <v/>
      </c>
    </row>
    <row r="168">
      <c r="A168" t="inlineStr">
        <is>
          <t>2026-06-19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0.9504</v>
      </c>
      <c r="G168" t="n">
        <v>0</v>
      </c>
      <c r="H168" t="n">
        <v>0.269288</v>
      </c>
      <c r="I168" t="n">
        <v>0.272717</v>
      </c>
      <c r="J168" t="n">
        <v>-0.003429</v>
      </c>
      <c r="K168" s="4">
        <f>IFERROR(J168/I168,"")</f>
        <v/>
      </c>
      <c r="L168" s="4">
        <f>IFERROR((D168-E168)/E168,"")</f>
        <v/>
      </c>
    </row>
    <row r="169">
      <c r="A169" t="inlineStr">
        <is>
          <t>2026-06-19</t>
        </is>
      </c>
      <c r="B169" t="inlineStr">
        <is>
          <t>159238</t>
        </is>
      </c>
      <c r="C169" t="inlineStr">
        <is>
          <t>沪深300增强ETF景顺</t>
        </is>
      </c>
      <c r="D169" t="n">
        <v>3701.6186</v>
      </c>
      <c r="E169" t="n">
        <v>3701.6186</v>
      </c>
      <c r="F169" t="n">
        <v>1.3855</v>
      </c>
      <c r="G169" t="n">
        <v>0</v>
      </c>
      <c r="H169" t="n">
        <v>0.512859</v>
      </c>
      <c r="I169" t="n">
        <v>0.505789</v>
      </c>
      <c r="J169" t="n">
        <v>0.00707</v>
      </c>
      <c r="K169" s="4">
        <f>IFERROR(J169/I169,"")</f>
        <v/>
      </c>
      <c r="L169" s="4">
        <f>IFERROR((D169-E169)/E169,"")</f>
        <v/>
      </c>
    </row>
    <row r="170">
      <c r="A170" t="inlineStr">
        <is>
          <t>2026-06-19</t>
        </is>
      </c>
      <c r="B170" t="inlineStr">
        <is>
          <t>159239</t>
        </is>
      </c>
      <c r="C170" t="inlineStr">
        <is>
          <t>港股通汽车ETF富国</t>
        </is>
      </c>
      <c r="D170" t="n">
        <v>8328.0753</v>
      </c>
      <c r="E170" t="n">
        <v>8328.0753</v>
      </c>
      <c r="F170" t="n">
        <v>0.847</v>
      </c>
      <c r="G170" t="n">
        <v>0</v>
      </c>
      <c r="H170" t="n">
        <v>0.705388</v>
      </c>
      <c r="I170" t="n">
        <v>0.718047</v>
      </c>
      <c r="J170" t="n">
        <v>-0.012659</v>
      </c>
      <c r="K170" s="4">
        <f>IFERROR(J170/I170,"")</f>
        <v/>
      </c>
      <c r="L170" s="4">
        <f>IFERROR((D170-E170)/E170,"")</f>
        <v/>
      </c>
    </row>
    <row r="171">
      <c r="A171" t="inlineStr">
        <is>
          <t>2026-06-19</t>
        </is>
      </c>
      <c r="B171" t="inlineStr">
        <is>
          <t>159240</t>
        </is>
      </c>
      <c r="C171" t="inlineStr">
        <is>
          <t>A500增强ETF天弘</t>
        </is>
      </c>
      <c r="D171" t="n">
        <v>1461.9776</v>
      </c>
      <c r="E171" t="n">
        <v>1461.9776</v>
      </c>
      <c r="F171" t="n">
        <v>1.3822</v>
      </c>
      <c r="G171" t="n">
        <v>0</v>
      </c>
      <c r="H171" t="n">
        <v>0.202075</v>
      </c>
      <c r="I171" t="n">
        <v>0.19956</v>
      </c>
      <c r="J171" t="n">
        <v>0.002515</v>
      </c>
      <c r="K171" s="4">
        <f>IFERROR(J171/I171,"")</f>
        <v/>
      </c>
      <c r="L171" s="4">
        <f>IFERROR((D171-E171)/E171,"")</f>
        <v/>
      </c>
    </row>
    <row r="172">
      <c r="A172" t="inlineStr">
        <is>
          <t>2026-06-19</t>
        </is>
      </c>
      <c r="B172" t="inlineStr">
        <is>
          <t>159241</t>
        </is>
      </c>
      <c r="C172" t="inlineStr">
        <is>
          <t>航空航天ETF天弘</t>
        </is>
      </c>
      <c r="D172" t="n">
        <v>108207.4265</v>
      </c>
      <c r="E172" t="n">
        <v>108207.4265</v>
      </c>
      <c r="F172" t="n">
        <v>1.1703</v>
      </c>
      <c r="G172" t="n">
        <v>0</v>
      </c>
      <c r="H172" t="n">
        <v>12.663515</v>
      </c>
      <c r="I172" t="n">
        <v>12.61374</v>
      </c>
      <c r="J172" t="n">
        <v>0.049775</v>
      </c>
      <c r="K172" s="4">
        <f>IFERROR(J172/I172,"")</f>
        <v/>
      </c>
      <c r="L172" s="4">
        <f>IFERROR((D172-E172)/E172,"")</f>
        <v/>
      </c>
    </row>
    <row r="173">
      <c r="A173" t="inlineStr">
        <is>
          <t>2026-06-19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54727.8583</v>
      </c>
      <c r="E173" t="n">
        <v>53027.8583</v>
      </c>
      <c r="F173" t="n">
        <v>2.5024</v>
      </c>
      <c r="G173" t="n">
        <v>1700</v>
      </c>
      <c r="H173" t="n">
        <v>13.695099</v>
      </c>
      <c r="I173" t="n">
        <v>13.060231</v>
      </c>
      <c r="J173" t="n">
        <v>0.634868</v>
      </c>
      <c r="K173" s="4">
        <f>IFERROR(J173/I173,"")</f>
        <v/>
      </c>
      <c r="L173" s="4">
        <f>IFERROR((D173-E173)/E173,"")</f>
        <v/>
      </c>
    </row>
    <row r="174">
      <c r="A174" t="inlineStr">
        <is>
          <t>2026-06-19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12803.0224</v>
      </c>
      <c r="E174" t="n">
        <v>13503.0224</v>
      </c>
      <c r="F174" t="n">
        <v>1.5048</v>
      </c>
      <c r="G174" t="n">
        <v>-700</v>
      </c>
      <c r="H174" t="n">
        <v>1.926599</v>
      </c>
      <c r="I174" t="n">
        <v>2.000203</v>
      </c>
      <c r="J174" t="n">
        <v>-0.073604</v>
      </c>
      <c r="K174" s="4">
        <f>IFERROR(J174/I174,"")</f>
        <v/>
      </c>
      <c r="L174" s="4">
        <f>IFERROR((D174-E174)/E174,"")</f>
        <v/>
      </c>
    </row>
    <row r="175">
      <c r="A175" t="inlineStr">
        <is>
          <t>2026-06-19</t>
        </is>
      </c>
      <c r="B175" t="inlineStr">
        <is>
          <t>159245</t>
        </is>
      </c>
      <c r="C175" t="inlineStr">
        <is>
          <t>港股通消费ETF富国</t>
        </is>
      </c>
      <c r="D175" t="n">
        <v>7911.3296</v>
      </c>
      <c r="E175" t="n">
        <v>7911.3296</v>
      </c>
      <c r="F175" t="n">
        <v>0.8021</v>
      </c>
      <c r="G175" t="n">
        <v>0</v>
      </c>
      <c r="H175" t="n">
        <v>0.634568</v>
      </c>
      <c r="I175" t="n">
        <v>0.647147</v>
      </c>
      <c r="J175" t="n">
        <v>-0.012579</v>
      </c>
      <c r="K175" s="4">
        <f>IFERROR(J175/I175,"")</f>
        <v/>
      </c>
      <c r="L175" s="4">
        <f>IFERROR((D175-E175)/E175,"")</f>
        <v/>
      </c>
    </row>
    <row r="176">
      <c r="A176" t="inlineStr">
        <is>
          <t>2026-06-19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298165.5606</v>
      </c>
      <c r="E176" t="n">
        <v>301565.5606</v>
      </c>
      <c r="F176" t="n">
        <v>1.3986</v>
      </c>
      <c r="G176" t="n">
        <v>-3400</v>
      </c>
      <c r="H176" t="n">
        <v>41.701435</v>
      </c>
      <c r="I176" t="n">
        <v>41.510499</v>
      </c>
      <c r="J176" t="n">
        <v>0.190936</v>
      </c>
      <c r="K176" s="4">
        <f>IFERROR(J176/I176,"")</f>
        <v/>
      </c>
      <c r="L176" s="4">
        <f>IFERROR((D176-E176)/E176,"")</f>
        <v/>
      </c>
    </row>
    <row r="177">
      <c r="A177" t="inlineStr">
        <is>
          <t>2026-06-19</t>
        </is>
      </c>
      <c r="B177" t="inlineStr">
        <is>
          <t>159247</t>
        </is>
      </c>
      <c r="C177" t="inlineStr">
        <is>
          <t>创业板ETF汇添富</t>
        </is>
      </c>
      <c r="D177" t="n">
        <v>17398.4966</v>
      </c>
      <c r="E177" t="n">
        <v>17798.4966</v>
      </c>
      <c r="F177" t="n">
        <v>1.2509</v>
      </c>
      <c r="G177" t="n">
        <v>-400</v>
      </c>
      <c r="H177" t="n">
        <v>2.176378</v>
      </c>
      <c r="I177" t="n">
        <v>2.192597</v>
      </c>
      <c r="J177" t="n">
        <v>-0.016219</v>
      </c>
      <c r="K177" s="4">
        <f>IFERROR(J177/I177,"")</f>
        <v/>
      </c>
      <c r="L177" s="4">
        <f>IFERROR((D177-E177)/E177,"")</f>
        <v/>
      </c>
    </row>
    <row r="178">
      <c r="A178" t="inlineStr">
        <is>
          <t>2026-06-19</t>
        </is>
      </c>
      <c r="B178" t="inlineStr">
        <is>
          <t>159248</t>
        </is>
      </c>
      <c r="C178" t="inlineStr">
        <is>
          <t>人工智能ETF万家</t>
        </is>
      </c>
      <c r="D178" t="n">
        <v>10509.5652</v>
      </c>
      <c r="E178" t="n">
        <v>11009.5652</v>
      </c>
      <c r="F178" t="n">
        <v>1.9817</v>
      </c>
      <c r="G178" t="n">
        <v>-500</v>
      </c>
      <c r="H178" t="n">
        <v>2.082681</v>
      </c>
      <c r="I178" t="n">
        <v>2.127378</v>
      </c>
      <c r="J178" t="n">
        <v>-0.044697</v>
      </c>
      <c r="K178" s="4">
        <f>IFERROR(J178/I178,"")</f>
        <v/>
      </c>
      <c r="L178" s="4">
        <f>IFERROR((D178-E178)/E178,"")</f>
        <v/>
      </c>
    </row>
    <row r="179">
      <c r="A179" t="inlineStr">
        <is>
          <t>2026-06-19</t>
        </is>
      </c>
      <c r="B179" t="inlineStr">
        <is>
          <t>159249</t>
        </is>
      </c>
      <c r="C179" t="inlineStr">
        <is>
          <t>A500增强ETF工银</t>
        </is>
      </c>
      <c r="D179" t="n">
        <v>9919.192300000001</v>
      </c>
      <c r="E179" t="n">
        <v>9919.192300000001</v>
      </c>
      <c r="F179" t="n">
        <v>1.4161</v>
      </c>
      <c r="G179" t="n">
        <v>0</v>
      </c>
      <c r="H179" t="n">
        <v>1.404657</v>
      </c>
      <c r="I179" t="n">
        <v>1.385116</v>
      </c>
      <c r="J179" t="n">
        <v>0.019541</v>
      </c>
      <c r="K179" s="4">
        <f>IFERROR(J179/I179,"")</f>
        <v/>
      </c>
      <c r="L179" s="4">
        <f>IFERROR((D179-E179)/E179,"")</f>
        <v/>
      </c>
    </row>
    <row r="180">
      <c r="A180" t="inlineStr">
        <is>
          <t>2026-06-19</t>
        </is>
      </c>
      <c r="B180" t="inlineStr">
        <is>
          <t>159251</t>
        </is>
      </c>
      <c r="C180" t="inlineStr">
        <is>
          <t>港股通科技ETF万家</t>
        </is>
      </c>
      <c r="D180" t="n">
        <v>24978.7744</v>
      </c>
      <c r="E180" t="n">
        <v>24978.7744</v>
      </c>
      <c r="F180" t="n">
        <v>0.7406</v>
      </c>
      <c r="G180" t="n">
        <v>0</v>
      </c>
      <c r="H180" t="n">
        <v>1.849928</v>
      </c>
      <c r="I180" t="n">
        <v>1.851926</v>
      </c>
      <c r="J180" t="n">
        <v>-0.001998</v>
      </c>
      <c r="K180" s="4">
        <f>IFERROR(J180/I180,"")</f>
        <v/>
      </c>
      <c r="L180" s="4">
        <f>IFERROR((D180-E180)/E180,"")</f>
        <v/>
      </c>
    </row>
    <row r="181">
      <c r="A181" t="inlineStr">
        <is>
          <t>2026-06-19</t>
        </is>
      </c>
      <c r="B181" t="inlineStr">
        <is>
          <t>159253</t>
        </is>
      </c>
      <c r="C181" t="inlineStr">
        <is>
          <t>银行ETF博时</t>
        </is>
      </c>
      <c r="D181" t="n">
        <v>63680.4979</v>
      </c>
      <c r="E181" t="n">
        <v>63920.4979</v>
      </c>
      <c r="F181" t="n">
        <v>0.9356</v>
      </c>
      <c r="G181" t="n">
        <v>-240</v>
      </c>
      <c r="H181" t="n">
        <v>5.957947</v>
      </c>
      <c r="I181" t="n">
        <v>6.035373</v>
      </c>
      <c r="J181" t="n">
        <v>-0.07742599999999999</v>
      </c>
      <c r="K181" s="4">
        <f>IFERROR(J181/I181,"")</f>
        <v/>
      </c>
      <c r="L181" s="4">
        <f>IFERROR((D181-E181)/E181,"")</f>
        <v/>
      </c>
    </row>
    <row r="182">
      <c r="A182" t="inlineStr">
        <is>
          <t>2026-06-19</t>
        </is>
      </c>
      <c r="B182" t="inlineStr">
        <is>
          <t>159255</t>
        </is>
      </c>
      <c r="C182" t="inlineStr">
        <is>
          <t>通用航空ETF易方达</t>
        </is>
      </c>
      <c r="D182" t="n">
        <v>7633.8868</v>
      </c>
      <c r="E182" t="n">
        <v>7633.8868</v>
      </c>
      <c r="F182" t="n">
        <v>0.9912</v>
      </c>
      <c r="G182" t="n">
        <v>0</v>
      </c>
      <c r="H182" t="n">
        <v>0.756671</v>
      </c>
      <c r="I182" t="n">
        <v>0.755907</v>
      </c>
      <c r="J182" t="n">
        <v>0.000764</v>
      </c>
      <c r="K182" s="4">
        <f>IFERROR(J182/I182,"")</f>
        <v/>
      </c>
      <c r="L182" s="4">
        <f>IFERROR((D182-E182)/E182,"")</f>
        <v/>
      </c>
    </row>
    <row r="183">
      <c r="A183" t="inlineStr">
        <is>
          <t>2026-06-19</t>
        </is>
      </c>
      <c r="B183" t="inlineStr">
        <is>
          <t>159256</t>
        </is>
      </c>
      <c r="C183" t="inlineStr">
        <is>
          <t>创业板软件ETF华夏</t>
        </is>
      </c>
      <c r="D183" t="n">
        <v>44518.3766</v>
      </c>
      <c r="E183" t="n">
        <v>45018.3766</v>
      </c>
      <c r="F183" t="n">
        <v>0.866</v>
      </c>
      <c r="G183" t="n">
        <v>-500</v>
      </c>
      <c r="H183" t="n">
        <v>3.855291</v>
      </c>
      <c r="I183" t="n">
        <v>3.892289</v>
      </c>
      <c r="J183" t="n">
        <v>-0.036998</v>
      </c>
      <c r="K183" s="4">
        <f>IFERROR(J183/I183,"")</f>
        <v/>
      </c>
      <c r="L183" s="4">
        <f>IFERROR((D183-E183)/E183,"")</f>
        <v/>
      </c>
    </row>
    <row r="184">
      <c r="A184" t="inlineStr">
        <is>
          <t>2026-06-19</t>
        </is>
      </c>
      <c r="B184" t="inlineStr">
        <is>
          <t>159257</t>
        </is>
      </c>
      <c r="C184" t="inlineStr">
        <is>
          <t>航空ETF汇添富</t>
        </is>
      </c>
      <c r="D184" t="n">
        <v>15041.6949</v>
      </c>
      <c r="E184" t="n">
        <v>14941.6949</v>
      </c>
      <c r="F184" t="n">
        <v>0.9977</v>
      </c>
      <c r="G184" t="n">
        <v>100</v>
      </c>
      <c r="H184" t="n">
        <v>1.50071</v>
      </c>
      <c r="I184" t="n">
        <v>1.489239</v>
      </c>
      <c r="J184" t="n">
        <v>0.011471</v>
      </c>
      <c r="K184" s="4">
        <f>IFERROR(J184/I184,"")</f>
        <v/>
      </c>
      <c r="L184" s="4">
        <f>IFERROR((D184-E184)/E184,"")</f>
        <v/>
      </c>
    </row>
    <row r="185">
      <c r="A185" t="inlineStr">
        <is>
          <t>2026-06-19</t>
        </is>
      </c>
      <c r="B185" t="inlineStr">
        <is>
          <t>159258</t>
        </is>
      </c>
      <c r="C185" t="inlineStr">
        <is>
          <t>机器人ETF南方</t>
        </is>
      </c>
      <c r="D185" t="n">
        <v>122976.5664</v>
      </c>
      <c r="E185" t="n">
        <v>122826.5664</v>
      </c>
      <c r="F185" t="n">
        <v>1.282</v>
      </c>
      <c r="G185" t="n">
        <v>150</v>
      </c>
      <c r="H185" t="n">
        <v>15.765596</v>
      </c>
      <c r="I185" t="n">
        <v>15.723029</v>
      </c>
      <c r="J185" t="n">
        <v>0.042567</v>
      </c>
      <c r="K185" s="4">
        <f>IFERROR(J185/I185,"")</f>
        <v/>
      </c>
      <c r="L185" s="4">
        <f>IFERROR((D185-E185)/E185,"")</f>
        <v/>
      </c>
    </row>
    <row r="186">
      <c r="A186" t="inlineStr">
        <is>
          <t>2026-06-19</t>
        </is>
      </c>
      <c r="B186" t="inlineStr">
        <is>
          <t>159259</t>
        </is>
      </c>
      <c r="C186" t="inlineStr">
        <is>
          <t>成长ETF易方达</t>
        </is>
      </c>
      <c r="D186" t="n">
        <v>299969.6403</v>
      </c>
      <c r="E186" t="n">
        <v>282969.6403</v>
      </c>
      <c r="F186" t="n">
        <v>1.7311</v>
      </c>
      <c r="G186" t="n">
        <v>17000</v>
      </c>
      <c r="H186" t="n">
        <v>51.927744</v>
      </c>
      <c r="I186" t="n">
        <v>47.646428</v>
      </c>
      <c r="J186" t="n">
        <v>4.281316</v>
      </c>
      <c r="K186" s="4">
        <f>IFERROR(J186/I186,"")</f>
        <v/>
      </c>
      <c r="L186" s="4">
        <f>IFERROR((D186-E186)/E186,"")</f>
        <v/>
      </c>
    </row>
    <row r="187">
      <c r="A187" t="inlineStr">
        <is>
          <t>2026-06-19</t>
        </is>
      </c>
      <c r="B187" t="inlineStr">
        <is>
          <t>159260</t>
        </is>
      </c>
      <c r="C187" t="inlineStr">
        <is>
          <t>证券ETF博时</t>
        </is>
      </c>
      <c r="D187" t="n">
        <v>102521.3576</v>
      </c>
      <c r="E187" t="n">
        <v>102571.3576</v>
      </c>
      <c r="F187" t="n">
        <v>0.8528</v>
      </c>
      <c r="G187" t="n">
        <v>-50</v>
      </c>
      <c r="H187" t="n">
        <v>8.743021000000001</v>
      </c>
      <c r="I187" t="n">
        <v>8.758568</v>
      </c>
      <c r="J187" t="n">
        <v>-0.015547</v>
      </c>
      <c r="K187" s="4">
        <f>IFERROR(J187/I187,"")</f>
        <v/>
      </c>
      <c r="L187" s="4">
        <f>IFERROR((D187-E187)/E187,"")</f>
        <v/>
      </c>
    </row>
    <row r="188">
      <c r="A188" t="inlineStr">
        <is>
          <t>2026-06-19</t>
        </is>
      </c>
      <c r="B188" t="inlineStr">
        <is>
          <t>159261</t>
        </is>
      </c>
      <c r="C188" t="inlineStr">
        <is>
          <t>创业板新能源ETF鹏华</t>
        </is>
      </c>
      <c r="D188" t="n">
        <v>5181.4904</v>
      </c>
      <c r="E188" t="n">
        <v>5181.4904</v>
      </c>
      <c r="F188" t="n">
        <v>1.7451</v>
      </c>
      <c r="G188" t="n">
        <v>0</v>
      </c>
      <c r="H188" t="n">
        <v>0.904222</v>
      </c>
      <c r="I188" t="n">
        <v>0.906605</v>
      </c>
      <c r="J188" t="n">
        <v>-0.002383</v>
      </c>
      <c r="K188" s="4">
        <f>IFERROR(J188/I188,"")</f>
        <v/>
      </c>
      <c r="L188" s="4">
        <f>IFERROR((D188-E188)/E188,"")</f>
        <v/>
      </c>
    </row>
    <row r="189">
      <c r="A189" t="inlineStr">
        <is>
          <t>2026-06-19</t>
        </is>
      </c>
      <c r="B189" t="inlineStr">
        <is>
          <t>159262</t>
        </is>
      </c>
      <c r="C189" t="inlineStr">
        <is>
          <t>港股通科技ETF广发</t>
        </is>
      </c>
      <c r="D189" t="n">
        <v>892572.0485</v>
      </c>
      <c r="E189" t="n">
        <v>892572.0485</v>
      </c>
      <c r="F189" t="n">
        <v>0.8925</v>
      </c>
      <c r="G189" t="n">
        <v>0</v>
      </c>
      <c r="H189" t="n">
        <v>79.662055</v>
      </c>
      <c r="I189" t="n">
        <v>78.956923</v>
      </c>
      <c r="J189" t="n">
        <v>0.705132</v>
      </c>
      <c r="K189" s="4">
        <f>IFERROR(J189/I189,"")</f>
        <v/>
      </c>
      <c r="L189" s="4">
        <f>IFERROR((D189-E189)/E189,"")</f>
        <v/>
      </c>
    </row>
    <row r="190">
      <c r="A190" t="inlineStr">
        <is>
          <t>2026-06-19</t>
        </is>
      </c>
      <c r="B190" t="inlineStr">
        <is>
          <t>159263</t>
        </is>
      </c>
      <c r="C190" t="inlineStr">
        <is>
          <t>价值ETF易方达</t>
        </is>
      </c>
      <c r="D190" t="n">
        <v>541310.5126</v>
      </c>
      <c r="E190" t="n">
        <v>546010.5126</v>
      </c>
      <c r="F190" t="n">
        <v>1.1025</v>
      </c>
      <c r="G190" t="n">
        <v>-4700</v>
      </c>
      <c r="H190" t="n">
        <v>59.679484</v>
      </c>
      <c r="I190" t="n">
        <v>60.639928</v>
      </c>
      <c r="J190" t="n">
        <v>-0.960444</v>
      </c>
      <c r="K190" s="4">
        <f>IFERROR(J190/I190,"")</f>
        <v/>
      </c>
      <c r="L190" s="4">
        <f>IFERROR((D190-E190)/E190,"")</f>
        <v/>
      </c>
    </row>
    <row r="191">
      <c r="A191" t="inlineStr">
        <is>
          <t>2026-06-19</t>
        </is>
      </c>
      <c r="B191" t="inlineStr">
        <is>
          <t>159265</t>
        </is>
      </c>
      <c r="C191" t="inlineStr">
        <is>
          <t>港股消费ETF鹏华</t>
        </is>
      </c>
      <c r="D191" t="n">
        <v>20995.0894</v>
      </c>
      <c r="E191" t="n">
        <v>20995.0894</v>
      </c>
      <c r="F191" t="n">
        <v>0.8244</v>
      </c>
      <c r="G191" t="n">
        <v>0</v>
      </c>
      <c r="H191" t="n">
        <v>1.730835</v>
      </c>
      <c r="I191" t="n">
        <v>1.764217</v>
      </c>
      <c r="J191" t="n">
        <v>-0.033382</v>
      </c>
      <c r="K191" s="4">
        <f>IFERROR(J191/I191,"")</f>
        <v/>
      </c>
      <c r="L191" s="4">
        <f>IFERROR((D191-E191)/E191,"")</f>
        <v/>
      </c>
    </row>
    <row r="192">
      <c r="A192" t="inlineStr">
        <is>
          <t>2026-06-19</t>
        </is>
      </c>
      <c r="B192" t="inlineStr">
        <is>
          <t>159266</t>
        </is>
      </c>
      <c r="C192" t="inlineStr">
        <is>
          <t>港股央企红利ETF永赢</t>
        </is>
      </c>
      <c r="D192" t="n">
        <v>40171.0088</v>
      </c>
      <c r="E192" t="n">
        <v>40171.0088</v>
      </c>
      <c r="F192" t="n">
        <v>0.9659</v>
      </c>
      <c r="G192" t="n">
        <v>0</v>
      </c>
      <c r="H192" t="n">
        <v>3.880118</v>
      </c>
      <c r="I192" t="n">
        <v>3.917477</v>
      </c>
      <c r="J192" t="n">
        <v>-0.037359</v>
      </c>
      <c r="K192" s="4">
        <f>IFERROR(J192/I192,"")</f>
        <v/>
      </c>
      <c r="L192" s="4">
        <f>IFERROR((D192-E192)/E192,"")</f>
        <v/>
      </c>
    </row>
    <row r="193">
      <c r="A193" t="inlineStr">
        <is>
          <t>2026-06-19</t>
        </is>
      </c>
      <c r="B193" t="inlineStr">
        <is>
          <t>159267</t>
        </is>
      </c>
      <c r="C193" t="inlineStr">
        <is>
          <t>航天ETF华安</t>
        </is>
      </c>
      <c r="D193" t="n">
        <v>253250.6126</v>
      </c>
      <c r="E193" t="n">
        <v>254250.6126</v>
      </c>
      <c r="F193" t="n">
        <v>0.974</v>
      </c>
      <c r="G193" t="n">
        <v>-1000</v>
      </c>
      <c r="H193" t="n">
        <v>24.66661</v>
      </c>
      <c r="I193" t="n">
        <v>24.664852</v>
      </c>
      <c r="J193" t="n">
        <v>0.001758</v>
      </c>
      <c r="K193" s="4">
        <f>IFERROR(J193/I193,"")</f>
        <v/>
      </c>
      <c r="L193" s="4">
        <f>IFERROR((D193-E193)/E193,"")</f>
        <v/>
      </c>
    </row>
    <row r="194">
      <c r="A194" t="inlineStr">
        <is>
          <t>2026-06-19</t>
        </is>
      </c>
      <c r="B194" t="inlineStr">
        <is>
          <t>159268</t>
        </is>
      </c>
      <c r="C194" t="inlineStr">
        <is>
          <t>港股通消费ETF汇添富</t>
        </is>
      </c>
      <c r="D194" t="n">
        <v>45605.5027</v>
      </c>
      <c r="E194" t="n">
        <v>45705.5027</v>
      </c>
      <c r="F194" t="n">
        <v>0.795</v>
      </c>
      <c r="G194" t="n">
        <v>-100</v>
      </c>
      <c r="H194" t="n">
        <v>3.625637</v>
      </c>
      <c r="I194" t="n">
        <v>3.705802</v>
      </c>
      <c r="J194" t="n">
        <v>-0.080165</v>
      </c>
      <c r="K194" s="4">
        <f>IFERROR(J194/I194,"")</f>
        <v/>
      </c>
      <c r="L194" s="4">
        <f>IFERROR((D194-E194)/E194,"")</f>
        <v/>
      </c>
    </row>
    <row r="195">
      <c r="A195" t="inlineStr">
        <is>
          <t>2026-06-19</t>
        </is>
      </c>
      <c r="B195" t="inlineStr">
        <is>
          <t>159269</t>
        </is>
      </c>
      <c r="C195" t="inlineStr">
        <is>
          <t>港股通科技ETF南方</t>
        </is>
      </c>
      <c r="D195" t="n">
        <v>205031.1712</v>
      </c>
      <c r="E195" t="n">
        <v>205031.1712</v>
      </c>
      <c r="F195" t="n">
        <v>0.8453000000000001</v>
      </c>
      <c r="G195" t="n">
        <v>0</v>
      </c>
      <c r="H195" t="n">
        <v>17.331285</v>
      </c>
      <c r="I195" t="n">
        <v>17.36204</v>
      </c>
      <c r="J195" t="n">
        <v>-0.030755</v>
      </c>
      <c r="K195" s="4">
        <f>IFERROR(J195/I195,"")</f>
        <v/>
      </c>
      <c r="L195" s="4">
        <f>IFERROR((D195-E195)/E195,"")</f>
        <v/>
      </c>
    </row>
    <row r="196">
      <c r="A196" t="inlineStr">
        <is>
          <t>2026-06-19</t>
        </is>
      </c>
      <c r="B196" t="inlineStr">
        <is>
          <t>159270</t>
        </is>
      </c>
      <c r="C196" t="inlineStr">
        <is>
          <t>创业板200ETF南方</t>
        </is>
      </c>
      <c r="D196" t="n">
        <v>9476.3649</v>
      </c>
      <c r="E196" t="n">
        <v>9676.3649</v>
      </c>
      <c r="F196" t="n">
        <v>1.298</v>
      </c>
      <c r="G196" t="n">
        <v>-200</v>
      </c>
      <c r="H196" t="n">
        <v>1.230032</v>
      </c>
      <c r="I196" t="n">
        <v>1.245832</v>
      </c>
      <c r="J196" t="n">
        <v>-0.0158</v>
      </c>
      <c r="K196" s="4">
        <f>IFERROR(J196/I196,"")</f>
        <v/>
      </c>
      <c r="L196" s="4">
        <f>IFERROR((D196-E196)/E196,"")</f>
        <v/>
      </c>
    </row>
    <row r="197">
      <c r="A197" t="inlineStr">
        <is>
          <t>2026-06-19</t>
        </is>
      </c>
      <c r="B197" t="inlineStr">
        <is>
          <t>159271</t>
        </is>
      </c>
      <c r="C197" t="inlineStr">
        <is>
          <t>恒生ETF鹏华</t>
        </is>
      </c>
      <c r="D197" t="n">
        <v>25238.6731</v>
      </c>
      <c r="E197" t="n">
        <v>24738.6731</v>
      </c>
      <c r="F197" t="n">
        <v>0.9285</v>
      </c>
      <c r="G197" t="n">
        <v>500</v>
      </c>
      <c r="H197" t="n">
        <v>2.343411</v>
      </c>
      <c r="I197" t="n">
        <v>2.314055</v>
      </c>
      <c r="J197" t="n">
        <v>0.029356</v>
      </c>
      <c r="K197" s="4">
        <f>IFERROR(J197/I197,"")</f>
        <v/>
      </c>
      <c r="L197" s="4">
        <f>IFERROR((D197-E197)/E197,"")</f>
        <v/>
      </c>
    </row>
    <row r="198">
      <c r="A198" t="inlineStr">
        <is>
          <t>2026-06-19</t>
        </is>
      </c>
      <c r="B198" t="inlineStr">
        <is>
          <t>159272</t>
        </is>
      </c>
      <c r="C198" t="inlineStr">
        <is>
          <t>机器人ETF富国</t>
        </is>
      </c>
      <c r="D198" t="n">
        <v>206816.469</v>
      </c>
      <c r="E198" t="n">
        <v>209516.469</v>
      </c>
      <c r="F198" t="n">
        <v>0.958</v>
      </c>
      <c r="G198" t="n">
        <v>-2700</v>
      </c>
      <c r="H198" t="n">
        <v>19.813018</v>
      </c>
      <c r="I198" t="n">
        <v>20.235101</v>
      </c>
      <c r="J198" t="n">
        <v>-0.422083</v>
      </c>
      <c r="K198" s="4">
        <f>IFERROR(J198/I198,"")</f>
        <v/>
      </c>
      <c r="L198" s="4">
        <f>IFERROR((D198-E198)/E198,"")</f>
        <v/>
      </c>
    </row>
    <row r="199">
      <c r="A199" t="inlineStr">
        <is>
          <t>2026-06-19</t>
        </is>
      </c>
      <c r="B199" t="inlineStr">
        <is>
          <t>159273</t>
        </is>
      </c>
      <c r="C199" t="inlineStr">
        <is>
          <t>云计算ETF汇添富</t>
        </is>
      </c>
      <c r="D199" t="n">
        <v>75177.7501</v>
      </c>
      <c r="E199" t="n">
        <v>75777.7501</v>
      </c>
      <c r="F199" t="n">
        <v>1.4552</v>
      </c>
      <c r="G199" t="n">
        <v>-600</v>
      </c>
      <c r="H199" t="n">
        <v>10.939866</v>
      </c>
      <c r="I199" t="n">
        <v>10.955947</v>
      </c>
      <c r="J199" t="n">
        <v>-0.016081</v>
      </c>
      <c r="K199" s="4">
        <f>IFERROR(J199/I199,"")</f>
        <v/>
      </c>
      <c r="L199" s="4">
        <f>IFERROR((D199-E199)/E199,"")</f>
        <v/>
      </c>
    </row>
    <row r="200">
      <c r="A200" t="inlineStr">
        <is>
          <t>2026-06-19</t>
        </is>
      </c>
      <c r="B200" t="inlineStr">
        <is>
          <t>159275</t>
        </is>
      </c>
      <c r="C200" t="inlineStr">
        <is>
          <t>农牧渔ETF华宝</t>
        </is>
      </c>
      <c r="D200" t="n">
        <v>24230.2909</v>
      </c>
      <c r="E200" t="n">
        <v>24230.2909</v>
      </c>
      <c r="F200" t="n">
        <v>0.7845</v>
      </c>
      <c r="G200" t="n">
        <v>0</v>
      </c>
      <c r="H200" t="n">
        <v>1.900866</v>
      </c>
      <c r="I200" t="n">
        <v>1.930427</v>
      </c>
      <c r="J200" t="n">
        <v>-0.029561</v>
      </c>
      <c r="K200" s="4">
        <f>IFERROR(J200/I200,"")</f>
        <v/>
      </c>
      <c r="L200" s="4">
        <f>IFERROR((D200-E200)/E200,"")</f>
        <v/>
      </c>
    </row>
    <row r="201">
      <c r="A201" t="inlineStr">
        <is>
          <t>2026-06-19</t>
        </is>
      </c>
      <c r="B201" t="inlineStr">
        <is>
          <t>159276</t>
        </is>
      </c>
      <c r="C201" t="inlineStr">
        <is>
          <t>现金流ETF汇添富</t>
        </is>
      </c>
      <c r="D201" t="n">
        <v>42069.6658</v>
      </c>
      <c r="E201" t="n">
        <v>42469.6658</v>
      </c>
      <c r="F201" t="n">
        <v>1.0651</v>
      </c>
      <c r="G201" t="n">
        <v>-400</v>
      </c>
      <c r="H201" t="n">
        <v>4.48084</v>
      </c>
      <c r="I201" t="n">
        <v>4.539583</v>
      </c>
      <c r="J201" t="n">
        <v>-0.058743</v>
      </c>
      <c r="K201" s="4">
        <f>IFERROR(J201/I201,"")</f>
        <v/>
      </c>
      <c r="L201" s="4">
        <f>IFERROR((D201-E201)/E201,"")</f>
        <v/>
      </c>
    </row>
    <row r="202">
      <c r="A202" t="inlineStr">
        <is>
          <t>2026-06-19</t>
        </is>
      </c>
      <c r="B202" t="inlineStr">
        <is>
          <t>159277</t>
        </is>
      </c>
      <c r="C202" t="inlineStr">
        <is>
          <t>港股通红利ETF富国</t>
        </is>
      </c>
      <c r="D202" t="n">
        <v>5655.7011</v>
      </c>
      <c r="E202" t="n">
        <v>5655.7011</v>
      </c>
      <c r="F202" t="n">
        <v>0.968</v>
      </c>
      <c r="G202" t="n">
        <v>0</v>
      </c>
      <c r="H202" t="n">
        <v>0.547472</v>
      </c>
      <c r="I202" t="n">
        <v>0.5553900000000001</v>
      </c>
      <c r="J202" t="n">
        <v>-0.007918</v>
      </c>
      <c r="K202" s="4">
        <f>IFERROR(J202/I202,"")</f>
        <v/>
      </c>
      <c r="L202" s="4">
        <f>IFERROR((D202-E202)/E202,"")</f>
        <v/>
      </c>
    </row>
    <row r="203">
      <c r="A203" t="inlineStr">
        <is>
          <t>2026-06-19</t>
        </is>
      </c>
      <c r="B203" t="inlineStr">
        <is>
          <t>159278</t>
        </is>
      </c>
      <c r="C203" t="inlineStr">
        <is>
          <t>机器人ETF鹏华</t>
        </is>
      </c>
      <c r="D203" t="n">
        <v>131054.5853</v>
      </c>
      <c r="E203" t="n">
        <v>133154.5853</v>
      </c>
      <c r="F203" t="n">
        <v>1.1266</v>
      </c>
      <c r="G203" t="n">
        <v>-2100</v>
      </c>
      <c r="H203" t="n">
        <v>14.76461</v>
      </c>
      <c r="I203" t="n">
        <v>15.122366</v>
      </c>
      <c r="J203" t="n">
        <v>-0.357756</v>
      </c>
      <c r="K203" s="4">
        <f>IFERROR(J203/I203,"")</f>
        <v/>
      </c>
      <c r="L203" s="4">
        <f>IFERROR((D203-E203)/E203,"")</f>
        <v/>
      </c>
    </row>
    <row r="204">
      <c r="A204" t="inlineStr">
        <is>
          <t>2026-06-19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11738.7534</v>
      </c>
      <c r="E204" t="n">
        <v>11738.7534</v>
      </c>
      <c r="F204" t="n">
        <v>1.6834</v>
      </c>
      <c r="G204" t="n">
        <v>0</v>
      </c>
      <c r="H204" t="n">
        <v>1.976102</v>
      </c>
      <c r="I204" t="n">
        <v>1.944994</v>
      </c>
      <c r="J204" t="n">
        <v>0.031108</v>
      </c>
      <c r="K204" s="4">
        <f>IFERROR(J204/I204,"")</f>
        <v/>
      </c>
      <c r="L204" s="4">
        <f>IFERROR((D204-E204)/E204,"")</f>
        <v/>
      </c>
    </row>
    <row r="205">
      <c r="A205" t="inlineStr">
        <is>
          <t>2026-06-19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10271.7171</v>
      </c>
      <c r="E205" t="n">
        <v>10271.7171</v>
      </c>
      <c r="F205" t="n">
        <v>0.6965</v>
      </c>
      <c r="G205" t="n">
        <v>0</v>
      </c>
      <c r="H205" t="n">
        <v>0.715425</v>
      </c>
      <c r="I205" t="n">
        <v>0.719431</v>
      </c>
      <c r="J205" t="n">
        <v>-0.004006</v>
      </c>
      <c r="K205" s="4">
        <f>IFERROR(J205/I205,"")</f>
        <v/>
      </c>
      <c r="L205" s="4">
        <f>IFERROR((D205-E205)/E205,"")</f>
        <v/>
      </c>
    </row>
    <row r="206">
      <c r="A206" t="inlineStr">
        <is>
          <t>2026-06-19</t>
        </is>
      </c>
      <c r="B206" t="inlineStr">
        <is>
          <t>159281</t>
        </is>
      </c>
      <c r="C206" t="inlineStr">
        <is>
          <t>港股央企红利ETF天弘</t>
        </is>
      </c>
      <c r="D206" t="n">
        <v>37023.3059</v>
      </c>
      <c r="E206" t="n">
        <v>37123.3059</v>
      </c>
      <c r="F206" t="n">
        <v>0.9486</v>
      </c>
      <c r="G206" t="n">
        <v>-100</v>
      </c>
      <c r="H206" t="n">
        <v>3.512031</v>
      </c>
      <c r="I206" t="n">
        <v>3.555299</v>
      </c>
      <c r="J206" t="n">
        <v>-0.043268</v>
      </c>
      <c r="K206" s="4">
        <f>IFERROR(J206/I206,"")</f>
        <v/>
      </c>
      <c r="L206" s="4">
        <f>IFERROR((D206-E206)/E206,"")</f>
        <v/>
      </c>
    </row>
    <row r="207">
      <c r="A207" t="inlineStr">
        <is>
          <t>2026-06-19</t>
        </is>
      </c>
      <c r="B207" t="inlineStr">
        <is>
          <t>159283</t>
        </is>
      </c>
      <c r="C207" t="inlineStr">
        <is>
          <t>通用航空ETF南方</t>
        </is>
      </c>
      <c r="D207" t="n">
        <v>29043.7981</v>
      </c>
      <c r="E207" t="n">
        <v>29243.7981</v>
      </c>
      <c r="F207" t="n">
        <v>0.9777</v>
      </c>
      <c r="G207" t="n">
        <v>-200</v>
      </c>
      <c r="H207" t="n">
        <v>2.839612</v>
      </c>
      <c r="I207" t="n">
        <v>2.860043</v>
      </c>
      <c r="J207" t="n">
        <v>-0.020431</v>
      </c>
      <c r="K207" s="4">
        <f>IFERROR(J207/I207,"")</f>
        <v/>
      </c>
      <c r="L207" s="4">
        <f>IFERROR((D207-E207)/E207,"")</f>
        <v/>
      </c>
    </row>
    <row r="208">
      <c r="A208" t="inlineStr">
        <is>
          <t>2026-06-19</t>
        </is>
      </c>
      <c r="B208" t="inlineStr">
        <is>
          <t>159285</t>
        </is>
      </c>
      <c r="C208" t="inlineStr">
        <is>
          <t>港股通消费ETF华安</t>
        </is>
      </c>
      <c r="D208" t="n">
        <v>27048.668</v>
      </c>
      <c r="E208" t="n">
        <v>27048.668</v>
      </c>
      <c r="F208" t="n">
        <v>0.792</v>
      </c>
      <c r="G208" t="n">
        <v>0</v>
      </c>
      <c r="H208" t="n">
        <v>2.142255</v>
      </c>
      <c r="I208" t="n">
        <v>2.18445</v>
      </c>
      <c r="J208" t="n">
        <v>-0.042195</v>
      </c>
      <c r="K208" s="4">
        <f>IFERROR(J208/I208,"")</f>
        <v/>
      </c>
      <c r="L208" s="4">
        <f>IFERROR((D208-E208)/E208,"")</f>
        <v/>
      </c>
    </row>
    <row r="209">
      <c r="A209" t="inlineStr">
        <is>
          <t>2026-06-19</t>
        </is>
      </c>
      <c r="B209" t="inlineStr">
        <is>
          <t>159286</t>
        </is>
      </c>
      <c r="C209" t="inlineStr">
        <is>
          <t>港股通创新药ETF鹏华</t>
        </is>
      </c>
      <c r="D209" t="n">
        <v>79078.5402</v>
      </c>
      <c r="E209" t="n">
        <v>79078.5402</v>
      </c>
      <c r="F209" t="n">
        <v>0.6304999999999999</v>
      </c>
      <c r="G209" t="n">
        <v>0</v>
      </c>
      <c r="H209" t="n">
        <v>4.985902</v>
      </c>
      <c r="I209" t="n">
        <v>5.076051</v>
      </c>
      <c r="J209" t="n">
        <v>-0.09014900000000001</v>
      </c>
      <c r="K209" s="4">
        <f>IFERROR(J209/I209,"")</f>
        <v/>
      </c>
      <c r="L209" s="4">
        <f>IFERROR((D209-E209)/E209,"")</f>
        <v/>
      </c>
    </row>
    <row r="210">
      <c r="A210" t="inlineStr">
        <is>
          <t>2026-06-19</t>
        </is>
      </c>
      <c r="B210" t="inlineStr">
        <is>
          <t>159287</t>
        </is>
      </c>
      <c r="C210" t="inlineStr">
        <is>
          <t>创业板综ETF博时</t>
        </is>
      </c>
      <c r="D210" t="n">
        <v>10156.8753</v>
      </c>
      <c r="E210" t="n">
        <v>10156.8753</v>
      </c>
      <c r="F210" t="n">
        <v>1.3097</v>
      </c>
      <c r="G210" t="n">
        <v>0</v>
      </c>
      <c r="H210" t="n">
        <v>1.330246</v>
      </c>
      <c r="I210" t="n">
        <v>1.316737</v>
      </c>
      <c r="J210" t="n">
        <v>0.013509</v>
      </c>
      <c r="K210" s="4">
        <f>IFERROR(J210/I210,"")</f>
        <v/>
      </c>
      <c r="L210" s="4">
        <f>IFERROR((D210-E210)/E210,"")</f>
        <v/>
      </c>
    </row>
    <row r="211">
      <c r="A211" t="inlineStr">
        <is>
          <t>2026-06-19</t>
        </is>
      </c>
      <c r="B211" t="inlineStr">
        <is>
          <t>159288</t>
        </is>
      </c>
      <c r="C211" t="inlineStr">
        <is>
          <t>创业板综ETF银华</t>
        </is>
      </c>
      <c r="D211" t="n">
        <v>10017.4931</v>
      </c>
      <c r="E211" t="n">
        <v>10017.4931</v>
      </c>
      <c r="F211" t="n">
        <v>1.1684</v>
      </c>
      <c r="G211" t="n">
        <v>0</v>
      </c>
      <c r="H211" t="n">
        <v>1.170444</v>
      </c>
      <c r="I211" t="n">
        <v>1.158122</v>
      </c>
      <c r="J211" t="n">
        <v>0.012322</v>
      </c>
      <c r="K211" s="4">
        <f>IFERROR(J211/I211,"")</f>
        <v/>
      </c>
      <c r="L211" s="4">
        <f>IFERROR((D211-E211)/E211,"")</f>
        <v/>
      </c>
    </row>
    <row r="212">
      <c r="A212" t="inlineStr">
        <is>
          <t>2026-06-19</t>
        </is>
      </c>
      <c r="B212" t="inlineStr">
        <is>
          <t>159289</t>
        </is>
      </c>
      <c r="C212" t="inlineStr">
        <is>
          <t>创业板综指ETF鹏华</t>
        </is>
      </c>
      <c r="D212" t="n">
        <v>2890.264</v>
      </c>
      <c r="E212" t="n">
        <v>2890.264</v>
      </c>
      <c r="F212" t="n">
        <v>1.2799</v>
      </c>
      <c r="G212" t="n">
        <v>0</v>
      </c>
      <c r="H212" t="n">
        <v>0.369925</v>
      </c>
      <c r="I212" t="n">
        <v>0.365994</v>
      </c>
      <c r="J212" t="n">
        <v>0.003931</v>
      </c>
      <c r="K212" s="4">
        <f>IFERROR(J212/I212,"")</f>
        <v/>
      </c>
      <c r="L212" s="4">
        <f>IFERROR((D212-E212)/E212,"")</f>
        <v/>
      </c>
    </row>
    <row r="213">
      <c r="A213" t="inlineStr">
        <is>
          <t>2026-06-19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4210.0396</v>
      </c>
      <c r="E213" t="n">
        <v>4210.0396</v>
      </c>
      <c r="F213" t="n">
        <v>1.3787</v>
      </c>
      <c r="G213" t="n">
        <v>0</v>
      </c>
      <c r="H213" t="n">
        <v>0.580438</v>
      </c>
      <c r="I213" t="n">
        <v>0.575597</v>
      </c>
      <c r="J213" t="n">
        <v>0.004841</v>
      </c>
      <c r="K213" s="4">
        <f>IFERROR(J213/I213,"")</f>
        <v/>
      </c>
      <c r="L213" s="4">
        <f>IFERROR((D213-E213)/E213,"")</f>
        <v/>
      </c>
    </row>
    <row r="214">
      <c r="A214" t="inlineStr">
        <is>
          <t>2026-06-19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1945.7388</v>
      </c>
      <c r="F214" t="n">
        <v>1.3784</v>
      </c>
      <c r="G214" t="n">
        <v>-200</v>
      </c>
      <c r="H214" t="n">
        <v>0.240633</v>
      </c>
      <c r="I214" t="n">
        <v>0.264815</v>
      </c>
      <c r="J214" t="n">
        <v>-0.024182</v>
      </c>
      <c r="K214" s="4">
        <f>IFERROR(J214/I214,"")</f>
        <v/>
      </c>
      <c r="L214" s="4">
        <f>IFERROR((D214-E214)/E214,"")</f>
        <v/>
      </c>
    </row>
    <row r="215">
      <c r="A215" t="inlineStr">
        <is>
          <t>2026-06-19</t>
        </is>
      </c>
      <c r="B215" t="inlineStr">
        <is>
          <t>159292</t>
        </is>
      </c>
      <c r="C215" t="inlineStr">
        <is>
          <t>创业板综增强ETF华宝</t>
        </is>
      </c>
      <c r="D215" t="n">
        <v>3118.9531</v>
      </c>
      <c r="E215" t="n">
        <v>3118.9531</v>
      </c>
      <c r="F215" t="n">
        <v>1.328</v>
      </c>
      <c r="G215" t="n">
        <v>0</v>
      </c>
      <c r="H215" t="n">
        <v>0.414197</v>
      </c>
      <c r="I215" t="n">
        <v>0.409425</v>
      </c>
      <c r="J215" t="n">
        <v>0.004772</v>
      </c>
      <c r="K215" s="4">
        <f>IFERROR(J215/I215,"")</f>
        <v/>
      </c>
      <c r="L215" s="4">
        <f>IFERROR((D215-E215)/E215,"")</f>
        <v/>
      </c>
    </row>
    <row r="216">
      <c r="A216" t="inlineStr">
        <is>
          <t>2026-06-19</t>
        </is>
      </c>
      <c r="B216" t="inlineStr">
        <is>
          <t>159293</t>
        </is>
      </c>
      <c r="C216" t="inlineStr">
        <is>
          <t>创业板综增强ETF建信</t>
        </is>
      </c>
      <c r="D216" t="n">
        <v>2515.9397</v>
      </c>
      <c r="E216" t="n">
        <v>2515.9397</v>
      </c>
      <c r="F216" t="n">
        <v>1.2124</v>
      </c>
      <c r="G216" t="n">
        <v>0</v>
      </c>
      <c r="H216" t="n">
        <v>0.305033</v>
      </c>
      <c r="I216" t="n">
        <v>0.301963</v>
      </c>
      <c r="J216" t="n">
        <v>0.00307</v>
      </c>
      <c r="K216" s="4">
        <f>IFERROR(J216/I216,"")</f>
        <v/>
      </c>
      <c r="L216" s="4">
        <f>IFERROR((D216-E216)/E216,"")</f>
        <v/>
      </c>
    </row>
    <row r="217">
      <c r="A217" t="inlineStr">
        <is>
          <t>2026-06-19</t>
        </is>
      </c>
      <c r="B217" t="inlineStr">
        <is>
          <t>159295</t>
        </is>
      </c>
      <c r="C217" t="inlineStr">
        <is>
          <t>创业综指ETF西部利得</t>
        </is>
      </c>
      <c r="D217" t="n">
        <v>6695.8239</v>
      </c>
      <c r="E217" t="n">
        <v>6695.8239</v>
      </c>
      <c r="F217" t="n">
        <v>1.342</v>
      </c>
      <c r="G217" t="n">
        <v>0</v>
      </c>
      <c r="H217" t="n">
        <v>0.89858</v>
      </c>
      <c r="I217" t="n">
        <v>0.888201</v>
      </c>
      <c r="J217" t="n">
        <v>0.010379</v>
      </c>
      <c r="K217" s="4">
        <f>IFERROR(J217/I217,"")</f>
        <v/>
      </c>
      <c r="L217" s="4">
        <f>IFERROR((D217-E217)/E217,"")</f>
        <v/>
      </c>
    </row>
    <row r="218">
      <c r="A218" t="inlineStr">
        <is>
          <t>2026-06-19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0.9597</v>
      </c>
      <c r="G218" t="n">
        <v>0</v>
      </c>
      <c r="H218" t="n">
        <v>0.432277</v>
      </c>
      <c r="I218" t="n">
        <v>0.434484</v>
      </c>
      <c r="J218" t="n">
        <v>-0.002207</v>
      </c>
      <c r="K218" s="4">
        <f>IFERROR(J218/I218,"")</f>
        <v/>
      </c>
      <c r="L218" s="4">
        <f>IFERROR((D218-E218)/E218,"")</f>
        <v/>
      </c>
    </row>
    <row r="219">
      <c r="A219" t="inlineStr">
        <is>
          <t>2026-06-19</t>
        </is>
      </c>
      <c r="B219" t="inlineStr">
        <is>
          <t>159297</t>
        </is>
      </c>
      <c r="C219" t="inlineStr">
        <is>
          <t>港股通创新药ETF南方</t>
        </is>
      </c>
      <c r="D219" t="n">
        <v>266241.8642</v>
      </c>
      <c r="E219" t="n">
        <v>266241.8642</v>
      </c>
      <c r="F219" t="n">
        <v>0.6158</v>
      </c>
      <c r="G219" t="n">
        <v>0</v>
      </c>
      <c r="H219" t="n">
        <v>16.395174</v>
      </c>
      <c r="I219" t="n">
        <v>16.693365</v>
      </c>
      <c r="J219" t="n">
        <v>-0.298191</v>
      </c>
      <c r="K219" s="4">
        <f>IFERROR(J219/I219,"")</f>
        <v/>
      </c>
      <c r="L219" s="4">
        <f>IFERROR((D219-E219)/E219,"")</f>
        <v/>
      </c>
    </row>
    <row r="220">
      <c r="A220" t="inlineStr">
        <is>
          <t>2026-06-19</t>
        </is>
      </c>
      <c r="B220" t="inlineStr">
        <is>
          <t>159298</t>
        </is>
      </c>
      <c r="C220" t="inlineStr">
        <is>
          <t>创业板50ETF大成</t>
        </is>
      </c>
      <c r="D220" t="n">
        <v>13028.1082</v>
      </c>
      <c r="E220" t="n">
        <v>13028.1082</v>
      </c>
      <c r="F220" t="n">
        <v>1.4887</v>
      </c>
      <c r="G220" t="n">
        <v>0</v>
      </c>
      <c r="H220" t="n">
        <v>1.939494</v>
      </c>
      <c r="I220" t="n">
        <v>1.913178</v>
      </c>
      <c r="J220" t="n">
        <v>0.026316</v>
      </c>
      <c r="K220" s="4">
        <f>IFERROR(J220/I220,"")</f>
        <v/>
      </c>
      <c r="L220" s="4">
        <f>IFERROR((D220-E220)/E220,"")</f>
        <v/>
      </c>
    </row>
    <row r="221">
      <c r="A221" t="inlineStr">
        <is>
          <t>2026-06-19</t>
        </is>
      </c>
      <c r="B221" t="inlineStr">
        <is>
          <t>159299</t>
        </is>
      </c>
      <c r="C221" t="inlineStr">
        <is>
          <t>金融科技ETF易方达</t>
        </is>
      </c>
      <c r="D221" t="n">
        <v>67047.2981</v>
      </c>
      <c r="E221" t="n">
        <v>65247.2981</v>
      </c>
      <c r="F221" t="n">
        <v>0.7213000000000001</v>
      </c>
      <c r="G221" t="n">
        <v>1800</v>
      </c>
      <c r="H221" t="n">
        <v>4.836122</v>
      </c>
      <c r="I221" t="n">
        <v>4.723252</v>
      </c>
      <c r="J221" t="n">
        <v>0.11287</v>
      </c>
      <c r="K221" s="4">
        <f>IFERROR(J221/I221,"")</f>
        <v/>
      </c>
      <c r="L221" s="4">
        <f>IFERROR((D221-E221)/E221,"")</f>
        <v/>
      </c>
    </row>
    <row r="222">
      <c r="A222" t="inlineStr">
        <is>
          <t>2026-06-19</t>
        </is>
      </c>
      <c r="B222" t="inlineStr">
        <is>
          <t>159300</t>
        </is>
      </c>
      <c r="C222" t="inlineStr">
        <is>
          <t>沪深300ETF富国</t>
        </is>
      </c>
      <c r="D222" t="n">
        <v>17105.8097</v>
      </c>
      <c r="E222" t="n">
        <v>17285.8097</v>
      </c>
      <c r="F222" t="n">
        <v>5.2887</v>
      </c>
      <c r="G222" t="n">
        <v>-180</v>
      </c>
      <c r="H222" t="n">
        <v>9.046749999999999</v>
      </c>
      <c r="I222" t="n">
        <v>9.050850000000001</v>
      </c>
      <c r="J222" t="n">
        <v>-0.0041</v>
      </c>
      <c r="K222" s="4">
        <f>IFERROR(J222/I222,"")</f>
        <v/>
      </c>
      <c r="L222" s="4">
        <f>IFERROR((D222-E222)/E222,"")</f>
        <v/>
      </c>
    </row>
    <row r="223">
      <c r="A223" t="inlineStr">
        <is>
          <t>2026-06-19</t>
        </is>
      </c>
      <c r="B223" t="inlineStr">
        <is>
          <t>159301</t>
        </is>
      </c>
      <c r="C223" t="inlineStr">
        <is>
          <t>公用事业ETF华夏</t>
        </is>
      </c>
      <c r="D223" t="n">
        <v>11445.8357</v>
      </c>
      <c r="E223" t="n">
        <v>11595.8357</v>
      </c>
      <c r="F223" t="n">
        <v>1.0181</v>
      </c>
      <c r="G223" t="n">
        <v>-150</v>
      </c>
      <c r="H223" t="n">
        <v>1.165301</v>
      </c>
      <c r="I223" t="n">
        <v>1.188457</v>
      </c>
      <c r="J223" t="n">
        <v>-0.023156</v>
      </c>
      <c r="K223" s="4">
        <f>IFERROR(J223/I223,"")</f>
        <v/>
      </c>
      <c r="L223" s="4">
        <f>IFERROR((D223-E223)/E223,"")</f>
        <v/>
      </c>
    </row>
    <row r="224">
      <c r="A224" t="inlineStr">
        <is>
          <t>2026-06-19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1.2903</v>
      </c>
      <c r="G224" t="n">
        <v>0</v>
      </c>
      <c r="H224" t="n">
        <v>0.745763</v>
      </c>
      <c r="I224" t="n">
        <v>0.756455</v>
      </c>
      <c r="J224" t="n">
        <v>-0.010692</v>
      </c>
      <c r="K224" s="4">
        <f>IFERROR(J224/I224,"")</f>
        <v/>
      </c>
      <c r="L224" s="4">
        <f>IFERROR((D224-E224)/E224,"")</f>
        <v/>
      </c>
    </row>
    <row r="225">
      <c r="A225" t="inlineStr">
        <is>
          <t>2026-06-19</t>
        </is>
      </c>
      <c r="B225" t="inlineStr">
        <is>
          <t>159303</t>
        </is>
      </c>
      <c r="C225" t="inlineStr">
        <is>
          <t>恒生医疗ETF大成</t>
        </is>
      </c>
      <c r="D225" t="n">
        <v>6599.1693</v>
      </c>
      <c r="E225" t="n">
        <v>6599.1693</v>
      </c>
      <c r="F225" t="n">
        <v>1.2898</v>
      </c>
      <c r="G225" t="n">
        <v>0</v>
      </c>
      <c r="H225" t="n">
        <v>0.8511609999999999</v>
      </c>
      <c r="I225" t="n">
        <v>0.862313</v>
      </c>
      <c r="J225" t="n">
        <v>-0.011152</v>
      </c>
      <c r="K225" s="4">
        <f>IFERROR(J225/I225,"")</f>
        <v/>
      </c>
      <c r="L225" s="4">
        <f>IFERROR((D225-E225)/E225,"")</f>
        <v/>
      </c>
    </row>
    <row r="226">
      <c r="A226" t="inlineStr">
        <is>
          <t>2026-06-19</t>
        </is>
      </c>
      <c r="B226" t="inlineStr">
        <is>
          <t>159305</t>
        </is>
      </c>
      <c r="C226" t="inlineStr">
        <is>
          <t>储能电池ETF广发</t>
        </is>
      </c>
      <c r="D226" t="n">
        <v>113464.0302</v>
      </c>
      <c r="E226" t="n">
        <v>112164.0302</v>
      </c>
      <c r="F226" t="n">
        <v>1.0178</v>
      </c>
      <c r="G226" t="n">
        <v>1300</v>
      </c>
      <c r="H226" t="n">
        <v>11.548369</v>
      </c>
      <c r="I226" t="n">
        <v>11.353243</v>
      </c>
      <c r="J226" t="n">
        <v>0.195126</v>
      </c>
      <c r="K226" s="4">
        <f>IFERROR(J226/I226,"")</f>
        <v/>
      </c>
      <c r="L226" s="4">
        <f>IFERROR((D226-E226)/E226,"")</f>
        <v/>
      </c>
    </row>
    <row r="227">
      <c r="A227" t="inlineStr">
        <is>
          <t>2026-06-19</t>
        </is>
      </c>
      <c r="B227" t="inlineStr">
        <is>
          <t>159306</t>
        </is>
      </c>
      <c r="C227" t="inlineStr">
        <is>
          <t>汽车零部件ETF平安</t>
        </is>
      </c>
      <c r="D227" t="n">
        <v>2024.4616</v>
      </c>
      <c r="E227" t="n">
        <v>2024.4616</v>
      </c>
      <c r="F227" t="n">
        <v>1.3407</v>
      </c>
      <c r="G227" t="n">
        <v>0</v>
      </c>
      <c r="H227" t="n">
        <v>0.27142</v>
      </c>
      <c r="I227" t="n">
        <v>0.271683</v>
      </c>
      <c r="J227" t="n">
        <v>-0.000263</v>
      </c>
      <c r="K227" s="4">
        <f>IFERROR(J227/I227,"")</f>
        <v/>
      </c>
      <c r="L227" s="4">
        <f>IFERROR((D227-E227)/E227,"")</f>
        <v/>
      </c>
    </row>
    <row r="228">
      <c r="A228" t="inlineStr">
        <is>
          <t>2026-06-19</t>
        </is>
      </c>
      <c r="B228" t="inlineStr">
        <is>
          <t>159307</t>
        </is>
      </c>
      <c r="C228" t="inlineStr">
        <is>
          <t>红利低波100ETF博时</t>
        </is>
      </c>
      <c r="D228" t="n">
        <v>663690.3552</v>
      </c>
      <c r="E228" t="n">
        <v>647790.3552</v>
      </c>
      <c r="F228" t="n">
        <v>1.0064</v>
      </c>
      <c r="G228" t="n">
        <v>15900</v>
      </c>
      <c r="H228" t="n">
        <v>66.793797</v>
      </c>
      <c r="I228" t="n">
        <v>65.595251</v>
      </c>
      <c r="J228" t="n">
        <v>1.198546</v>
      </c>
      <c r="K228" s="4">
        <f>IFERROR(J228/I228,"")</f>
        <v/>
      </c>
      <c r="L228" s="4">
        <f>IFERROR((D228-E228)/E228,"")</f>
        <v/>
      </c>
    </row>
    <row r="229">
      <c r="A229" t="inlineStr">
        <is>
          <t>2026-06-19</t>
        </is>
      </c>
      <c r="B229" t="inlineStr">
        <is>
          <t>159309</t>
        </is>
      </c>
      <c r="C229" t="inlineStr">
        <is>
          <t>油气ETF汇添富</t>
        </is>
      </c>
      <c r="D229" t="n">
        <v>61437.1736</v>
      </c>
      <c r="E229" t="n">
        <v>62137.1736</v>
      </c>
      <c r="F229" t="n">
        <v>1.3524</v>
      </c>
      <c r="G229" t="n">
        <v>-700</v>
      </c>
      <c r="H229" t="n">
        <v>8.308763000000001</v>
      </c>
      <c r="I229" t="n">
        <v>8.333216</v>
      </c>
      <c r="J229" t="n">
        <v>-0.024453</v>
      </c>
      <c r="K229" s="4">
        <f>IFERROR(J229/I229,"")</f>
        <v/>
      </c>
      <c r="L229" s="4">
        <f>IFERROR((D229-E229)/E229,"")</f>
        <v/>
      </c>
    </row>
    <row r="230">
      <c r="A230" t="inlineStr">
        <is>
          <t>2026-06-19</t>
        </is>
      </c>
      <c r="B230" t="inlineStr">
        <is>
          <t>159310</t>
        </is>
      </c>
      <c r="C230" t="inlineStr">
        <is>
          <t>芯片ETF天弘</t>
        </is>
      </c>
      <c r="D230" t="n">
        <v>41998.108</v>
      </c>
      <c r="E230" t="n">
        <v>43398.108</v>
      </c>
      <c r="F230" t="n">
        <v>3.2494</v>
      </c>
      <c r="G230" t="n">
        <v>-1400</v>
      </c>
      <c r="H230" t="n">
        <v>13.646865</v>
      </c>
      <c r="I230" t="n">
        <v>13.30586</v>
      </c>
      <c r="J230" t="n">
        <v>0.341005</v>
      </c>
      <c r="K230" s="4">
        <f>IFERROR(J230/I230,"")</f>
        <v/>
      </c>
      <c r="L230" s="4">
        <f>IFERROR((D230-E230)/E230,"")</f>
        <v/>
      </c>
    </row>
    <row r="231">
      <c r="A231" t="inlineStr">
        <is>
          <t>2026-06-19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1.6393</v>
      </c>
      <c r="G231" t="n">
        <v>0</v>
      </c>
      <c r="H231" t="n">
        <v>0.612836</v>
      </c>
      <c r="I231" t="n">
        <v>0.586069</v>
      </c>
      <c r="J231" t="n">
        <v>0.026767</v>
      </c>
      <c r="K231" s="4">
        <f>IFERROR(J231/I231,"")</f>
        <v/>
      </c>
      <c r="L231" s="4">
        <f>IFERROR((D231-E231)/E231,"")</f>
        <v/>
      </c>
    </row>
    <row r="232">
      <c r="A232" t="inlineStr">
        <is>
          <t>2026-06-19</t>
        </is>
      </c>
      <c r="B232" t="inlineStr">
        <is>
          <t>159312</t>
        </is>
      </c>
      <c r="C232" t="inlineStr">
        <is>
          <t>恒指港股通ETF广发</t>
        </is>
      </c>
      <c r="D232" t="n">
        <v>3822.4353</v>
      </c>
      <c r="E232" t="n">
        <v>3822.4353</v>
      </c>
      <c r="F232" t="n">
        <v>1.1446</v>
      </c>
      <c r="G232" t="n">
        <v>0</v>
      </c>
      <c r="H232" t="n">
        <v>0.437516</v>
      </c>
      <c r="I232" t="n">
        <v>0.440803</v>
      </c>
      <c r="J232" t="n">
        <v>-0.003287</v>
      </c>
      <c r="K232" s="4">
        <f>IFERROR(J232/I232,"")</f>
        <v/>
      </c>
      <c r="L232" s="4">
        <f>IFERROR((D232-E232)/E232,"")</f>
        <v/>
      </c>
    </row>
    <row r="233">
      <c r="A233" t="inlineStr">
        <is>
          <t>2026-06-19</t>
        </is>
      </c>
      <c r="B233" t="inlineStr">
        <is>
          <t>159315</t>
        </is>
      </c>
      <c r="C233" t="inlineStr">
        <is>
          <t>黄金股ETF工银</t>
        </is>
      </c>
      <c r="D233" t="n">
        <v>19258.9621</v>
      </c>
      <c r="E233" t="n">
        <v>19408.9621</v>
      </c>
      <c r="F233" t="n">
        <v>1.5488</v>
      </c>
      <c r="G233" t="n">
        <v>-150</v>
      </c>
      <c r="H233" t="n">
        <v>2.982828</v>
      </c>
      <c r="I233" t="n">
        <v>3.004701</v>
      </c>
      <c r="J233" t="n">
        <v>-0.021873</v>
      </c>
      <c r="K233" s="4">
        <f>IFERROR(J233/I233,"")</f>
        <v/>
      </c>
      <c r="L233" s="4">
        <f>IFERROR((D233-E233)/E233,"")</f>
        <v/>
      </c>
    </row>
    <row r="234">
      <c r="A234" t="inlineStr">
        <is>
          <t>2026-06-19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407233.6139</v>
      </c>
      <c r="E234" t="n">
        <v>407233.6139</v>
      </c>
      <c r="F234" t="n">
        <v>0.9754</v>
      </c>
      <c r="G234" t="n">
        <v>0</v>
      </c>
      <c r="H234" t="n">
        <v>39.721567</v>
      </c>
      <c r="I234" t="n">
        <v>40.393502</v>
      </c>
      <c r="J234" t="n">
        <v>-0.6719349999999999</v>
      </c>
      <c r="K234" s="4">
        <f>IFERROR(J234/I234,"")</f>
        <v/>
      </c>
      <c r="L234" s="4">
        <f>IFERROR((D234-E234)/E234,"")</f>
        <v/>
      </c>
    </row>
    <row r="235">
      <c r="A235" t="inlineStr">
        <is>
          <t>2026-06-19</t>
        </is>
      </c>
      <c r="B235" t="inlineStr">
        <is>
          <t>159318</t>
        </is>
      </c>
      <c r="C235" t="inlineStr">
        <is>
          <t>恒指港股通ETF银华</t>
        </is>
      </c>
      <c r="D235" t="n">
        <v>1860.1647</v>
      </c>
      <c r="E235" t="n">
        <v>1860.1647</v>
      </c>
      <c r="F235" t="n">
        <v>1.2681</v>
      </c>
      <c r="G235" t="n">
        <v>0</v>
      </c>
      <c r="H235" t="n">
        <v>0.235887</v>
      </c>
      <c r="I235" t="n">
        <v>0.237655</v>
      </c>
      <c r="J235" t="n">
        <v>-0.001768</v>
      </c>
      <c r="K235" s="4">
        <f>IFERROR(J235/I235,"")</f>
        <v/>
      </c>
      <c r="L235" s="4">
        <f>IFERROR((D235-E235)/E235,"")</f>
        <v/>
      </c>
    </row>
    <row r="236">
      <c r="A236" t="inlineStr">
        <is>
          <t>2026-06-19</t>
        </is>
      </c>
      <c r="B236" t="inlineStr">
        <is>
          <t>159320</t>
        </is>
      </c>
      <c r="C236" t="inlineStr">
        <is>
          <t>电网设备ETF广发</t>
        </is>
      </c>
      <c r="D236" t="n">
        <v>42374.5173</v>
      </c>
      <c r="E236" t="n">
        <v>44074.5173</v>
      </c>
      <c r="F236" t="n">
        <v>2.3235</v>
      </c>
      <c r="G236" t="n">
        <v>-1700</v>
      </c>
      <c r="H236" t="n">
        <v>9.845719000000001</v>
      </c>
      <c r="I236" t="n">
        <v>10.187825</v>
      </c>
      <c r="J236" t="n">
        <v>-0.342106</v>
      </c>
      <c r="K236" s="4">
        <f>IFERROR(J236/I236,"")</f>
        <v/>
      </c>
      <c r="L236" s="4">
        <f>IFERROR((D236-E236)/E236,"")</f>
        <v/>
      </c>
    </row>
    <row r="237">
      <c r="A237" t="inlineStr">
        <is>
          <t>2026-06-19</t>
        </is>
      </c>
      <c r="B237" t="inlineStr">
        <is>
          <t>159321</t>
        </is>
      </c>
      <c r="C237" t="inlineStr">
        <is>
          <t>黄金股ETF华安</t>
        </is>
      </c>
      <c r="D237" t="n">
        <v>37740.0397</v>
      </c>
      <c r="E237" t="n">
        <v>37890.0397</v>
      </c>
      <c r="F237" t="n">
        <v>1.4527</v>
      </c>
      <c r="G237" t="n">
        <v>-150</v>
      </c>
      <c r="H237" t="n">
        <v>5.482496</v>
      </c>
      <c r="I237" t="n">
        <v>5.502013</v>
      </c>
      <c r="J237" t="n">
        <v>-0.019517</v>
      </c>
      <c r="K237" s="4">
        <f>IFERROR(J237/I237,"")</f>
        <v/>
      </c>
      <c r="L237" s="4">
        <f>IFERROR((D237-E237)/E237,"")</f>
        <v/>
      </c>
    </row>
    <row r="238">
      <c r="A238" t="inlineStr">
        <is>
          <t>2026-06-19</t>
        </is>
      </c>
      <c r="B238" t="inlineStr">
        <is>
          <t>159322</t>
        </is>
      </c>
      <c r="C238" t="inlineStr">
        <is>
          <t>黄金股ETF平安</t>
        </is>
      </c>
      <c r="D238" t="n">
        <v>12341.1691</v>
      </c>
      <c r="E238" t="n">
        <v>12341.1691</v>
      </c>
      <c r="F238" t="n">
        <v>1.5269</v>
      </c>
      <c r="G238" t="n">
        <v>0</v>
      </c>
      <c r="H238" t="n">
        <v>1.884373</v>
      </c>
      <c r="I238" t="n">
        <v>1.883262</v>
      </c>
      <c r="J238" t="n">
        <v>0.001111</v>
      </c>
      <c r="K238" s="4">
        <f>IFERROR(J238/I238,"")</f>
        <v/>
      </c>
      <c r="L238" s="4">
        <f>IFERROR((D238-E238)/E238,"")</f>
        <v/>
      </c>
    </row>
    <row r="239">
      <c r="A239" t="inlineStr">
        <is>
          <t>2026-06-19</t>
        </is>
      </c>
      <c r="B239" t="inlineStr">
        <is>
          <t>159323</t>
        </is>
      </c>
      <c r="C239" t="inlineStr">
        <is>
          <t>港股通汽车ETF华夏</t>
        </is>
      </c>
      <c r="D239" t="n">
        <v>9909.737800000001</v>
      </c>
      <c r="E239" t="n">
        <v>9909.737800000001</v>
      </c>
      <c r="F239" t="n">
        <v>1.1474</v>
      </c>
      <c r="G239" t="n">
        <v>0</v>
      </c>
      <c r="H239" t="n">
        <v>1.137043</v>
      </c>
      <c r="I239" t="n">
        <v>1.15171</v>
      </c>
      <c r="J239" t="n">
        <v>-0.014667</v>
      </c>
      <c r="K239" s="4">
        <f>IFERROR(J239/I239,"")</f>
        <v/>
      </c>
      <c r="L239" s="4">
        <f>IFERROR((D239-E239)/E239,"")</f>
        <v/>
      </c>
    </row>
    <row r="240">
      <c r="A240" t="inlineStr">
        <is>
          <t>2026-06-19</t>
        </is>
      </c>
      <c r="B240" t="inlineStr">
        <is>
          <t>159325</t>
        </is>
      </c>
      <c r="C240" t="inlineStr">
        <is>
          <t>半导体ETF南方</t>
        </is>
      </c>
      <c r="D240" t="n">
        <v>41446.0528</v>
      </c>
      <c r="E240" t="n">
        <v>37646.0528</v>
      </c>
      <c r="F240" t="n">
        <v>2.3783</v>
      </c>
      <c r="G240" t="n">
        <v>3800</v>
      </c>
      <c r="H240" t="n">
        <v>9.857115</v>
      </c>
      <c r="I240" t="n">
        <v>8.393186999999999</v>
      </c>
      <c r="J240" t="n">
        <v>1.463928</v>
      </c>
      <c r="K240" s="4">
        <f>IFERROR(J240/I240,"")</f>
        <v/>
      </c>
      <c r="L240" s="4">
        <f>IFERROR((D240-E240)/E240,"")</f>
        <v/>
      </c>
    </row>
    <row r="241">
      <c r="A241" t="inlineStr">
        <is>
          <t>2026-06-19</t>
        </is>
      </c>
      <c r="B241" t="inlineStr">
        <is>
          <t>159326</t>
        </is>
      </c>
      <c r="C241" t="inlineStr">
        <is>
          <t>电网设备ETF华夏</t>
        </is>
      </c>
      <c r="D241" t="n">
        <v>1196326.5525</v>
      </c>
      <c r="E241" t="n">
        <v>1211126.5525</v>
      </c>
      <c r="F241" t="n">
        <v>2.142</v>
      </c>
      <c r="G241" t="n">
        <v>-14800</v>
      </c>
      <c r="H241" t="n">
        <v>256.253148</v>
      </c>
      <c r="I241" t="n">
        <v>258.357516</v>
      </c>
      <c r="J241" t="n">
        <v>-2.104368</v>
      </c>
      <c r="K241" s="4">
        <f>IFERROR(J241/I241,"")</f>
        <v/>
      </c>
      <c r="L241" s="4">
        <f>IFERROR((D241-E241)/E241,"")</f>
        <v/>
      </c>
    </row>
    <row r="242">
      <c r="A242" t="inlineStr">
        <is>
          <t>2026-06-19</t>
        </is>
      </c>
      <c r="B242" t="inlineStr">
        <is>
          <t>159327</t>
        </is>
      </c>
      <c r="C242" t="inlineStr">
        <is>
          <t>半导体设备ETF万家</t>
        </is>
      </c>
      <c r="D242" t="n">
        <v>38552.4697</v>
      </c>
      <c r="E242" t="n">
        <v>36252.4697</v>
      </c>
      <c r="F242" t="n">
        <v>3.5673</v>
      </c>
      <c r="G242" t="n">
        <v>2300</v>
      </c>
      <c r="H242" t="n">
        <v>13.752823</v>
      </c>
      <c r="I242" t="n">
        <v>12.044883</v>
      </c>
      <c r="J242" t="n">
        <v>1.70794</v>
      </c>
      <c r="K242" s="4">
        <f>IFERROR(J242/I242,"")</f>
        <v/>
      </c>
      <c r="L242" s="4">
        <f>IFERROR((D242-E242)/E242,"")</f>
        <v/>
      </c>
    </row>
    <row r="243">
      <c r="A243" t="inlineStr">
        <is>
          <t>2026-06-19</t>
        </is>
      </c>
      <c r="B243" t="inlineStr">
        <is>
          <t>159328</t>
        </is>
      </c>
      <c r="C243" t="inlineStr">
        <is>
          <t>家电ETF易方达</t>
        </is>
      </c>
      <c r="D243" t="n">
        <v>11655.67</v>
      </c>
      <c r="E243" t="n">
        <v>11055.67</v>
      </c>
      <c r="F243" t="n">
        <v>1.0656</v>
      </c>
      <c r="G243" t="n">
        <v>600</v>
      </c>
      <c r="H243" t="n">
        <v>1.242028</v>
      </c>
      <c r="I243" t="n">
        <v>1.178977</v>
      </c>
      <c r="J243" t="n">
        <v>0.063051</v>
      </c>
      <c r="K243" s="4">
        <f>IFERROR(J243/I243,"")</f>
        <v/>
      </c>
      <c r="L243" s="4">
        <f>IFERROR((D243-E243)/E243,"")</f>
        <v/>
      </c>
    </row>
    <row r="244">
      <c r="A244" t="inlineStr">
        <is>
          <t>2026-06-19</t>
        </is>
      </c>
      <c r="B244" t="inlineStr">
        <is>
          <t>159329</t>
        </is>
      </c>
      <c r="C244" t="inlineStr">
        <is>
          <t>沙特ETF南方</t>
        </is>
      </c>
      <c r="D244" t="n">
        <v>129968.9188</v>
      </c>
      <c r="E244" t="n">
        <v>129968.9188</v>
      </c>
      <c r="F244" t="n">
        <v>0.9276</v>
      </c>
      <c r="G244" t="n">
        <v>0</v>
      </c>
      <c r="H244" t="n">
        <v>12.055917</v>
      </c>
      <c r="I244" t="n">
        <v>11.984434</v>
      </c>
      <c r="J244" t="n">
        <v>0.071483</v>
      </c>
      <c r="K244" s="4">
        <f>IFERROR(J244/I244,"")</f>
        <v/>
      </c>
      <c r="L244" s="4">
        <f>IFERROR((D244-E244)/E244,"")</f>
        <v/>
      </c>
    </row>
    <row r="245">
      <c r="A245" t="inlineStr">
        <is>
          <t>2026-06-19</t>
        </is>
      </c>
      <c r="B245" t="inlineStr">
        <is>
          <t>159330</t>
        </is>
      </c>
      <c r="C245" t="inlineStr">
        <is>
          <t>沪深300ETF东财</t>
        </is>
      </c>
      <c r="D245" t="n">
        <v>31180.1009</v>
      </c>
      <c r="E245" t="n">
        <v>31480.1009</v>
      </c>
      <c r="F245" t="n">
        <v>1.5263</v>
      </c>
      <c r="G245" t="n">
        <v>-300</v>
      </c>
      <c r="H245" t="n">
        <v>4.759019</v>
      </c>
      <c r="I245" t="n">
        <v>4.758532</v>
      </c>
      <c r="J245" t="n">
        <v>0.000487</v>
      </c>
      <c r="K245" s="4">
        <f>IFERROR(J245/I245,"")</f>
        <v/>
      </c>
      <c r="L245" s="4">
        <f>IFERROR((D245-E245)/E245,"")</f>
        <v/>
      </c>
    </row>
    <row r="246">
      <c r="A246" t="inlineStr">
        <is>
          <t>2026-06-19</t>
        </is>
      </c>
      <c r="B246" t="inlineStr">
        <is>
          <t>159331</t>
        </is>
      </c>
      <c r="C246" t="inlineStr">
        <is>
          <t>红利港股ETF国泰</t>
        </is>
      </c>
      <c r="D246" t="n">
        <v>15769.4179</v>
      </c>
      <c r="E246" t="n">
        <v>15769.4179</v>
      </c>
      <c r="F246" t="n">
        <v>1.2728</v>
      </c>
      <c r="G246" t="n">
        <v>0</v>
      </c>
      <c r="H246" t="n">
        <v>2.007132</v>
      </c>
      <c r="I246" t="n">
        <v>2.03599</v>
      </c>
      <c r="J246" t="n">
        <v>-0.028858</v>
      </c>
      <c r="K246" s="4">
        <f>IFERROR(J246/I246,"")</f>
        <v/>
      </c>
      <c r="L246" s="4">
        <f>IFERROR((D246-E246)/E246,"")</f>
        <v/>
      </c>
    </row>
    <row r="247">
      <c r="A247" t="inlineStr">
        <is>
          <t>2026-06-19</t>
        </is>
      </c>
      <c r="B247" t="inlineStr">
        <is>
          <t>159332</t>
        </is>
      </c>
      <c r="C247" t="inlineStr">
        <is>
          <t>央企红利ETF富国</t>
        </is>
      </c>
      <c r="D247" t="n">
        <v>7952.1477</v>
      </c>
      <c r="E247" t="n">
        <v>7952.1477</v>
      </c>
      <c r="F247" t="n">
        <v>1.1532</v>
      </c>
      <c r="G247" t="n">
        <v>0</v>
      </c>
      <c r="H247" t="n">
        <v>0.917042</v>
      </c>
      <c r="I247" t="n">
        <v>0.921495</v>
      </c>
      <c r="J247" t="n">
        <v>-0.004453</v>
      </c>
      <c r="K247" s="4">
        <f>IFERROR(J247/I247,"")</f>
        <v/>
      </c>
      <c r="L247" s="4">
        <f>IFERROR((D247-E247)/E247,"")</f>
        <v/>
      </c>
    </row>
    <row r="248">
      <c r="A248" t="inlineStr">
        <is>
          <t>2026-06-19</t>
        </is>
      </c>
      <c r="B248" t="inlineStr">
        <is>
          <t>159333</t>
        </is>
      </c>
      <c r="C248" t="inlineStr">
        <is>
          <t>港股央企红利ETF万家</t>
        </is>
      </c>
      <c r="D248" t="n">
        <v>24795.2835</v>
      </c>
      <c r="E248" t="n">
        <v>24795.2835</v>
      </c>
      <c r="F248" t="n">
        <v>1.3567</v>
      </c>
      <c r="G248" t="n">
        <v>0</v>
      </c>
      <c r="H248" t="n">
        <v>3.363976</v>
      </c>
      <c r="I248" t="n">
        <v>3.39621</v>
      </c>
      <c r="J248" t="n">
        <v>-0.032234</v>
      </c>
      <c r="K248" s="4">
        <f>IFERROR(J248/I248,"")</f>
        <v/>
      </c>
      <c r="L248" s="4">
        <f>IFERROR((D248-E248)/E248,"")</f>
        <v/>
      </c>
    </row>
    <row r="249">
      <c r="A249" t="inlineStr">
        <is>
          <t>2026-06-19</t>
        </is>
      </c>
      <c r="B249" t="inlineStr">
        <is>
          <t>159335</t>
        </is>
      </c>
      <c r="C249" t="inlineStr">
        <is>
          <t>央企科创ETF融通</t>
        </is>
      </c>
      <c r="D249" t="n">
        <v>5808.3689</v>
      </c>
      <c r="E249" t="n">
        <v>5808.3689</v>
      </c>
      <c r="F249" t="n">
        <v>1.6477</v>
      </c>
      <c r="G249" t="n">
        <v>0</v>
      </c>
      <c r="H249" t="n">
        <v>0.957045</v>
      </c>
      <c r="I249" t="n">
        <v>0.94659</v>
      </c>
      <c r="J249" t="n">
        <v>0.010455</v>
      </c>
      <c r="K249" s="4">
        <f>IFERROR(J249/I249,"")</f>
        <v/>
      </c>
      <c r="L249" s="4">
        <f>IFERROR((D249-E249)/E249,"")</f>
        <v/>
      </c>
    </row>
    <row r="250">
      <c r="A250" t="inlineStr">
        <is>
          <t>2026-06-19</t>
        </is>
      </c>
      <c r="B250" t="inlineStr">
        <is>
          <t>159336</t>
        </is>
      </c>
      <c r="C250" t="inlineStr">
        <is>
          <t>央企红利ETF融通</t>
        </is>
      </c>
      <c r="D250" t="n">
        <v>37690.509</v>
      </c>
      <c r="E250" t="n">
        <v>37790.509</v>
      </c>
      <c r="F250" t="n">
        <v>1.15</v>
      </c>
      <c r="G250" t="n">
        <v>-100</v>
      </c>
      <c r="H250" t="n">
        <v>4.334409</v>
      </c>
      <c r="I250" t="n">
        <v>4.335705</v>
      </c>
      <c r="J250" t="n">
        <v>-0.001296</v>
      </c>
      <c r="K250" s="4">
        <f>IFERROR(J250/I250,"")</f>
        <v/>
      </c>
      <c r="L250" s="4">
        <f>IFERROR((D250-E250)/E250,"")</f>
        <v/>
      </c>
    </row>
    <row r="251">
      <c r="A251" t="inlineStr">
        <is>
          <t>2026-06-19</t>
        </is>
      </c>
      <c r="B251" t="inlineStr">
        <is>
          <t>159337</t>
        </is>
      </c>
      <c r="C251" t="inlineStr">
        <is>
          <t>中证500ETF东财</t>
        </is>
      </c>
      <c r="D251" t="n">
        <v>24571.0611</v>
      </c>
      <c r="E251" t="n">
        <v>24971.0611</v>
      </c>
      <c r="F251" t="n">
        <v>1.9588</v>
      </c>
      <c r="G251" t="n">
        <v>-400</v>
      </c>
      <c r="H251" t="n">
        <v>4.812979</v>
      </c>
      <c r="I251" t="n">
        <v>4.82341</v>
      </c>
      <c r="J251" t="n">
        <v>-0.010431</v>
      </c>
      <c r="K251" s="4">
        <f>IFERROR(J251/I251,"")</f>
        <v/>
      </c>
      <c r="L251" s="4">
        <f>IFERROR((D251-E251)/E251,"")</f>
        <v/>
      </c>
    </row>
    <row r="252">
      <c r="A252" t="inlineStr">
        <is>
          <t>2026-06-19</t>
        </is>
      </c>
      <c r="B252" t="inlineStr">
        <is>
          <t>159338</t>
        </is>
      </c>
      <c r="C252" t="inlineStr">
        <is>
          <t>中证A500ETF国泰</t>
        </is>
      </c>
      <c r="D252" t="n">
        <v>1831708.6664</v>
      </c>
      <c r="E252" t="n">
        <v>1825708.6664</v>
      </c>
      <c r="F252" t="n">
        <v>1.314</v>
      </c>
      <c r="G252" t="n">
        <v>6000</v>
      </c>
      <c r="H252" t="n">
        <v>240.686519</v>
      </c>
      <c r="I252" t="n">
        <v>236.922214</v>
      </c>
      <c r="J252" t="n">
        <v>3.764305</v>
      </c>
      <c r="K252" s="4">
        <f>IFERROR(J252/I252,"")</f>
        <v/>
      </c>
      <c r="L252" s="4">
        <f>IFERROR((D252-E252)/E252,"")</f>
        <v/>
      </c>
    </row>
    <row r="253">
      <c r="A253" t="inlineStr">
        <is>
          <t>2026-06-19</t>
        </is>
      </c>
      <c r="B253" t="inlineStr">
        <is>
          <t>159339</t>
        </is>
      </c>
      <c r="C253" t="inlineStr">
        <is>
          <t>A500ETF银华</t>
        </is>
      </c>
      <c r="D253" t="n">
        <v>168208.6841</v>
      </c>
      <c r="E253" t="n">
        <v>169408.6841</v>
      </c>
      <c r="F253" t="n">
        <v>1.3243</v>
      </c>
      <c r="G253" t="n">
        <v>-1200</v>
      </c>
      <c r="H253" t="n">
        <v>22.275876</v>
      </c>
      <c r="I253" t="n">
        <v>22.158656</v>
      </c>
      <c r="J253" t="n">
        <v>0.11722</v>
      </c>
      <c r="K253" s="4">
        <f>IFERROR(J253/I253,"")</f>
        <v/>
      </c>
      <c r="L253" s="4">
        <f>IFERROR((D253-E253)/E253,"")</f>
        <v/>
      </c>
    </row>
    <row r="254">
      <c r="A254" t="inlineStr">
        <is>
          <t>2026-06-19</t>
        </is>
      </c>
      <c r="B254" t="inlineStr">
        <is>
          <t>159350</t>
        </is>
      </c>
      <c r="C254" t="inlineStr">
        <is>
          <t>深证50ETF富国</t>
        </is>
      </c>
      <c r="D254" t="n">
        <v>9300.9642</v>
      </c>
      <c r="E254" t="n">
        <v>9300.9642</v>
      </c>
      <c r="F254" t="n">
        <v>1.7384</v>
      </c>
      <c r="G254" t="n">
        <v>0</v>
      </c>
      <c r="H254" t="n">
        <v>1.61688</v>
      </c>
      <c r="I254" t="n">
        <v>1.600417</v>
      </c>
      <c r="J254" t="n">
        <v>0.016463</v>
      </c>
      <c r="K254" s="4">
        <f>IFERROR(J254/I254,"")</f>
        <v/>
      </c>
      <c r="L254" s="4">
        <f>IFERROR((D254-E254)/E254,"")</f>
        <v/>
      </c>
    </row>
    <row r="255">
      <c r="A255" t="inlineStr">
        <is>
          <t>2026-06-19</t>
        </is>
      </c>
      <c r="B255" t="inlineStr">
        <is>
          <t>159351</t>
        </is>
      </c>
      <c r="C255" t="inlineStr">
        <is>
          <t>A500ETF嘉实</t>
        </is>
      </c>
      <c r="D255" t="n">
        <v>587612.3357000001</v>
      </c>
      <c r="E255" t="n">
        <v>591212.3357000001</v>
      </c>
      <c r="F255" t="n">
        <v>1.317</v>
      </c>
      <c r="G255" t="n">
        <v>-3600</v>
      </c>
      <c r="H255" t="n">
        <v>77.38854499999999</v>
      </c>
      <c r="I255" t="n">
        <v>76.89307599999999</v>
      </c>
      <c r="J255" t="n">
        <v>0.495469</v>
      </c>
      <c r="K255" s="4">
        <f>IFERROR(J255/I255,"")</f>
        <v/>
      </c>
      <c r="L255" s="4">
        <f>IFERROR((D255-E255)/E255,"")</f>
        <v/>
      </c>
    </row>
    <row r="256">
      <c r="A256" t="inlineStr">
        <is>
          <t>2026-06-19</t>
        </is>
      </c>
      <c r="B256" t="inlineStr">
        <is>
          <t>159352</t>
        </is>
      </c>
      <c r="C256" t="inlineStr">
        <is>
          <t>A500ETF南方</t>
        </is>
      </c>
      <c r="D256" t="n">
        <v>2161810.1746</v>
      </c>
      <c r="E256" t="n">
        <v>2167810.1746</v>
      </c>
      <c r="F256" t="n">
        <v>1.3665</v>
      </c>
      <c r="G256" t="n">
        <v>-6000</v>
      </c>
      <c r="H256" t="n">
        <v>295.41136</v>
      </c>
      <c r="I256" t="n">
        <v>292.567661</v>
      </c>
      <c r="J256" t="n">
        <v>2.843699</v>
      </c>
      <c r="K256" s="4">
        <f>IFERROR(J256/I256,"")</f>
        <v/>
      </c>
      <c r="L256" s="4">
        <f>IFERROR((D256-E256)/E256,"")</f>
        <v/>
      </c>
    </row>
    <row r="257">
      <c r="A257" t="inlineStr">
        <is>
          <t>2026-06-19</t>
        </is>
      </c>
      <c r="B257" t="inlineStr">
        <is>
          <t>159353</t>
        </is>
      </c>
      <c r="C257" t="inlineStr">
        <is>
          <t>中证A500ETF景顺</t>
        </is>
      </c>
      <c r="D257" t="n">
        <v>292416.1812</v>
      </c>
      <c r="E257" t="n">
        <v>295416.1812</v>
      </c>
      <c r="F257" t="n">
        <v>1.3294</v>
      </c>
      <c r="G257" t="n">
        <v>-3000</v>
      </c>
      <c r="H257" t="n">
        <v>38.873807</v>
      </c>
      <c r="I257" t="n">
        <v>38.788145</v>
      </c>
      <c r="J257" t="n">
        <v>0.085662</v>
      </c>
      <c r="K257" s="4">
        <f>IFERROR(J257/I257,"")</f>
        <v/>
      </c>
      <c r="L257" s="4">
        <f>IFERROR((D257-E257)/E257,"")</f>
        <v/>
      </c>
    </row>
    <row r="258">
      <c r="A258" t="inlineStr">
        <is>
          <t>2026-06-19</t>
        </is>
      </c>
      <c r="B258" t="inlineStr">
        <is>
          <t>159355</t>
        </is>
      </c>
      <c r="C258" t="inlineStr">
        <is>
          <t>800红利低波ETF华宝</t>
        </is>
      </c>
      <c r="D258" t="n">
        <v>9923.4277</v>
      </c>
      <c r="E258" t="n">
        <v>9923.4277</v>
      </c>
      <c r="F258" t="n">
        <v>1.022</v>
      </c>
      <c r="G258" t="n">
        <v>0</v>
      </c>
      <c r="H258" t="n">
        <v>1.014174</v>
      </c>
      <c r="I258" t="n">
        <v>1.019632</v>
      </c>
      <c r="J258" t="n">
        <v>-0.005458</v>
      </c>
      <c r="K258" s="4">
        <f>IFERROR(J258/I258,"")</f>
        <v/>
      </c>
      <c r="L258" s="4">
        <f>IFERROR((D258-E258)/E258,"")</f>
        <v/>
      </c>
    </row>
    <row r="259">
      <c r="A259" t="inlineStr">
        <is>
          <t>2026-06-19</t>
        </is>
      </c>
      <c r="B259" t="inlineStr">
        <is>
          <t>159356</t>
        </is>
      </c>
      <c r="C259" t="inlineStr">
        <is>
          <t>A500ETF万家</t>
        </is>
      </c>
      <c r="D259" t="n">
        <v>66212.0647</v>
      </c>
      <c r="E259" t="n">
        <v>68312.0647</v>
      </c>
      <c r="F259" t="n">
        <v>1.383</v>
      </c>
      <c r="G259" t="n">
        <v>-2100</v>
      </c>
      <c r="H259" t="n">
        <v>9.157128999999999</v>
      </c>
      <c r="I259" t="n">
        <v>9.331428000000001</v>
      </c>
      <c r="J259" t="n">
        <v>-0.174299</v>
      </c>
      <c r="K259" s="4">
        <f>IFERROR(J259/I259,"")</f>
        <v/>
      </c>
      <c r="L259" s="4">
        <f>IFERROR((D259-E259)/E259,"")</f>
        <v/>
      </c>
    </row>
    <row r="260">
      <c r="A260" t="inlineStr">
        <is>
          <t>2026-06-19</t>
        </is>
      </c>
      <c r="B260" t="inlineStr">
        <is>
          <t>159357</t>
        </is>
      </c>
      <c r="C260" t="inlineStr">
        <is>
          <t>A500ETF博时</t>
        </is>
      </c>
      <c r="D260" t="n">
        <v>116583.3841</v>
      </c>
      <c r="E260" t="n">
        <v>118083.3841</v>
      </c>
      <c r="F260" t="n">
        <v>1.3824</v>
      </c>
      <c r="G260" t="n">
        <v>-1500</v>
      </c>
      <c r="H260" t="n">
        <v>16.116487</v>
      </c>
      <c r="I260" t="n">
        <v>16.121924</v>
      </c>
      <c r="J260" t="n">
        <v>-0.005437</v>
      </c>
      <c r="K260" s="4">
        <f>IFERROR(J260/I260,"")</f>
        <v/>
      </c>
      <c r="L260" s="4">
        <f>IFERROR((D260-E260)/E260,"")</f>
        <v/>
      </c>
    </row>
    <row r="261">
      <c r="A261" t="inlineStr">
        <is>
          <t>2026-06-19</t>
        </is>
      </c>
      <c r="B261" t="inlineStr">
        <is>
          <t>159358</t>
        </is>
      </c>
      <c r="C261" t="inlineStr">
        <is>
          <t>中证A500ETF大成</t>
        </is>
      </c>
      <c r="D261" t="n">
        <v>65010.642</v>
      </c>
      <c r="E261" t="n">
        <v>65610.64200000001</v>
      </c>
      <c r="F261" t="n">
        <v>1.4069</v>
      </c>
      <c r="G261" t="n">
        <v>-600</v>
      </c>
      <c r="H261" t="n">
        <v>9.146347</v>
      </c>
      <c r="I261" t="n">
        <v>9.117255</v>
      </c>
      <c r="J261" t="n">
        <v>0.029092</v>
      </c>
      <c r="K261" s="4">
        <f>IFERROR(J261/I261,"")</f>
        <v/>
      </c>
      <c r="L261" s="4">
        <f>IFERROR((D261-E261)/E261,"")</f>
        <v/>
      </c>
    </row>
    <row r="262">
      <c r="A262" t="inlineStr">
        <is>
          <t>2026-06-19</t>
        </is>
      </c>
      <c r="B262" t="inlineStr">
        <is>
          <t>159359</t>
        </is>
      </c>
      <c r="C262" t="inlineStr">
        <is>
          <t>A500ETF华安</t>
        </is>
      </c>
      <c r="D262" t="n">
        <v>68614.04240000001</v>
      </c>
      <c r="E262" t="n">
        <v>69514.04240000001</v>
      </c>
      <c r="F262" t="n">
        <v>1.3772</v>
      </c>
      <c r="G262" t="n">
        <v>-900</v>
      </c>
      <c r="H262" t="n">
        <v>9.449526000000001</v>
      </c>
      <c r="I262" t="n">
        <v>9.455299999999999</v>
      </c>
      <c r="J262" t="n">
        <v>-0.005774</v>
      </c>
      <c r="K262" s="4">
        <f>IFERROR(J262/I262,"")</f>
        <v/>
      </c>
      <c r="L262" s="4">
        <f>IFERROR((D262-E262)/E262,"")</f>
        <v/>
      </c>
    </row>
    <row r="263">
      <c r="A263" t="inlineStr">
        <is>
          <t>2026-06-19</t>
        </is>
      </c>
      <c r="B263" t="inlineStr">
        <is>
          <t>159360</t>
        </is>
      </c>
      <c r="C263" t="inlineStr">
        <is>
          <t>A500ETF天弘</t>
        </is>
      </c>
      <c r="D263" t="n">
        <v>116618.4526</v>
      </c>
      <c r="E263" t="n">
        <v>116918.4526</v>
      </c>
      <c r="F263" t="n">
        <v>1.4069</v>
      </c>
      <c r="G263" t="n">
        <v>-300</v>
      </c>
      <c r="H263" t="n">
        <v>16.40705</v>
      </c>
      <c r="I263" t="n">
        <v>16.242311</v>
      </c>
      <c r="J263" t="n">
        <v>0.164739</v>
      </c>
      <c r="K263" s="4">
        <f>IFERROR(J263/I263,"")</f>
        <v/>
      </c>
      <c r="L263" s="4">
        <f>IFERROR((D263-E263)/E263,"")</f>
        <v/>
      </c>
    </row>
    <row r="264">
      <c r="A264" t="inlineStr">
        <is>
          <t>2026-06-19</t>
        </is>
      </c>
      <c r="B264" t="inlineStr">
        <is>
          <t>159361</t>
        </is>
      </c>
      <c r="C264" t="inlineStr">
        <is>
          <t>A500ETF易方达</t>
        </is>
      </c>
      <c r="D264" t="n">
        <v>1920209.0279</v>
      </c>
      <c r="E264" t="n">
        <v>1924109.0279</v>
      </c>
      <c r="F264" t="n">
        <v>1.3398</v>
      </c>
      <c r="G264" t="n">
        <v>-3900</v>
      </c>
      <c r="H264" t="n">
        <v>257.269606</v>
      </c>
      <c r="I264" t="n">
        <v>254.617348</v>
      </c>
      <c r="J264" t="n">
        <v>2.652258</v>
      </c>
      <c r="K264" s="4">
        <f>IFERROR(J264/I264,"")</f>
        <v/>
      </c>
      <c r="L264" s="4">
        <f>IFERROR((D264-E264)/E264,"")</f>
        <v/>
      </c>
    </row>
    <row r="265">
      <c r="A265" t="inlineStr">
        <is>
          <t>2026-06-19</t>
        </is>
      </c>
      <c r="B265" t="inlineStr">
        <is>
          <t>159362</t>
        </is>
      </c>
      <c r="C265" t="inlineStr">
        <is>
          <t>A500ETF工银</t>
        </is>
      </c>
      <c r="D265" t="n">
        <v>142718.0191</v>
      </c>
      <c r="E265" t="n">
        <v>145118.0191</v>
      </c>
      <c r="F265" t="n">
        <v>1.397</v>
      </c>
      <c r="G265" t="n">
        <v>-2400</v>
      </c>
      <c r="H265" t="n">
        <v>19.937707</v>
      </c>
      <c r="I265" t="n">
        <v>20.021933</v>
      </c>
      <c r="J265" t="n">
        <v>-0.084226</v>
      </c>
      <c r="K265" s="4">
        <f>IFERROR(J265/I265,"")</f>
        <v/>
      </c>
      <c r="L265" s="4">
        <f>IFERROR((D265-E265)/E265,"")</f>
        <v/>
      </c>
    </row>
    <row r="266">
      <c r="A266" t="inlineStr">
        <is>
          <t>2026-06-19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518816.9924</v>
      </c>
      <c r="E266" t="n">
        <v>525216.9924</v>
      </c>
      <c r="F266" t="n">
        <v>1.487</v>
      </c>
      <c r="G266" t="n">
        <v>-6400</v>
      </c>
      <c r="H266" t="n">
        <v>77.148087</v>
      </c>
      <c r="I266" t="n">
        <v>76.86550699999999</v>
      </c>
      <c r="J266" t="n">
        <v>0.28258</v>
      </c>
      <c r="K266" s="4">
        <f>IFERROR(J266/I266,"")</f>
        <v/>
      </c>
      <c r="L266" s="4">
        <f>IFERROR((D266-E266)/E266,"")</f>
        <v/>
      </c>
    </row>
    <row r="267">
      <c r="A267" t="inlineStr">
        <is>
          <t>2026-06-19</t>
        </is>
      </c>
      <c r="B267" t="inlineStr">
        <is>
          <t>159365</t>
        </is>
      </c>
      <c r="C267" t="inlineStr">
        <is>
          <t>恒指港股通ETF富国</t>
        </is>
      </c>
      <c r="D267" t="n">
        <v>6116.2398</v>
      </c>
      <c r="E267" t="n">
        <v>6216.2398</v>
      </c>
      <c r="F267" t="n">
        <v>0.9659</v>
      </c>
      <c r="G267" t="n">
        <v>-100</v>
      </c>
      <c r="H267" t="n">
        <v>0.590768</v>
      </c>
      <c r="I267" t="n">
        <v>0.605089</v>
      </c>
      <c r="J267" t="n">
        <v>-0.014321</v>
      </c>
      <c r="K267" s="4">
        <f>IFERROR(J267/I267,"")</f>
        <v/>
      </c>
      <c r="L267" s="4">
        <f>IFERROR((D267-E267)/E267,"")</f>
        <v/>
      </c>
    </row>
    <row r="268">
      <c r="A268" t="inlineStr">
        <is>
          <t>2026-06-19</t>
        </is>
      </c>
      <c r="B268" t="inlineStr">
        <is>
          <t>159366</t>
        </is>
      </c>
      <c r="C268" t="inlineStr">
        <is>
          <t>港股医疗ETF永赢</t>
        </is>
      </c>
      <c r="D268" t="n">
        <v>22133.3072</v>
      </c>
      <c r="E268" t="n">
        <v>22133.3072</v>
      </c>
      <c r="F268" t="n">
        <v>1.1028</v>
      </c>
      <c r="G268" t="n">
        <v>0</v>
      </c>
      <c r="H268" t="n">
        <v>2.440861</v>
      </c>
      <c r="I268" t="n">
        <v>2.466757</v>
      </c>
      <c r="J268" t="n">
        <v>-0.025896</v>
      </c>
      <c r="K268" s="4">
        <f>IFERROR(J268/I268,"")</f>
        <v/>
      </c>
      <c r="L268" s="4">
        <f>IFERROR((D268-E268)/E268,"")</f>
        <v/>
      </c>
    </row>
    <row r="269">
      <c r="A269" t="inlineStr">
        <is>
          <t>2026-06-19</t>
        </is>
      </c>
      <c r="B269" t="inlineStr">
        <is>
          <t>159367</t>
        </is>
      </c>
      <c r="C269" t="inlineStr">
        <is>
          <t>创业板50ETF华夏</t>
        </is>
      </c>
      <c r="D269" t="n">
        <v>9407.902899999999</v>
      </c>
      <c r="E269" t="n">
        <v>9607.902899999999</v>
      </c>
      <c r="F269" t="n">
        <v>2.1178</v>
      </c>
      <c r="G269" t="n">
        <v>-200</v>
      </c>
      <c r="H269" t="n">
        <v>1.992406</v>
      </c>
      <c r="I269" t="n">
        <v>2.007091</v>
      </c>
      <c r="J269" t="n">
        <v>-0.014685</v>
      </c>
      <c r="K269" s="4">
        <f>IFERROR(J269/I269,"")</f>
        <v/>
      </c>
      <c r="L269" s="4">
        <f>IFERROR((D269-E269)/E269,"")</f>
        <v/>
      </c>
    </row>
    <row r="270">
      <c r="A270" t="inlineStr">
        <is>
          <t>2026-06-19</t>
        </is>
      </c>
      <c r="B270" t="inlineStr">
        <is>
          <t>159368</t>
        </is>
      </c>
      <c r="C270" t="inlineStr">
        <is>
          <t>创业板新能源ETF华夏</t>
        </is>
      </c>
      <c r="D270" t="n">
        <v>62728.9841</v>
      </c>
      <c r="E270" t="n">
        <v>62728.9841</v>
      </c>
      <c r="F270" t="n">
        <v>1.6741</v>
      </c>
      <c r="G270" t="n">
        <v>0</v>
      </c>
      <c r="H270" t="n">
        <v>10.501459</v>
      </c>
      <c r="I270" t="n">
        <v>10.529687</v>
      </c>
      <c r="J270" t="n">
        <v>-0.028228</v>
      </c>
      <c r="K270" s="4">
        <f>IFERROR(J270/I270,"")</f>
        <v/>
      </c>
      <c r="L270" s="4">
        <f>IFERROR((D270-E270)/E270,"")</f>
        <v/>
      </c>
    </row>
    <row r="271">
      <c r="A271" t="inlineStr">
        <is>
          <t>2026-06-19</t>
        </is>
      </c>
      <c r="B271" t="inlineStr">
        <is>
          <t>159369</t>
        </is>
      </c>
      <c r="C271" t="inlineStr">
        <is>
          <t>创业板50ETF易方达</t>
        </is>
      </c>
      <c r="D271" t="n">
        <v>28975.3492</v>
      </c>
      <c r="E271" t="n">
        <v>28575.3492</v>
      </c>
      <c r="F271" t="n">
        <v>1.7187</v>
      </c>
      <c r="G271" t="n">
        <v>400</v>
      </c>
      <c r="H271" t="n">
        <v>4.979993</v>
      </c>
      <c r="I271" t="n">
        <v>4.844093</v>
      </c>
      <c r="J271" t="n">
        <v>0.1359</v>
      </c>
      <c r="K271" s="4">
        <f>IFERROR(J271/I271,"")</f>
        <v/>
      </c>
      <c r="L271" s="4">
        <f>IFERROR((D271-E271)/E271,"")</f>
        <v/>
      </c>
    </row>
    <row r="272">
      <c r="A272" t="inlineStr">
        <is>
          <t>2026-06-19</t>
        </is>
      </c>
      <c r="B272" t="inlineStr">
        <is>
          <t>159370</t>
        </is>
      </c>
      <c r="C272" t="inlineStr">
        <is>
          <t>创50ETF工银</t>
        </is>
      </c>
      <c r="D272" t="n">
        <v>10931.6009</v>
      </c>
      <c r="E272" t="n">
        <v>10931.6009</v>
      </c>
      <c r="F272" t="n">
        <v>2.231</v>
      </c>
      <c r="G272" t="n">
        <v>0</v>
      </c>
      <c r="H272" t="n">
        <v>2.43884</v>
      </c>
      <c r="I272" t="n">
        <v>2.405608</v>
      </c>
      <c r="J272" t="n">
        <v>0.033232</v>
      </c>
      <c r="K272" s="4">
        <f>IFERROR(J272/I272,"")</f>
        <v/>
      </c>
      <c r="L272" s="4">
        <f>IFERROR((D272-E272)/E272,"")</f>
        <v/>
      </c>
    </row>
    <row r="273">
      <c r="A273" t="inlineStr">
        <is>
          <t>2026-06-19</t>
        </is>
      </c>
      <c r="B273" t="inlineStr">
        <is>
          <t>159371</t>
        </is>
      </c>
      <c r="C273" t="inlineStr">
        <is>
          <t>创业板50ETF富国</t>
        </is>
      </c>
      <c r="D273" t="n">
        <v>14622.1172</v>
      </c>
      <c r="E273" t="n">
        <v>15022.1172</v>
      </c>
      <c r="F273" t="n">
        <v>2.1074</v>
      </c>
      <c r="G273" t="n">
        <v>-400</v>
      </c>
      <c r="H273" t="n">
        <v>3.081465</v>
      </c>
      <c r="I273" t="n">
        <v>3.122648</v>
      </c>
      <c r="J273" t="n">
        <v>-0.041183</v>
      </c>
      <c r="K273" s="4">
        <f>IFERROR(J273/I273,"")</f>
        <v/>
      </c>
      <c r="L273" s="4">
        <f>IFERROR((D273-E273)/E273,"")</f>
        <v/>
      </c>
    </row>
    <row r="274">
      <c r="A274" t="inlineStr">
        <is>
          <t>2026-06-19</t>
        </is>
      </c>
      <c r="B274" t="inlineStr">
        <is>
          <t>159372</t>
        </is>
      </c>
      <c r="C274" t="inlineStr">
        <is>
          <t>创业板50ETF万家</t>
        </is>
      </c>
      <c r="D274" t="n">
        <v>5045.1588</v>
      </c>
      <c r="E274" t="n">
        <v>5045.1588</v>
      </c>
      <c r="F274" t="n">
        <v>2.2482</v>
      </c>
      <c r="G274" t="n">
        <v>0</v>
      </c>
      <c r="H274" t="n">
        <v>1.134253</v>
      </c>
      <c r="I274" t="n">
        <v>1.118915</v>
      </c>
      <c r="J274" t="n">
        <v>0.015338</v>
      </c>
      <c r="K274" s="4">
        <f>IFERROR(J274/I274,"")</f>
        <v/>
      </c>
      <c r="L274" s="4">
        <f>IFERROR((D274-E274)/E274,"")</f>
        <v/>
      </c>
    </row>
    <row r="275">
      <c r="A275" t="inlineStr">
        <is>
          <t>2026-06-19</t>
        </is>
      </c>
      <c r="B275" t="inlineStr">
        <is>
          <t>159373</t>
        </is>
      </c>
      <c r="C275" t="inlineStr">
        <is>
          <t>创业板50ETF嘉实</t>
        </is>
      </c>
      <c r="D275" t="n">
        <v>12955.7494</v>
      </c>
      <c r="E275" t="n">
        <v>13455.7494</v>
      </c>
      <c r="F275" t="n">
        <v>2.1506</v>
      </c>
      <c r="G275" t="n">
        <v>-500</v>
      </c>
      <c r="H275" t="n">
        <v>2.786263</v>
      </c>
      <c r="I275" t="n">
        <v>2.854234</v>
      </c>
      <c r="J275" t="n">
        <v>-0.067971</v>
      </c>
      <c r="K275" s="4">
        <f>IFERROR(J275/I275,"")</f>
        <v/>
      </c>
      <c r="L275" s="4">
        <f>IFERROR((D275-E275)/E275,"")</f>
        <v/>
      </c>
    </row>
    <row r="276">
      <c r="A276" t="inlineStr">
        <is>
          <t>2026-06-19</t>
        </is>
      </c>
      <c r="B276" t="inlineStr">
        <is>
          <t>159375</t>
        </is>
      </c>
      <c r="C276" t="inlineStr">
        <is>
          <t>创业板50ETF国泰</t>
        </is>
      </c>
      <c r="D276" t="n">
        <v>10263.8135</v>
      </c>
      <c r="E276" t="n">
        <v>10463.8135</v>
      </c>
      <c r="F276" t="n">
        <v>2.2453</v>
      </c>
      <c r="G276" t="n">
        <v>-200</v>
      </c>
      <c r="H276" t="n">
        <v>2.304534</v>
      </c>
      <c r="I276" t="n">
        <v>2.317421</v>
      </c>
      <c r="J276" t="n">
        <v>-0.012887</v>
      </c>
      <c r="K276" s="4">
        <f>IFERROR(J276/I276,"")</f>
        <v/>
      </c>
      <c r="L276" s="4">
        <f>IFERROR((D276-E276)/E276,"")</f>
        <v/>
      </c>
    </row>
    <row r="277">
      <c r="A277" t="inlineStr">
        <is>
          <t>2026-06-19</t>
        </is>
      </c>
      <c r="B277" t="inlineStr">
        <is>
          <t>159376</t>
        </is>
      </c>
      <c r="C277" t="inlineStr">
        <is>
          <t>A500ETF浦银</t>
        </is>
      </c>
      <c r="D277" t="n">
        <v>6392.2317</v>
      </c>
      <c r="E277" t="n">
        <v>6392.2317</v>
      </c>
      <c r="F277" t="n">
        <v>1.4292</v>
      </c>
      <c r="G277" t="n">
        <v>0</v>
      </c>
      <c r="H277" t="n">
        <v>0.913578</v>
      </c>
      <c r="I277" t="n">
        <v>0.902327</v>
      </c>
      <c r="J277" t="n">
        <v>0.011251</v>
      </c>
      <c r="K277" s="4">
        <f>IFERROR(J277/I277,"")</f>
        <v/>
      </c>
      <c r="L277" s="4">
        <f>IFERROR((D277-E277)/E277,"")</f>
        <v/>
      </c>
    </row>
    <row r="278">
      <c r="A278" t="inlineStr">
        <is>
          <t>2026-06-19</t>
        </is>
      </c>
      <c r="B278" t="inlineStr">
        <is>
          <t>159377</t>
        </is>
      </c>
      <c r="C278" t="inlineStr">
        <is>
          <t>创业板医药ETF国泰</t>
        </is>
      </c>
      <c r="D278" t="n">
        <v>8812.939899999999</v>
      </c>
      <c r="E278" t="n">
        <v>8712.939899999999</v>
      </c>
      <c r="F278" t="n">
        <v>0.8787</v>
      </c>
      <c r="G278" t="n">
        <v>100</v>
      </c>
      <c r="H278" t="n">
        <v>0.774393</v>
      </c>
      <c r="I278" t="n">
        <v>0.773099</v>
      </c>
      <c r="J278" t="n">
        <v>0.001294</v>
      </c>
      <c r="K278" s="4">
        <f>IFERROR(J278/I278,"")</f>
        <v/>
      </c>
      <c r="L278" s="4">
        <f>IFERROR((D278-E278)/E278,"")</f>
        <v/>
      </c>
    </row>
    <row r="279">
      <c r="A279" t="inlineStr">
        <is>
          <t>2026-06-19</t>
        </is>
      </c>
      <c r="B279" t="inlineStr">
        <is>
          <t>159378</t>
        </is>
      </c>
      <c r="C279" t="inlineStr">
        <is>
          <t>通用航空ETF永赢</t>
        </is>
      </c>
      <c r="D279" t="n">
        <v>55477.1072</v>
      </c>
      <c r="E279" t="n">
        <v>55727.1072</v>
      </c>
      <c r="F279" t="n">
        <v>1.1813</v>
      </c>
      <c r="G279" t="n">
        <v>-250</v>
      </c>
      <c r="H279" t="n">
        <v>6.553511</v>
      </c>
      <c r="I279" t="n">
        <v>6.576913</v>
      </c>
      <c r="J279" t="n">
        <v>-0.023402</v>
      </c>
      <c r="K279" s="4">
        <f>IFERROR(J279/I279,"")</f>
        <v/>
      </c>
      <c r="L279" s="4">
        <f>IFERROR((D279-E279)/E279,"")</f>
        <v/>
      </c>
    </row>
    <row r="280">
      <c r="A280" t="inlineStr">
        <is>
          <t>2026-06-19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1.4477</v>
      </c>
      <c r="G280" t="n">
        <v>0</v>
      </c>
      <c r="H280" t="n">
        <v>2.255827</v>
      </c>
      <c r="I280" t="n">
        <v>2.228091</v>
      </c>
      <c r="J280" t="n">
        <v>0.027736</v>
      </c>
      <c r="K280" s="4">
        <f>IFERROR(J280/I280,"")</f>
        <v/>
      </c>
      <c r="L280" s="4">
        <f>IFERROR((D280-E280)/E280,"")</f>
        <v/>
      </c>
    </row>
    <row r="281">
      <c r="A281" t="inlineStr">
        <is>
          <t>2026-06-19</t>
        </is>
      </c>
      <c r="B281" t="inlineStr">
        <is>
          <t>159380</t>
        </is>
      </c>
      <c r="C281" t="inlineStr">
        <is>
          <t>A500ETF东财</t>
        </is>
      </c>
      <c r="D281" t="n">
        <v>11280.4337</v>
      </c>
      <c r="E281" t="n">
        <v>11280.4337</v>
      </c>
      <c r="F281" t="n">
        <v>1.4532</v>
      </c>
      <c r="G281" t="n">
        <v>0</v>
      </c>
      <c r="H281" t="n">
        <v>1.639273</v>
      </c>
      <c r="I281" t="n">
        <v>1.619193</v>
      </c>
      <c r="J281" t="n">
        <v>0.02008</v>
      </c>
      <c r="K281" s="4">
        <f>IFERROR(J281/I281,"")</f>
        <v/>
      </c>
      <c r="L281" s="4">
        <f>IFERROR((D281-E281)/E281,"")</f>
        <v/>
      </c>
    </row>
    <row r="282">
      <c r="A282" t="inlineStr">
        <is>
          <t>2026-06-19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155715.3206</v>
      </c>
      <c r="E282" t="n">
        <v>155515.3206</v>
      </c>
      <c r="F282" t="n">
        <v>1.4068</v>
      </c>
      <c r="G282" t="n">
        <v>200</v>
      </c>
      <c r="H282" t="n">
        <v>21.906031</v>
      </c>
      <c r="I282" t="n">
        <v>21.531096</v>
      </c>
      <c r="J282" t="n">
        <v>0.374935</v>
      </c>
      <c r="K282" s="4">
        <f>IFERROR(J282/I282,"")</f>
        <v/>
      </c>
      <c r="L282" s="4">
        <f>IFERROR((D282-E282)/E282,"")</f>
        <v/>
      </c>
    </row>
    <row r="283">
      <c r="A283" t="inlineStr">
        <is>
          <t>2026-06-19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81305.5714</v>
      </c>
      <c r="E283" t="n">
        <v>82305.5714</v>
      </c>
      <c r="F283" t="n">
        <v>3.1697</v>
      </c>
      <c r="G283" t="n">
        <v>-1000</v>
      </c>
      <c r="H283" t="n">
        <v>25.771427</v>
      </c>
      <c r="I283" t="n">
        <v>25.671931</v>
      </c>
      <c r="J283" t="n">
        <v>0.099496</v>
      </c>
      <c r="K283" s="4">
        <f>IFERROR(J283/I283,"")</f>
        <v/>
      </c>
      <c r="L283" s="4">
        <f>IFERROR((D283-E283)/E283,"")</f>
        <v/>
      </c>
    </row>
    <row r="284">
      <c r="A284" t="inlineStr">
        <is>
          <t>2026-06-19</t>
        </is>
      </c>
      <c r="B284" t="inlineStr">
        <is>
          <t>159383</t>
        </is>
      </c>
      <c r="C284" t="inlineStr">
        <is>
          <t>创业板50ETF华泰柏瑞</t>
        </is>
      </c>
      <c r="D284" t="n">
        <v>3109.2486</v>
      </c>
      <c r="E284" t="n">
        <v>3109.2486</v>
      </c>
      <c r="F284" t="n">
        <v>2.0896</v>
      </c>
      <c r="G284" t="n">
        <v>0</v>
      </c>
      <c r="H284" t="n">
        <v>0.649709</v>
      </c>
      <c r="I284" t="n">
        <v>0.641469</v>
      </c>
      <c r="J284" t="n">
        <v>0.008240000000000001</v>
      </c>
      <c r="K284" s="4">
        <f>IFERROR(J284/I284,"")</f>
        <v/>
      </c>
      <c r="L284" s="4">
        <f>IFERROR((D284-E284)/E284,"")</f>
        <v/>
      </c>
    </row>
    <row r="285">
      <c r="A285" t="inlineStr">
        <is>
          <t>2026-06-19</t>
        </is>
      </c>
      <c r="B285" t="inlineStr">
        <is>
          <t>159385</t>
        </is>
      </c>
      <c r="C285" t="inlineStr">
        <is>
          <t>数字经济ETF富国</t>
        </is>
      </c>
      <c r="D285" t="n">
        <v>3700.2525</v>
      </c>
      <c r="E285" t="n">
        <v>3700.2525</v>
      </c>
      <c r="F285" t="n">
        <v>2.0401</v>
      </c>
      <c r="G285" t="n">
        <v>0</v>
      </c>
      <c r="H285" t="n">
        <v>0.754889</v>
      </c>
      <c r="I285" t="n">
        <v>0.727322</v>
      </c>
      <c r="J285" t="n">
        <v>0.027567</v>
      </c>
      <c r="K285" s="4">
        <f>IFERROR(J285/I285,"")</f>
        <v/>
      </c>
      <c r="L285" s="4">
        <f>IFERROR((D285-E285)/E285,"")</f>
        <v/>
      </c>
    </row>
    <row r="286">
      <c r="A286" t="inlineStr">
        <is>
          <t>2026-06-19</t>
        </is>
      </c>
      <c r="B286" t="inlineStr">
        <is>
          <t>159386</t>
        </is>
      </c>
      <c r="C286" t="inlineStr">
        <is>
          <t>A500ETF永赢</t>
        </is>
      </c>
      <c r="D286" t="n">
        <v>5486.9559</v>
      </c>
      <c r="E286" t="n">
        <v>5486.9559</v>
      </c>
      <c r="F286" t="n">
        <v>1.3868</v>
      </c>
      <c r="G286" t="n">
        <v>0</v>
      </c>
      <c r="H286" t="n">
        <v>0.760931</v>
      </c>
      <c r="I286" t="n">
        <v>0.751548</v>
      </c>
      <c r="J286" t="n">
        <v>0.009383000000000001</v>
      </c>
      <c r="K286" s="4">
        <f>IFERROR(J286/I286,"")</f>
        <v/>
      </c>
      <c r="L286" s="4">
        <f>IFERROR((D286-E286)/E286,"")</f>
        <v/>
      </c>
    </row>
    <row r="287">
      <c r="A287" t="inlineStr">
        <is>
          <t>2026-06-19</t>
        </is>
      </c>
      <c r="B287" t="inlineStr">
        <is>
          <t>159387</t>
        </is>
      </c>
      <c r="C287" t="inlineStr">
        <is>
          <t>创业板新能源ETF国泰</t>
        </is>
      </c>
      <c r="D287" t="n">
        <v>155518.9648</v>
      </c>
      <c r="E287" t="n">
        <v>151318.9648</v>
      </c>
      <c r="F287" t="n">
        <v>0.9238</v>
      </c>
      <c r="G287" t="n">
        <v>4200</v>
      </c>
      <c r="H287" t="n">
        <v>14.366842</v>
      </c>
      <c r="I287" t="n">
        <v>14.016676</v>
      </c>
      <c r="J287" t="n">
        <v>0.350166</v>
      </c>
      <c r="K287" s="4">
        <f>IFERROR(J287/I287,"")</f>
        <v/>
      </c>
      <c r="L287" s="4">
        <f>IFERROR((D287-E287)/E287,"")</f>
        <v/>
      </c>
    </row>
    <row r="288">
      <c r="A288" t="inlineStr">
        <is>
          <t>2026-06-19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83473.69839999999</v>
      </c>
      <c r="E288" t="n">
        <v>86273.69839999999</v>
      </c>
      <c r="F288" t="n">
        <v>1.2149</v>
      </c>
      <c r="G288" t="n">
        <v>-2800</v>
      </c>
      <c r="H288" t="n">
        <v>10.14122</v>
      </c>
      <c r="I288" t="n">
        <v>10.314883</v>
      </c>
      <c r="J288" t="n">
        <v>-0.173663</v>
      </c>
      <c r="K288" s="4">
        <f>IFERROR(J288/I288,"")</f>
        <v/>
      </c>
      <c r="L288" s="4">
        <f>IFERROR((D288-E288)/E288,"")</f>
        <v/>
      </c>
    </row>
    <row r="289">
      <c r="A289" t="inlineStr">
        <is>
          <t>2026-06-19</t>
        </is>
      </c>
      <c r="B289" t="inlineStr">
        <is>
          <t>159389</t>
        </is>
      </c>
      <c r="C289" t="inlineStr">
        <is>
          <t>数字经济ETF嘉实</t>
        </is>
      </c>
      <c r="D289" t="n">
        <v>8609.3364</v>
      </c>
      <c r="E289" t="n">
        <v>8409.3364</v>
      </c>
      <c r="F289" t="n">
        <v>2.0314</v>
      </c>
      <c r="G289" t="n">
        <v>200</v>
      </c>
      <c r="H289" t="n">
        <v>1.748901</v>
      </c>
      <c r="I289" t="n">
        <v>1.646969</v>
      </c>
      <c r="J289" t="n">
        <v>0.101932</v>
      </c>
      <c r="K289" s="4">
        <f>IFERROR(J289/I289,"")</f>
        <v/>
      </c>
      <c r="L289" s="4">
        <f>IFERROR((D289-E289)/E289,"")</f>
        <v/>
      </c>
    </row>
    <row r="290">
      <c r="A290" t="inlineStr">
        <is>
          <t>2026-06-19</t>
        </is>
      </c>
      <c r="B290" t="inlineStr">
        <is>
          <t>159390</t>
        </is>
      </c>
      <c r="C290" t="inlineStr">
        <is>
          <t>中证A50ETF国联</t>
        </is>
      </c>
      <c r="D290" t="n">
        <v>13476.8771</v>
      </c>
      <c r="E290" t="n">
        <v>13476.8771</v>
      </c>
      <c r="F290" t="n">
        <v>1.2632</v>
      </c>
      <c r="G290" t="n">
        <v>0</v>
      </c>
      <c r="H290" t="n">
        <v>1.702399</v>
      </c>
      <c r="I290" t="n">
        <v>1.698491</v>
      </c>
      <c r="J290" t="n">
        <v>0.003908</v>
      </c>
      <c r="K290" s="4">
        <f>IFERROR(J290/I290,"")</f>
        <v/>
      </c>
      <c r="L290" s="4">
        <f>IFERROR((D290-E290)/E290,"")</f>
        <v/>
      </c>
    </row>
    <row r="291">
      <c r="A291" t="inlineStr">
        <is>
          <t>2026-06-19</t>
        </is>
      </c>
      <c r="B291" t="inlineStr">
        <is>
          <t>159391</t>
        </is>
      </c>
      <c r="C291" t="inlineStr">
        <is>
          <t>大盘价值ETF博时</t>
        </is>
      </c>
      <c r="D291" t="n">
        <v>9507.639800000001</v>
      </c>
      <c r="E291" t="n">
        <v>9607.639800000001</v>
      </c>
      <c r="F291" t="n">
        <v>1.0494</v>
      </c>
      <c r="G291" t="n">
        <v>-100</v>
      </c>
      <c r="H291" t="n">
        <v>0.997732</v>
      </c>
      <c r="I291" t="n">
        <v>1.013894</v>
      </c>
      <c r="J291" t="n">
        <v>-0.016162</v>
      </c>
      <c r="K291" s="4">
        <f>IFERROR(J291/I291,"")</f>
        <v/>
      </c>
      <c r="L291" s="4">
        <f>IFERROR((D291-E291)/E291,"")</f>
        <v/>
      </c>
    </row>
    <row r="292">
      <c r="A292" t="inlineStr">
        <is>
          <t>2026-06-19</t>
        </is>
      </c>
      <c r="B292" t="inlineStr">
        <is>
          <t>159392</t>
        </is>
      </c>
      <c r="C292" t="inlineStr">
        <is>
          <t>航空ETF富国</t>
        </is>
      </c>
      <c r="D292" t="n">
        <v>18528.55</v>
      </c>
      <c r="E292" t="n">
        <v>18528.55</v>
      </c>
      <c r="F292" t="n">
        <v>1.0823</v>
      </c>
      <c r="G292" t="n">
        <v>0</v>
      </c>
      <c r="H292" t="n">
        <v>2.005345</v>
      </c>
      <c r="I292" t="n">
        <v>2.003307</v>
      </c>
      <c r="J292" t="n">
        <v>0.002038</v>
      </c>
      <c r="K292" s="4">
        <f>IFERROR(J292/I292,"")</f>
        <v/>
      </c>
      <c r="L292" s="4">
        <f>IFERROR((D292-E292)/E292,"")</f>
        <v/>
      </c>
    </row>
    <row r="293">
      <c r="A293" t="inlineStr">
        <is>
          <t>2026-06-19</t>
        </is>
      </c>
      <c r="B293" t="inlineStr">
        <is>
          <t>159393</t>
        </is>
      </c>
      <c r="C293" t="inlineStr">
        <is>
          <t>沪深300ETF万家</t>
        </is>
      </c>
      <c r="D293" t="n">
        <v>4114.6342</v>
      </c>
      <c r="E293" t="n">
        <v>4114.6342</v>
      </c>
      <c r="F293" t="n">
        <v>5.2182</v>
      </c>
      <c r="G293" t="n">
        <v>0</v>
      </c>
      <c r="H293" t="n">
        <v>2.147098</v>
      </c>
      <c r="I293" t="n">
        <v>2.126484</v>
      </c>
      <c r="J293" t="n">
        <v>0.020614</v>
      </c>
      <c r="K293" s="4">
        <f>IFERROR(J293/I293,"")</f>
        <v/>
      </c>
      <c r="L293" s="4">
        <f>IFERROR((D293-E293)/E293,"")</f>
        <v/>
      </c>
    </row>
    <row r="294">
      <c r="A294" t="inlineStr">
        <is>
          <t>2026-06-19</t>
        </is>
      </c>
      <c r="B294" t="inlineStr">
        <is>
          <t>159395</t>
        </is>
      </c>
      <c r="C294" t="inlineStr">
        <is>
          <t>信用债ETF大成</t>
        </is>
      </c>
      <c r="D294" t="n">
        <v>12136.4202</v>
      </c>
      <c r="E294" t="n">
        <v>12136.4202</v>
      </c>
      <c r="F294" t="n">
        <v>102.9734</v>
      </c>
      <c r="G294" t="n">
        <v>0</v>
      </c>
      <c r="H294" t="n">
        <v>124.972845</v>
      </c>
      <c r="I294" t="n">
        <v>124.936557</v>
      </c>
      <c r="J294" t="n">
        <v>0.036288</v>
      </c>
      <c r="K294" s="4">
        <f>IFERROR(J294/I294,"")</f>
        <v/>
      </c>
      <c r="L294" s="4">
        <f>IFERROR((D294-E294)/E294,"")</f>
        <v/>
      </c>
    </row>
    <row r="295">
      <c r="A295" t="inlineStr">
        <is>
          <t>2026-06-19</t>
        </is>
      </c>
      <c r="B295" t="inlineStr">
        <is>
          <t>159396</t>
        </is>
      </c>
      <c r="C295" t="inlineStr">
        <is>
          <t>信用债ETF博时</t>
        </is>
      </c>
      <c r="D295" t="n">
        <v>9627.312900000001</v>
      </c>
      <c r="E295" t="n">
        <v>9627.312900000001</v>
      </c>
      <c r="F295" t="n">
        <v>102.89</v>
      </c>
      <c r="G295" t="n">
        <v>0</v>
      </c>
      <c r="H295" t="n">
        <v>99.05542199999999</v>
      </c>
      <c r="I295" t="n">
        <v>99.033857</v>
      </c>
      <c r="J295" t="n">
        <v>0.021565</v>
      </c>
      <c r="K295" s="4">
        <f>IFERROR(J295/I295,"")</f>
        <v/>
      </c>
      <c r="L295" s="4">
        <f>IFERROR((D295-E295)/E295,"")</f>
        <v/>
      </c>
    </row>
    <row r="296">
      <c r="A296" t="inlineStr">
        <is>
          <t>2026-06-19</t>
        </is>
      </c>
      <c r="B296" t="inlineStr">
        <is>
          <t>159397</t>
        </is>
      </c>
      <c r="C296" t="inlineStr">
        <is>
          <t>信用债ETF广发</t>
        </is>
      </c>
      <c r="D296" t="n">
        <v>13697.7657</v>
      </c>
      <c r="E296" t="n">
        <v>13427.7657</v>
      </c>
      <c r="F296" t="n">
        <v>102.7303</v>
      </c>
      <c r="G296" t="n">
        <v>270</v>
      </c>
      <c r="H296" t="n">
        <v>140.717558</v>
      </c>
      <c r="I296" t="n">
        <v>137.920341</v>
      </c>
      <c r="J296" t="n">
        <v>2.797217</v>
      </c>
      <c r="K296" s="4">
        <f>IFERROR(J296/I296,"")</f>
        <v/>
      </c>
      <c r="L296" s="4">
        <f>IFERROR((D296-E296)/E296,"")</f>
        <v/>
      </c>
    </row>
    <row r="297">
      <c r="A297" t="inlineStr">
        <is>
          <t>2026-06-19</t>
        </is>
      </c>
      <c r="B297" t="inlineStr">
        <is>
          <t>159398</t>
        </is>
      </c>
      <c r="C297" t="inlineStr">
        <is>
          <t>信用债ETF天弘</t>
        </is>
      </c>
      <c r="D297" t="n">
        <v>9233.231</v>
      </c>
      <c r="E297" t="n">
        <v>9173.231</v>
      </c>
      <c r="F297" t="n">
        <v>102.114</v>
      </c>
      <c r="G297" t="n">
        <v>60</v>
      </c>
      <c r="H297" t="n">
        <v>94.284215</v>
      </c>
      <c r="I297" t="n">
        <v>93.653093</v>
      </c>
      <c r="J297" t="n">
        <v>0.631122</v>
      </c>
      <c r="K297" s="4">
        <f>IFERROR(J297/I297,"")</f>
        <v/>
      </c>
      <c r="L297" s="4">
        <f>IFERROR((D297-E297)/E297,"")</f>
        <v/>
      </c>
    </row>
    <row r="298">
      <c r="A298" t="inlineStr">
        <is>
          <t>2026-06-19</t>
        </is>
      </c>
      <c r="B298" t="inlineStr">
        <is>
          <t>159399</t>
        </is>
      </c>
      <c r="C298" t="inlineStr">
        <is>
          <t>现金流ETF国泰</t>
        </is>
      </c>
      <c r="D298" t="n">
        <v>443319.4835</v>
      </c>
      <c r="E298" t="n">
        <v>449319.4835</v>
      </c>
      <c r="F298" t="n">
        <v>0.9836</v>
      </c>
      <c r="G298" t="n">
        <v>-6000</v>
      </c>
      <c r="H298" t="n">
        <v>43.604904</v>
      </c>
      <c r="I298" t="n">
        <v>44.54104</v>
      </c>
      <c r="J298" t="n">
        <v>-0.936136</v>
      </c>
      <c r="K298" s="4">
        <f>IFERROR(J298/I298,"")</f>
        <v/>
      </c>
      <c r="L298" s="4">
        <f>IFERROR((D298-E298)/E298,"")</f>
        <v/>
      </c>
    </row>
    <row r="299">
      <c r="A299" t="inlineStr">
        <is>
          <t>2026-06-19</t>
        </is>
      </c>
      <c r="B299" t="inlineStr">
        <is>
          <t>159400</t>
        </is>
      </c>
      <c r="C299" t="inlineStr">
        <is>
          <t>科创债ETF景顺</t>
        </is>
      </c>
      <c r="D299" t="n">
        <v>6885.7356</v>
      </c>
      <c r="E299" t="n">
        <v>6885.7356</v>
      </c>
      <c r="F299" t="n">
        <v>100.8084</v>
      </c>
      <c r="G299" t="n">
        <v>0</v>
      </c>
      <c r="H299" t="n">
        <v>69.413999</v>
      </c>
      <c r="I299" t="n">
        <v>69.405874</v>
      </c>
      <c r="J299" t="n">
        <v>0.008125</v>
      </c>
      <c r="K299" s="4">
        <f>IFERROR(J299/I299,"")</f>
        <v/>
      </c>
      <c r="L299" s="4">
        <f>IFERROR((D299-E299)/E299,"")</f>
        <v/>
      </c>
    </row>
    <row r="300">
      <c r="A300" t="inlineStr">
        <is>
          <t>2026-06-19</t>
        </is>
      </c>
      <c r="B300" t="inlineStr">
        <is>
          <t>159500</t>
        </is>
      </c>
      <c r="C300" t="inlineStr">
        <is>
          <t>中证500ETF富国</t>
        </is>
      </c>
      <c r="D300" t="n">
        <v>13773.8865</v>
      </c>
      <c r="E300" t="n">
        <v>14053.8865</v>
      </c>
      <c r="F300" t="n">
        <v>1.2804</v>
      </c>
      <c r="G300" t="n">
        <v>-280</v>
      </c>
      <c r="H300" t="n">
        <v>1.763608</v>
      </c>
      <c r="I300" t="n">
        <v>1.774022</v>
      </c>
      <c r="J300" t="n">
        <v>-0.010414</v>
      </c>
      <c r="K300" s="4">
        <f>IFERROR(J300/I300,"")</f>
        <v/>
      </c>
      <c r="L300" s="4">
        <f>IFERROR((D300-E300)/E300,"")</f>
        <v/>
      </c>
    </row>
    <row r="301">
      <c r="A301" t="inlineStr">
        <is>
          <t>2026-06-19</t>
        </is>
      </c>
      <c r="B301" t="inlineStr">
        <is>
          <t>159501</t>
        </is>
      </c>
      <c r="C301" t="inlineStr">
        <is>
          <t>纳指ETF嘉实</t>
        </is>
      </c>
      <c r="D301" t="n">
        <v>635498.6575</v>
      </c>
      <c r="E301" t="n">
        <v>634498.6575</v>
      </c>
      <c r="F301" t="n">
        <v>1.9127</v>
      </c>
      <c r="G301" t="n">
        <v>1000</v>
      </c>
      <c r="H301" t="n">
        <v>121.551828</v>
      </c>
      <c r="I301" t="n">
        <v>123.644753</v>
      </c>
      <c r="J301" t="n">
        <v>-2.092925</v>
      </c>
      <c r="K301" s="4">
        <f>IFERROR(J301/I301,"")</f>
        <v/>
      </c>
      <c r="L301" s="4">
        <f>IFERROR((D301-E301)/E301,"")</f>
        <v/>
      </c>
    </row>
    <row r="302">
      <c r="A302" t="inlineStr">
        <is>
          <t>2026-06-19</t>
        </is>
      </c>
      <c r="B302" t="inlineStr">
        <is>
          <t>159502</t>
        </is>
      </c>
      <c r="C302" t="inlineStr">
        <is>
          <t>标普生物科技ETF嘉实</t>
        </is>
      </c>
      <c r="D302" t="n">
        <v>111432.3019</v>
      </c>
      <c r="E302" t="n">
        <v>114432.3019</v>
      </c>
      <c r="F302" t="n">
        <v>1.3614</v>
      </c>
      <c r="G302" t="n">
        <v>-3000</v>
      </c>
      <c r="H302" t="n">
        <v>15.170394</v>
      </c>
      <c r="I302" t="n">
        <v>15.69439</v>
      </c>
      <c r="J302" t="n">
        <v>-0.523996</v>
      </c>
      <c r="K302" s="4">
        <f>IFERROR(J302/I302,"")</f>
        <v/>
      </c>
      <c r="L302" s="4">
        <f>IFERROR((D302-E302)/E302,"")</f>
        <v/>
      </c>
    </row>
    <row r="303">
      <c r="A303" t="inlineStr">
        <is>
          <t>2026-06-19</t>
        </is>
      </c>
      <c r="B303" t="inlineStr">
        <is>
          <t>159505</t>
        </is>
      </c>
      <c r="C303" t="inlineStr">
        <is>
          <t>国证2000ETF博时</t>
        </is>
      </c>
      <c r="D303" t="n">
        <v>1410.4786</v>
      </c>
      <c r="E303" t="n">
        <v>1410.4786</v>
      </c>
      <c r="F303" t="n">
        <v>1.8068</v>
      </c>
      <c r="G303" t="n">
        <v>0</v>
      </c>
      <c r="H303" t="n">
        <v>0.254845</v>
      </c>
      <c r="I303" t="n">
        <v>0.2539</v>
      </c>
      <c r="J303" t="n">
        <v>0.000945</v>
      </c>
      <c r="K303" s="4">
        <f>IFERROR(J303/I303,"")</f>
        <v/>
      </c>
      <c r="L303" s="4">
        <f>IFERROR((D303-E303)/E303,"")</f>
        <v/>
      </c>
    </row>
    <row r="304">
      <c r="A304" t="inlineStr">
        <is>
          <t>2026-06-19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218253.6979</v>
      </c>
      <c r="E304" t="n">
        <v>218253.6979</v>
      </c>
      <c r="F304" t="n">
        <v>1.0441</v>
      </c>
      <c r="G304" t="n">
        <v>0</v>
      </c>
      <c r="H304" t="n">
        <v>22.787869</v>
      </c>
      <c r="I304" t="n">
        <v>23.091241</v>
      </c>
      <c r="J304" t="n">
        <v>-0.303372</v>
      </c>
      <c r="K304" s="4">
        <f>IFERROR(J304/I304,"")</f>
        <v/>
      </c>
      <c r="L304" s="4">
        <f>IFERROR((D304-E304)/E304,"")</f>
        <v/>
      </c>
    </row>
    <row r="305">
      <c r="A305" t="inlineStr">
        <is>
          <t>2026-06-19</t>
        </is>
      </c>
      <c r="B305" t="inlineStr">
        <is>
          <t>159507</t>
        </is>
      </c>
      <c r="C305" t="inlineStr">
        <is>
          <t>通信ETF广发</t>
        </is>
      </c>
      <c r="D305" t="n">
        <v>63283.0902</v>
      </c>
      <c r="E305" t="n">
        <v>63583.0902</v>
      </c>
      <c r="F305" t="n">
        <v>1.1023</v>
      </c>
      <c r="G305" t="n">
        <v>-300</v>
      </c>
      <c r="H305" t="n">
        <v>6.975695</v>
      </c>
      <c r="I305" t="n">
        <v>6.915933</v>
      </c>
      <c r="J305" t="n">
        <v>0.059762</v>
      </c>
      <c r="K305" s="4">
        <f>IFERROR(J305/I305,"")</f>
        <v/>
      </c>
      <c r="L305" s="4">
        <f>IFERROR((D305-E305)/E305,"")</f>
        <v/>
      </c>
    </row>
    <row r="306">
      <c r="A306" t="inlineStr">
        <is>
          <t>2026-06-19</t>
        </is>
      </c>
      <c r="B306" t="inlineStr">
        <is>
          <t>159508</t>
        </is>
      </c>
      <c r="C306" t="inlineStr">
        <is>
          <t>生物医药ETF华安</t>
        </is>
      </c>
      <c r="D306" t="n">
        <v>7303.1598</v>
      </c>
      <c r="E306" t="n">
        <v>7363.1598</v>
      </c>
      <c r="F306" t="n">
        <v>0.6693</v>
      </c>
      <c r="G306" t="n">
        <v>-60</v>
      </c>
      <c r="H306" t="n">
        <v>0.4888</v>
      </c>
      <c r="I306" t="n">
        <v>0.495172</v>
      </c>
      <c r="J306" t="n">
        <v>-0.006372</v>
      </c>
      <c r="K306" s="4">
        <f>IFERROR(J306/I306,"")</f>
        <v/>
      </c>
      <c r="L306" s="4">
        <f>IFERROR((D306-E306)/E306,"")</f>
        <v/>
      </c>
    </row>
    <row r="307">
      <c r="A307" t="inlineStr">
        <is>
          <t>2026-06-19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2.2614</v>
      </c>
      <c r="G307" t="n">
        <v>0</v>
      </c>
      <c r="H307" t="n">
        <v>149.740051</v>
      </c>
      <c r="I307" t="n">
        <v>153.289209</v>
      </c>
      <c r="J307" t="n">
        <v>-3.549158</v>
      </c>
      <c r="K307" s="4">
        <f>IFERROR(J307/I307,"")</f>
        <v/>
      </c>
      <c r="L307" s="4">
        <f>IFERROR((D307-E307)/E307,"")</f>
        <v/>
      </c>
    </row>
    <row r="308">
      <c r="A308" t="inlineStr">
        <is>
          <t>2026-06-19</t>
        </is>
      </c>
      <c r="B308" t="inlineStr">
        <is>
          <t>159510</t>
        </is>
      </c>
      <c r="C308" t="inlineStr">
        <is>
          <t>沪深300价值ETF华夏</t>
        </is>
      </c>
      <c r="D308" t="n">
        <v>6112.8342</v>
      </c>
      <c r="E308" t="n">
        <v>6112.8342</v>
      </c>
      <c r="F308" t="n">
        <v>1.2251</v>
      </c>
      <c r="G308" t="n">
        <v>0</v>
      </c>
      <c r="H308" t="n">
        <v>0.748883</v>
      </c>
      <c r="I308" t="n">
        <v>0.749678</v>
      </c>
      <c r="J308" t="n">
        <v>-0.000795</v>
      </c>
      <c r="K308" s="4">
        <f>IFERROR(J308/I308,"")</f>
        <v/>
      </c>
      <c r="L308" s="4">
        <f>IFERROR((D308-E308)/E308,"")</f>
        <v/>
      </c>
    </row>
    <row r="309">
      <c r="A309" t="inlineStr">
        <is>
          <t>2026-06-19</t>
        </is>
      </c>
      <c r="B309" t="inlineStr">
        <is>
          <t>159511</t>
        </is>
      </c>
      <c r="C309" t="inlineStr">
        <is>
          <t>通信ETF南方</t>
        </is>
      </c>
      <c r="D309" t="n">
        <v>13244.4573</v>
      </c>
      <c r="E309" t="n">
        <v>13294.4573</v>
      </c>
      <c r="F309" t="n">
        <v>2.8055</v>
      </c>
      <c r="G309" t="n">
        <v>-50</v>
      </c>
      <c r="H309" t="n">
        <v>3.715732</v>
      </c>
      <c r="I309" t="n">
        <v>3.700379</v>
      </c>
      <c r="J309" t="n">
        <v>0.015353</v>
      </c>
      <c r="K309" s="4">
        <f>IFERROR(J309/I309,"")</f>
        <v/>
      </c>
      <c r="L309" s="4">
        <f>IFERROR((D309-E309)/E309,"")</f>
        <v/>
      </c>
    </row>
    <row r="310">
      <c r="A310" t="inlineStr">
        <is>
          <t>2026-06-19</t>
        </is>
      </c>
      <c r="B310" t="inlineStr">
        <is>
          <t>159512</t>
        </is>
      </c>
      <c r="C310" t="inlineStr">
        <is>
          <t>汽车ETF广发</t>
        </is>
      </c>
      <c r="D310" t="n">
        <v>4926.4855</v>
      </c>
      <c r="E310" t="n">
        <v>4926.4855</v>
      </c>
      <c r="F310" t="n">
        <v>1.1229</v>
      </c>
      <c r="G310" t="n">
        <v>0</v>
      </c>
      <c r="H310" t="n">
        <v>0.553195</v>
      </c>
      <c r="I310" t="n">
        <v>0.562408</v>
      </c>
      <c r="J310" t="n">
        <v>-0.009213000000000001</v>
      </c>
      <c r="K310" s="4">
        <f>IFERROR(J310/I310,"")</f>
        <v/>
      </c>
      <c r="L310" s="4">
        <f>IFERROR((D310-E310)/E310,"")</f>
        <v/>
      </c>
    </row>
    <row r="311">
      <c r="A311" t="inlineStr">
        <is>
          <t>2026-06-19</t>
        </is>
      </c>
      <c r="B311" t="inlineStr">
        <is>
          <t>159513</t>
        </is>
      </c>
      <c r="C311" t="inlineStr">
        <is>
          <t>纳斯达克100ETF大成</t>
        </is>
      </c>
      <c r="D311" t="n">
        <v>425554.91</v>
      </c>
      <c r="E311" t="n">
        <v>424954.91</v>
      </c>
      <c r="F311" t="n">
        <v>1.7003</v>
      </c>
      <c r="G311" t="n">
        <v>600</v>
      </c>
      <c r="H311" t="n">
        <v>72.357101</v>
      </c>
      <c r="I311" t="n">
        <v>73.63618700000001</v>
      </c>
      <c r="J311" t="n">
        <v>-1.279086</v>
      </c>
      <c r="K311" s="4">
        <f>IFERROR(J311/I311,"")</f>
        <v/>
      </c>
      <c r="L311" s="4">
        <f>IFERROR((D311-E311)/E311,"")</f>
        <v/>
      </c>
    </row>
    <row r="312">
      <c r="A312" t="inlineStr">
        <is>
          <t>2026-06-19</t>
        </is>
      </c>
      <c r="B312" t="inlineStr">
        <is>
          <t>159515</t>
        </is>
      </c>
      <c r="C312" t="inlineStr">
        <is>
          <t>国企红利ETF鹏扬</t>
        </is>
      </c>
      <c r="D312" t="n">
        <v>3698.6631</v>
      </c>
      <c r="E312" t="n">
        <v>3668.6631</v>
      </c>
      <c r="F312" t="n">
        <v>1.1401</v>
      </c>
      <c r="G312" t="n">
        <v>30</v>
      </c>
      <c r="H312" t="n">
        <v>0.421685</v>
      </c>
      <c r="I312" t="n">
        <v>0.422373</v>
      </c>
      <c r="J312" t="n">
        <v>-0.000688</v>
      </c>
      <c r="K312" s="4">
        <f>IFERROR(J312/I312,"")</f>
        <v/>
      </c>
      <c r="L312" s="4">
        <f>IFERROR((D312-E312)/E312,"")</f>
        <v/>
      </c>
    </row>
    <row r="313">
      <c r="A313" t="inlineStr">
        <is>
          <t>2026-06-19</t>
        </is>
      </c>
      <c r="B313" t="inlineStr">
        <is>
          <t>159516</t>
        </is>
      </c>
      <c r="C313" t="inlineStr">
        <is>
          <t>半导体设备ETF国泰</t>
        </is>
      </c>
      <c r="D313" t="n">
        <v>1880117.9986</v>
      </c>
      <c r="E313" t="n">
        <v>1764517.9986</v>
      </c>
      <c r="F313" t="n">
        <v>1.4947</v>
      </c>
      <c r="G313" t="n">
        <v>115600</v>
      </c>
      <c r="H313" t="n">
        <v>281.021237</v>
      </c>
      <c r="I313" t="n">
        <v>245.673841</v>
      </c>
      <c r="J313" t="n">
        <v>35.347396</v>
      </c>
      <c r="K313" s="4">
        <f>IFERROR(J313/I313,"")</f>
        <v/>
      </c>
      <c r="L313" s="4">
        <f>IFERROR((D313-E313)/E313,"")</f>
        <v/>
      </c>
    </row>
    <row r="314">
      <c r="A314" t="inlineStr">
        <is>
          <t>2026-06-19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1.4424</v>
      </c>
      <c r="G314" t="n">
        <v>0</v>
      </c>
      <c r="H314" t="n">
        <v>0.126104</v>
      </c>
      <c r="I314" t="n">
        <v>0.124469</v>
      </c>
      <c r="J314" t="n">
        <v>0.001635</v>
      </c>
      <c r="K314" s="4">
        <f>IFERROR(J314/I314,"")</f>
        <v/>
      </c>
      <c r="L314" s="4">
        <f>IFERROR((D314-E314)/E314,"")</f>
        <v/>
      </c>
    </row>
    <row r="315">
      <c r="A315" t="inlineStr">
        <is>
          <t>2026-06-19</t>
        </is>
      </c>
      <c r="B315" t="inlineStr">
        <is>
          <t>159518</t>
        </is>
      </c>
      <c r="C315" t="inlineStr">
        <is>
          <t>标普油气ETF嘉实</t>
        </is>
      </c>
      <c r="D315" t="n">
        <v>203132.5369</v>
      </c>
      <c r="E315" t="n">
        <v>204732.5369</v>
      </c>
      <c r="F315" t="n">
        <v>1.062</v>
      </c>
      <c r="G315" t="n">
        <v>-1600</v>
      </c>
      <c r="H315" t="n">
        <v>21.572675</v>
      </c>
      <c r="I315" t="n">
        <v>21.904334</v>
      </c>
      <c r="J315" t="n">
        <v>-0.331659</v>
      </c>
      <c r="K315" s="4">
        <f>IFERROR(J315/I315,"")</f>
        <v/>
      </c>
      <c r="L315" s="4">
        <f>IFERROR((D315-E315)/E315,"")</f>
        <v/>
      </c>
    </row>
    <row r="316">
      <c r="A316" t="inlineStr">
        <is>
          <t>2026-06-19</t>
        </is>
      </c>
      <c r="B316" t="inlineStr">
        <is>
          <t>159519</t>
        </is>
      </c>
      <c r="C316" t="inlineStr">
        <is>
          <t>港股国企ETF国泰</t>
        </is>
      </c>
      <c r="D316" t="n">
        <v>6815.7854</v>
      </c>
      <c r="E316" t="n">
        <v>6815.7854</v>
      </c>
      <c r="F316" t="n">
        <v>1.7582</v>
      </c>
      <c r="G316" t="n">
        <v>0</v>
      </c>
      <c r="H316" t="n">
        <v>1.198351</v>
      </c>
      <c r="I316" t="n">
        <v>1.213619</v>
      </c>
      <c r="J316" t="n">
        <v>-0.015268</v>
      </c>
      <c r="K316" s="4">
        <f>IFERROR(J316/I316,"")</f>
        <v/>
      </c>
      <c r="L316" s="4">
        <f>IFERROR((D316-E316)/E316,"")</f>
        <v/>
      </c>
    </row>
    <row r="317">
      <c r="A317" t="inlineStr">
        <is>
          <t>2026-06-19</t>
        </is>
      </c>
      <c r="B317" t="inlineStr">
        <is>
          <t>159520</t>
        </is>
      </c>
      <c r="C317" t="inlineStr">
        <is>
          <t>消费龙头ETF工银</t>
        </is>
      </c>
      <c r="D317" t="n">
        <v>15917.7649</v>
      </c>
      <c r="E317" t="n">
        <v>15917.7649</v>
      </c>
      <c r="F317" t="n">
        <v>0.8792</v>
      </c>
      <c r="G317" t="n">
        <v>0</v>
      </c>
      <c r="H317" t="n">
        <v>1.39949</v>
      </c>
      <c r="I317" t="n">
        <v>1.411747</v>
      </c>
      <c r="J317" t="n">
        <v>-0.012257</v>
      </c>
      <c r="K317" s="4">
        <f>IFERROR(J317/I317,"")</f>
        <v/>
      </c>
      <c r="L317" s="4">
        <f>IFERROR((D317-E317)/E317,"")</f>
        <v/>
      </c>
    </row>
    <row r="318">
      <c r="A318" t="inlineStr">
        <is>
          <t>2026-06-19</t>
        </is>
      </c>
      <c r="B318" t="inlineStr">
        <is>
          <t>159521</t>
        </is>
      </c>
      <c r="C318" t="inlineStr">
        <is>
          <t>国证2000ETF平安</t>
        </is>
      </c>
      <c r="D318" t="n">
        <v>1527.4435</v>
      </c>
      <c r="E318" t="n">
        <v>1827.4435</v>
      </c>
      <c r="F318" t="n">
        <v>1.3818</v>
      </c>
      <c r="G318" t="n">
        <v>-300</v>
      </c>
      <c r="H318" t="n">
        <v>0.211062</v>
      </c>
      <c r="I318" t="n">
        <v>0.25131</v>
      </c>
      <c r="J318" t="n">
        <v>-0.040248</v>
      </c>
      <c r="K318" s="4">
        <f>IFERROR(J318/I318,"")</f>
        <v/>
      </c>
      <c r="L318" s="4">
        <f>IFERROR((D318-E318)/E318,"")</f>
        <v/>
      </c>
    </row>
    <row r="319">
      <c r="A319" t="inlineStr">
        <is>
          <t>2026-06-19</t>
        </is>
      </c>
      <c r="B319" t="inlineStr">
        <is>
          <t>159523</t>
        </is>
      </c>
      <c r="C319" t="inlineStr">
        <is>
          <t>沪深300成长ETF华夏</t>
        </is>
      </c>
      <c r="D319" t="n">
        <v>6651.7348</v>
      </c>
      <c r="E319" t="n">
        <v>6651.7348</v>
      </c>
      <c r="F319" t="n">
        <v>1.3474</v>
      </c>
      <c r="G319" t="n">
        <v>0</v>
      </c>
      <c r="H319" t="n">
        <v>0.896255</v>
      </c>
      <c r="I319" t="n">
        <v>0.882486</v>
      </c>
      <c r="J319" t="n">
        <v>0.013769</v>
      </c>
      <c r="K319" s="4">
        <f>IFERROR(J319/I319,"")</f>
        <v/>
      </c>
      <c r="L319" s="4">
        <f>IFERROR((D319-E319)/E319,"")</f>
        <v/>
      </c>
    </row>
    <row r="320">
      <c r="A320" t="inlineStr">
        <is>
          <t>2026-06-19</t>
        </is>
      </c>
      <c r="B320" t="inlineStr">
        <is>
          <t>159525</t>
        </is>
      </c>
      <c r="C320" t="inlineStr">
        <is>
          <t>红利低波ETF富国</t>
        </is>
      </c>
      <c r="D320" t="n">
        <v>43974.3741</v>
      </c>
      <c r="E320" t="n">
        <v>43374.3741</v>
      </c>
      <c r="F320" t="n">
        <v>1.0622</v>
      </c>
      <c r="G320" t="n">
        <v>600</v>
      </c>
      <c r="H320" t="n">
        <v>4.670958</v>
      </c>
      <c r="I320" t="n">
        <v>4.629781</v>
      </c>
      <c r="J320" t="n">
        <v>0.041177</v>
      </c>
      <c r="K320" s="4">
        <f>IFERROR(J320/I320,"")</f>
        <v/>
      </c>
      <c r="L320" s="4">
        <f>IFERROR((D320-E320)/E320,"")</f>
        <v/>
      </c>
    </row>
    <row r="321">
      <c r="A321" t="inlineStr">
        <is>
          <t>2026-06-19</t>
        </is>
      </c>
      <c r="B321" t="inlineStr">
        <is>
          <t>159526</t>
        </is>
      </c>
      <c r="C321" t="inlineStr">
        <is>
          <t>机器人ETF嘉实</t>
        </is>
      </c>
      <c r="D321" t="n">
        <v>57696.2964</v>
      </c>
      <c r="E321" t="n">
        <v>59046.2964</v>
      </c>
      <c r="F321" t="n">
        <v>1.6767</v>
      </c>
      <c r="G321" t="n">
        <v>-1350</v>
      </c>
      <c r="H321" t="n">
        <v>9.673938</v>
      </c>
      <c r="I321" t="n">
        <v>9.886120999999999</v>
      </c>
      <c r="J321" t="n">
        <v>-0.212183</v>
      </c>
      <c r="K321" s="4">
        <f>IFERROR(J321/I321,"")</f>
        <v/>
      </c>
      <c r="L321" s="4">
        <f>IFERROR((D321-E321)/E321,"")</f>
        <v/>
      </c>
    </row>
    <row r="322">
      <c r="A322" t="inlineStr">
        <is>
          <t>2026-06-19</t>
        </is>
      </c>
      <c r="B322" t="inlineStr">
        <is>
          <t>159527</t>
        </is>
      </c>
      <c r="C322" t="inlineStr">
        <is>
          <t>云计算ETF广发</t>
        </is>
      </c>
      <c r="D322" t="n">
        <v>13610.045</v>
      </c>
      <c r="E322" t="n">
        <v>13610.045</v>
      </c>
      <c r="F322" t="n">
        <v>2.1682</v>
      </c>
      <c r="G322" t="n">
        <v>0</v>
      </c>
      <c r="H322" t="n">
        <v>2.95093</v>
      </c>
      <c r="I322" t="n">
        <v>2.924118</v>
      </c>
      <c r="J322" t="n">
        <v>0.026812</v>
      </c>
      <c r="K322" s="4">
        <f>IFERROR(J322/I322,"")</f>
        <v/>
      </c>
      <c r="L322" s="4">
        <f>IFERROR((D322-E322)/E322,"")</f>
        <v/>
      </c>
    </row>
    <row r="323">
      <c r="A323" t="inlineStr">
        <is>
          <t>2026-06-19</t>
        </is>
      </c>
      <c r="B323" t="inlineStr">
        <is>
          <t>159528</t>
        </is>
      </c>
      <c r="C323" t="inlineStr">
        <is>
          <t>国企改革ETF富国</t>
        </is>
      </c>
      <c r="D323" t="n">
        <v>932.0773</v>
      </c>
      <c r="E323" t="n">
        <v>932.0773</v>
      </c>
      <c r="F323" t="n">
        <v>1.2813</v>
      </c>
      <c r="G323" t="n">
        <v>0</v>
      </c>
      <c r="H323" t="n">
        <v>0.119427</v>
      </c>
      <c r="I323" t="n">
        <v>0.117637</v>
      </c>
      <c r="J323" t="n">
        <v>0.00179</v>
      </c>
      <c r="K323" s="4">
        <f>IFERROR(J323/I323,"")</f>
        <v/>
      </c>
      <c r="L323" s="4">
        <f>IFERROR((D323-E323)/E323,"")</f>
        <v/>
      </c>
    </row>
    <row r="324">
      <c r="A324" t="inlineStr">
        <is>
          <t>2026-06-19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1.3055</v>
      </c>
      <c r="G324" t="n">
        <v>0</v>
      </c>
      <c r="H324" t="n">
        <v>10.594613</v>
      </c>
      <c r="I324" t="n">
        <v>10.579194</v>
      </c>
      <c r="J324" t="n">
        <v>0.015419</v>
      </c>
      <c r="K324" s="4">
        <f>IFERROR(J324/I324,"")</f>
        <v/>
      </c>
      <c r="L324" s="4">
        <f>IFERROR((D324-E324)/E324,"")</f>
        <v/>
      </c>
    </row>
    <row r="325">
      <c r="A325" t="inlineStr">
        <is>
          <t>2026-06-19</t>
        </is>
      </c>
      <c r="B325" t="inlineStr">
        <is>
          <t>159530</t>
        </is>
      </c>
      <c r="C325" t="inlineStr">
        <is>
          <t>机器人ETF易方达</t>
        </is>
      </c>
      <c r="D325" t="n">
        <v>1030361.3169</v>
      </c>
      <c r="E325" t="n">
        <v>1037361.3169</v>
      </c>
      <c r="F325" t="n">
        <v>1.5937</v>
      </c>
      <c r="G325" t="n">
        <v>-7000</v>
      </c>
      <c r="H325" t="n">
        <v>164.208683</v>
      </c>
      <c r="I325" t="n">
        <v>166.672843</v>
      </c>
      <c r="J325" t="n">
        <v>-2.46416</v>
      </c>
      <c r="K325" s="4">
        <f>IFERROR(J325/I325,"")</f>
        <v/>
      </c>
      <c r="L325" s="4">
        <f>IFERROR((D325-E325)/E325,"")</f>
        <v/>
      </c>
    </row>
    <row r="326">
      <c r="A326" t="inlineStr">
        <is>
          <t>2026-06-19</t>
        </is>
      </c>
      <c r="B326" t="inlineStr">
        <is>
          <t>159531</t>
        </is>
      </c>
      <c r="C326" t="inlineStr">
        <is>
          <t>中证2000ETF南方</t>
        </is>
      </c>
      <c r="D326" t="n">
        <v>56260.8406</v>
      </c>
      <c r="E326" t="n">
        <v>58860.8406</v>
      </c>
      <c r="F326" t="n">
        <v>1.5754</v>
      </c>
      <c r="G326" t="n">
        <v>-2600</v>
      </c>
      <c r="H326" t="n">
        <v>8.863333000000001</v>
      </c>
      <c r="I326" t="n">
        <v>9.249392</v>
      </c>
      <c r="J326" t="n">
        <v>-0.386059</v>
      </c>
      <c r="K326" s="4">
        <f>IFERROR(J326/I326,"")</f>
        <v/>
      </c>
      <c r="L326" s="4">
        <f>IFERROR((D326-E326)/E326,"")</f>
        <v/>
      </c>
    </row>
    <row r="327">
      <c r="A327" t="inlineStr">
        <is>
          <t>2026-06-19</t>
        </is>
      </c>
      <c r="B327" t="inlineStr">
        <is>
          <t>159532</t>
        </is>
      </c>
      <c r="C327" t="inlineStr">
        <is>
          <t>中证2000ETF易方达</t>
        </is>
      </c>
      <c r="D327" t="n">
        <v>12756.4791</v>
      </c>
      <c r="E327" t="n">
        <v>12756.4791</v>
      </c>
      <c r="F327" t="n">
        <v>1.8109</v>
      </c>
      <c r="G327" t="n">
        <v>0</v>
      </c>
      <c r="H327" t="n">
        <v>2.310071</v>
      </c>
      <c r="I327" t="n">
        <v>2.303948</v>
      </c>
      <c r="J327" t="n">
        <v>0.006123</v>
      </c>
      <c r="K327" s="4">
        <f>IFERROR(J327/I327,"")</f>
        <v/>
      </c>
      <c r="L327" s="4">
        <f>IFERROR((D327-E327)/E327,"")</f>
        <v/>
      </c>
    </row>
    <row r="328">
      <c r="A328" t="inlineStr">
        <is>
          <t>2026-06-19</t>
        </is>
      </c>
      <c r="B328" t="inlineStr">
        <is>
          <t>159533</t>
        </is>
      </c>
      <c r="C328" t="inlineStr">
        <is>
          <t>中证2000ETF博时</t>
        </is>
      </c>
      <c r="D328" t="n">
        <v>945.8785</v>
      </c>
      <c r="E328" t="n">
        <v>1045.8785</v>
      </c>
      <c r="F328" t="n">
        <v>2.1625</v>
      </c>
      <c r="G328" t="n">
        <v>-100</v>
      </c>
      <c r="H328" t="n">
        <v>0.204546</v>
      </c>
      <c r="I328" t="n">
        <v>0.225638</v>
      </c>
      <c r="J328" t="n">
        <v>-0.021092</v>
      </c>
      <c r="K328" s="4">
        <f>IFERROR(J328/I328,"")</f>
        <v/>
      </c>
      <c r="L328" s="4">
        <f>IFERROR((D328-E328)/E328,"")</f>
        <v/>
      </c>
    </row>
    <row r="329">
      <c r="A329" t="inlineStr">
        <is>
          <t>2026-06-19</t>
        </is>
      </c>
      <c r="B329" t="inlineStr">
        <is>
          <t>159535</t>
        </is>
      </c>
      <c r="C329" t="inlineStr">
        <is>
          <t>中证2000ETF嘉实</t>
        </is>
      </c>
      <c r="D329" t="n">
        <v>1698.1088</v>
      </c>
      <c r="E329" t="n">
        <v>1698.1088</v>
      </c>
      <c r="F329" t="n">
        <v>1.6228</v>
      </c>
      <c r="G329" t="n">
        <v>0</v>
      </c>
      <c r="H329" t="n">
        <v>0.275569</v>
      </c>
      <c r="I329" t="n">
        <v>0.27275</v>
      </c>
      <c r="J329" t="n">
        <v>0.002819</v>
      </c>
      <c r="K329" s="4">
        <f>IFERROR(J329/I329,"")</f>
        <v/>
      </c>
      <c r="L329" s="4">
        <f>IFERROR((D329-E329)/E329,"")</f>
        <v/>
      </c>
    </row>
    <row r="330">
      <c r="A330" t="inlineStr">
        <is>
          <t>2026-06-19</t>
        </is>
      </c>
      <c r="B330" t="inlineStr">
        <is>
          <t>159536</t>
        </is>
      </c>
      <c r="C330" t="inlineStr">
        <is>
          <t>中证2000ETF汇添富</t>
        </is>
      </c>
      <c r="D330" t="n">
        <v>4126.1589</v>
      </c>
      <c r="E330" t="n">
        <v>4126.1589</v>
      </c>
      <c r="F330" t="n">
        <v>1.5533</v>
      </c>
      <c r="G330" t="n">
        <v>0</v>
      </c>
      <c r="H330" t="n">
        <v>0.640916</v>
      </c>
      <c r="I330" t="n">
        <v>0.638977</v>
      </c>
      <c r="J330" t="n">
        <v>0.001939</v>
      </c>
      <c r="K330" s="4">
        <f>IFERROR(J330/I330,"")</f>
        <v/>
      </c>
      <c r="L330" s="4">
        <f>IFERROR((D330-E330)/E330,"")</f>
        <v/>
      </c>
    </row>
    <row r="331">
      <c r="A331" t="inlineStr">
        <is>
          <t>2026-06-19</t>
        </is>
      </c>
      <c r="B331" t="inlineStr">
        <is>
          <t>159537</t>
        </is>
      </c>
      <c r="C331" t="inlineStr">
        <is>
          <t>信创ETF国泰</t>
        </is>
      </c>
      <c r="D331" t="n">
        <v>5564.2602</v>
      </c>
      <c r="E331" t="n">
        <v>5564.2602</v>
      </c>
      <c r="F331" t="n">
        <v>2.0819</v>
      </c>
      <c r="G331" t="n">
        <v>0</v>
      </c>
      <c r="H331" t="n">
        <v>1.158423</v>
      </c>
      <c r="I331" t="n">
        <v>1.100722</v>
      </c>
      <c r="J331" t="n">
        <v>0.057701</v>
      </c>
      <c r="K331" s="4">
        <f>IFERROR(J331/I331,"")</f>
        <v/>
      </c>
      <c r="L331" s="4">
        <f>IFERROR((D331-E331)/E331,"")</f>
        <v/>
      </c>
    </row>
    <row r="332">
      <c r="A332" t="inlineStr">
        <is>
          <t>2026-06-19</t>
        </is>
      </c>
      <c r="B332" t="inlineStr">
        <is>
          <t>159538</t>
        </is>
      </c>
      <c r="C332" t="inlineStr">
        <is>
          <t>信创ETF富国</t>
        </is>
      </c>
      <c r="D332" t="n">
        <v>4830.4483</v>
      </c>
      <c r="E332" t="n">
        <v>5030.4483</v>
      </c>
      <c r="F332" t="n">
        <v>2.093</v>
      </c>
      <c r="G332" t="n">
        <v>-200</v>
      </c>
      <c r="H332" t="n">
        <v>1.011013</v>
      </c>
      <c r="I332" t="n">
        <v>1.000154</v>
      </c>
      <c r="J332" t="n">
        <v>0.010859</v>
      </c>
      <c r="K332" s="4">
        <f>IFERROR(J332/I332,"")</f>
        <v/>
      </c>
      <c r="L332" s="4">
        <f>IFERROR((D332-E332)/E332,"")</f>
        <v/>
      </c>
    </row>
    <row r="333">
      <c r="A333" t="inlineStr">
        <is>
          <t>2026-06-19</t>
        </is>
      </c>
      <c r="B333" t="inlineStr">
        <is>
          <t>159539</t>
        </is>
      </c>
      <c r="C333" t="inlineStr">
        <is>
          <t>信创ETF广发</t>
        </is>
      </c>
      <c r="D333" t="n">
        <v>5456.5182</v>
      </c>
      <c r="E333" t="n">
        <v>5456.5182</v>
      </c>
      <c r="F333" t="n">
        <v>2.063</v>
      </c>
      <c r="G333" t="n">
        <v>0</v>
      </c>
      <c r="H333" t="n">
        <v>1.12568</v>
      </c>
      <c r="I333" t="n">
        <v>1.06975</v>
      </c>
      <c r="J333" t="n">
        <v>0.05593</v>
      </c>
      <c r="K333" s="4">
        <f>IFERROR(J333/I333,"")</f>
        <v/>
      </c>
      <c r="L333" s="4">
        <f>IFERROR((D333-E333)/E333,"")</f>
        <v/>
      </c>
    </row>
    <row r="334">
      <c r="A334" t="inlineStr">
        <is>
          <t>2026-06-19</t>
        </is>
      </c>
      <c r="B334" t="inlineStr">
        <is>
          <t>159540</t>
        </is>
      </c>
      <c r="C334" t="inlineStr">
        <is>
          <t>信创ETF易方达</t>
        </is>
      </c>
      <c r="D334" t="n">
        <v>9950.5191</v>
      </c>
      <c r="E334" t="n">
        <v>9750.5191</v>
      </c>
      <c r="F334" t="n">
        <v>2.203</v>
      </c>
      <c r="G334" t="n">
        <v>200</v>
      </c>
      <c r="H334" t="n">
        <v>2.192099</v>
      </c>
      <c r="I334" t="n">
        <v>2.041564</v>
      </c>
      <c r="J334" t="n">
        <v>0.150535</v>
      </c>
      <c r="K334" s="4">
        <f>IFERROR(J334/I334,"")</f>
        <v/>
      </c>
      <c r="L334" s="4">
        <f>IFERROR((D334-E334)/E334,"")</f>
        <v/>
      </c>
    </row>
    <row r="335">
      <c r="A335" t="inlineStr">
        <is>
          <t>2026-06-19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1.7729</v>
      </c>
      <c r="G335" t="n">
        <v>0</v>
      </c>
      <c r="H335" t="n">
        <v>1.145175</v>
      </c>
      <c r="I335" t="n">
        <v>1.132644</v>
      </c>
      <c r="J335" t="n">
        <v>0.012531</v>
      </c>
      <c r="K335" s="4">
        <f>IFERROR(J335/I335,"")</f>
        <v/>
      </c>
      <c r="L335" s="4">
        <f>IFERROR((D335-E335)/E335,"")</f>
        <v/>
      </c>
    </row>
    <row r="336">
      <c r="A336" t="inlineStr">
        <is>
          <t>2026-06-19</t>
        </is>
      </c>
      <c r="B336" t="inlineStr">
        <is>
          <t>159542</t>
        </is>
      </c>
      <c r="C336" t="inlineStr">
        <is>
          <t>工程机械ETF大成</t>
        </is>
      </c>
      <c r="D336" t="n">
        <v>1909.285</v>
      </c>
      <c r="E336" t="n">
        <v>2009.285</v>
      </c>
      <c r="F336" t="n">
        <v>1.4558</v>
      </c>
      <c r="G336" t="n">
        <v>-100</v>
      </c>
      <c r="H336" t="n">
        <v>0.277954</v>
      </c>
      <c r="I336" t="n">
        <v>0.289799</v>
      </c>
      <c r="J336" t="n">
        <v>-0.011845</v>
      </c>
      <c r="K336" s="4">
        <f>IFERROR(J336/I336,"")</f>
        <v/>
      </c>
      <c r="L336" s="4">
        <f>IFERROR((D336-E336)/E336,"")</f>
        <v/>
      </c>
    </row>
    <row r="337">
      <c r="A337" t="inlineStr">
        <is>
          <t>2026-06-19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4619.6551</v>
      </c>
      <c r="F337" t="n">
        <v>1.6491</v>
      </c>
      <c r="G337" t="n">
        <v>-400</v>
      </c>
      <c r="H337" t="n">
        <v>0.695863</v>
      </c>
      <c r="I337" t="n">
        <v>0.75961</v>
      </c>
      <c r="J337" t="n">
        <v>-0.063747</v>
      </c>
      <c r="K337" s="4">
        <f>IFERROR(J337/I337,"")</f>
        <v/>
      </c>
      <c r="L337" s="4">
        <f>IFERROR((D337-E337)/E337,"")</f>
        <v/>
      </c>
    </row>
    <row r="338">
      <c r="A338" t="inlineStr">
        <is>
          <t>2026-06-19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501760.3689</v>
      </c>
      <c r="E338" t="n">
        <v>501760.3689</v>
      </c>
      <c r="F338" t="n">
        <v>1.3323</v>
      </c>
      <c r="G338" t="n">
        <v>0</v>
      </c>
      <c r="H338" t="n">
        <v>66.84953400000001</v>
      </c>
      <c r="I338" t="n">
        <v>68.023653</v>
      </c>
      <c r="J338" t="n">
        <v>-1.174119</v>
      </c>
      <c r="K338" s="4">
        <f>IFERROR(J338/I338,"")</f>
        <v/>
      </c>
      <c r="L338" s="4">
        <f>IFERROR((D338-E338)/E338,"")</f>
        <v/>
      </c>
    </row>
    <row r="339">
      <c r="A339" t="inlineStr">
        <is>
          <t>2026-06-19</t>
        </is>
      </c>
      <c r="B339" t="inlineStr">
        <is>
          <t>159546</t>
        </is>
      </c>
      <c r="C339" t="inlineStr">
        <is>
          <t>集成电路ETF国泰</t>
        </is>
      </c>
      <c r="D339" t="n">
        <v>49992.7822</v>
      </c>
      <c r="E339" t="n">
        <v>46992.7822</v>
      </c>
      <c r="F339" t="n">
        <v>0.9322</v>
      </c>
      <c r="G339" t="n">
        <v>3000</v>
      </c>
      <c r="H339" t="n">
        <v>4.660327</v>
      </c>
      <c r="I339" t="n">
        <v>4.16544</v>
      </c>
      <c r="J339" t="n">
        <v>0.494887</v>
      </c>
      <c r="K339" s="4">
        <f>IFERROR(J339/I339,"")</f>
        <v/>
      </c>
      <c r="L339" s="4">
        <f>IFERROR((D339-E339)/E339,"")</f>
        <v/>
      </c>
    </row>
    <row r="340">
      <c r="A340" t="inlineStr">
        <is>
          <t>2026-06-19</t>
        </is>
      </c>
      <c r="B340" t="inlineStr">
        <is>
          <t>159547</t>
        </is>
      </c>
      <c r="C340" t="inlineStr">
        <is>
          <t>红利低波ETF华夏</t>
        </is>
      </c>
      <c r="D340" t="n">
        <v>124378.6075</v>
      </c>
      <c r="E340" t="n">
        <v>122828.6075</v>
      </c>
      <c r="F340" t="n">
        <v>1.1659</v>
      </c>
      <c r="G340" t="n">
        <v>1550</v>
      </c>
      <c r="H340" t="n">
        <v>14.501302</v>
      </c>
      <c r="I340" t="n">
        <v>14.391828</v>
      </c>
      <c r="J340" t="n">
        <v>0.109474</v>
      </c>
      <c r="K340" s="4">
        <f>IFERROR(J340/I340,"")</f>
        <v/>
      </c>
      <c r="L340" s="4">
        <f>IFERROR((D340-E340)/E340,"")</f>
        <v/>
      </c>
    </row>
    <row r="341">
      <c r="A341" t="inlineStr">
        <is>
          <t>2026-06-19</t>
        </is>
      </c>
      <c r="B341" t="inlineStr">
        <is>
          <t>159549</t>
        </is>
      </c>
      <c r="C341" t="inlineStr">
        <is>
          <t>红利低波ETF天弘</t>
        </is>
      </c>
      <c r="D341" t="n">
        <v>475452.3884</v>
      </c>
      <c r="E341" t="n">
        <v>472752.3884</v>
      </c>
      <c r="F341" t="n">
        <v>1.1605</v>
      </c>
      <c r="G341" t="n">
        <v>2700</v>
      </c>
      <c r="H341" t="n">
        <v>55.17625</v>
      </c>
      <c r="I341" t="n">
        <v>55.208024</v>
      </c>
      <c r="J341" t="n">
        <v>-0.031774</v>
      </c>
      <c r="K341" s="4">
        <f>IFERROR(J341/I341,"")</f>
        <v/>
      </c>
      <c r="L341" s="4">
        <f>IFERROR((D341-E341)/E341,"")</f>
        <v/>
      </c>
    </row>
    <row r="342">
      <c r="A342" t="inlineStr">
        <is>
          <t>2026-06-19</t>
        </is>
      </c>
      <c r="B342" t="inlineStr">
        <is>
          <t>159550</t>
        </is>
      </c>
      <c r="C342" t="inlineStr">
        <is>
          <t>互联网ETF东财</t>
        </is>
      </c>
      <c r="D342" t="n">
        <v>18182.8785</v>
      </c>
      <c r="E342" t="n">
        <v>18182.8785</v>
      </c>
      <c r="F342" t="n">
        <v>0.7815</v>
      </c>
      <c r="G342" t="n">
        <v>0</v>
      </c>
      <c r="H342" t="n">
        <v>1.420992</v>
      </c>
      <c r="I342" t="n">
        <v>1.42681</v>
      </c>
      <c r="J342" t="n">
        <v>-0.005818</v>
      </c>
      <c r="K342" s="4">
        <f>IFERROR(J342/I342,"")</f>
        <v/>
      </c>
      <c r="L342" s="4">
        <f>IFERROR((D342-E342)/E342,"")</f>
        <v/>
      </c>
    </row>
    <row r="343">
      <c r="A343" t="inlineStr">
        <is>
          <t>2026-06-19</t>
        </is>
      </c>
      <c r="B343" t="inlineStr">
        <is>
          <t>159551</t>
        </is>
      </c>
      <c r="C343" t="inlineStr">
        <is>
          <t>机器人ETF国泰</t>
        </is>
      </c>
      <c r="D343" t="n">
        <v>25892.0923</v>
      </c>
      <c r="E343" t="n">
        <v>26192.0923</v>
      </c>
      <c r="F343" t="n">
        <v>1.4787</v>
      </c>
      <c r="G343" t="n">
        <v>-300</v>
      </c>
      <c r="H343" t="n">
        <v>3.828664</v>
      </c>
      <c r="I343" t="n">
        <v>3.867786</v>
      </c>
      <c r="J343" t="n">
        <v>-0.039122</v>
      </c>
      <c r="K343" s="4">
        <f>IFERROR(J343/I343,"")</f>
        <v/>
      </c>
      <c r="L343" s="4">
        <f>IFERROR((D343-E343)/E343,"")</f>
        <v/>
      </c>
    </row>
    <row r="344">
      <c r="A344" t="inlineStr">
        <is>
          <t>2026-06-19</t>
        </is>
      </c>
      <c r="B344" t="inlineStr">
        <is>
          <t>159552</t>
        </is>
      </c>
      <c r="C344" t="inlineStr">
        <is>
          <t>中证2000增强ETF招商</t>
        </is>
      </c>
      <c r="D344" t="n">
        <v>41579.0319</v>
      </c>
      <c r="E344" t="n">
        <v>41579.0319</v>
      </c>
      <c r="F344" t="n">
        <v>2.3471</v>
      </c>
      <c r="G344" t="n">
        <v>0</v>
      </c>
      <c r="H344" t="n">
        <v>9.759015</v>
      </c>
      <c r="I344" t="n">
        <v>9.688746</v>
      </c>
      <c r="J344" t="n">
        <v>0.070269</v>
      </c>
      <c r="K344" s="4">
        <f>IFERROR(J344/I344,"")</f>
        <v/>
      </c>
      <c r="L344" s="4">
        <f>IFERROR((D344-E344)/E344,"")</f>
        <v/>
      </c>
    </row>
    <row r="345">
      <c r="A345" t="inlineStr">
        <is>
          <t>2026-06-19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1632.6751</v>
      </c>
      <c r="F345" t="n">
        <v>2.0386</v>
      </c>
      <c r="G345" t="n">
        <v>-100</v>
      </c>
      <c r="H345" t="n">
        <v>0.312451</v>
      </c>
      <c r="I345" t="n">
        <v>0.333343</v>
      </c>
      <c r="J345" t="n">
        <v>-0.020892</v>
      </c>
      <c r="K345" s="4">
        <f>IFERROR(J345/I345,"")</f>
        <v/>
      </c>
      <c r="L345" s="4">
        <f>IFERROR((D345-E345)/E345,"")</f>
        <v/>
      </c>
    </row>
    <row r="346">
      <c r="A346" t="inlineStr">
        <is>
          <t>2026-06-19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3746.2705</v>
      </c>
      <c r="F346" t="n">
        <v>1.8427</v>
      </c>
      <c r="G346" t="n">
        <v>-300</v>
      </c>
      <c r="H346" t="n">
        <v>0.6350440000000001</v>
      </c>
      <c r="I346" t="n">
        <v>0.689164</v>
      </c>
      <c r="J346" t="n">
        <v>-0.05412</v>
      </c>
      <c r="K346" s="4">
        <f>IFERROR(J346/I346,"")</f>
        <v/>
      </c>
      <c r="L346" s="4">
        <f>IFERROR((D346-E346)/E346,"")</f>
        <v/>
      </c>
    </row>
    <row r="347">
      <c r="A347" t="inlineStr">
        <is>
          <t>2026-06-19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1.3309</v>
      </c>
      <c r="G347" t="n">
        <v>0</v>
      </c>
      <c r="H347" t="n">
        <v>0.207036</v>
      </c>
      <c r="I347" t="n">
        <v>0.206927</v>
      </c>
      <c r="J347" t="n">
        <v>0.000109</v>
      </c>
      <c r="K347" s="4">
        <f>IFERROR(J347/I347,"")</f>
        <v/>
      </c>
      <c r="L347" s="4">
        <f>IFERROR((D347-E347)/E347,"")</f>
        <v/>
      </c>
    </row>
    <row r="348">
      <c r="A348" t="inlineStr">
        <is>
          <t>2026-06-19</t>
        </is>
      </c>
      <c r="B348" t="inlineStr">
        <is>
          <t>159557</t>
        </is>
      </c>
      <c r="C348" t="inlineStr">
        <is>
          <t>恒生医疗ETF嘉实</t>
        </is>
      </c>
      <c r="D348" t="n">
        <v>15589.4955</v>
      </c>
      <c r="E348" t="n">
        <v>15589.4955</v>
      </c>
      <c r="F348" t="n">
        <v>1.1741</v>
      </c>
      <c r="G348" t="n">
        <v>0</v>
      </c>
      <c r="H348" t="n">
        <v>1.830363</v>
      </c>
      <c r="I348" t="n">
        <v>1.854526</v>
      </c>
      <c r="J348" t="n">
        <v>-0.024163</v>
      </c>
      <c r="K348" s="4">
        <f>IFERROR(J348/I348,"")</f>
        <v/>
      </c>
      <c r="L348" s="4">
        <f>IFERROR((D348-E348)/E348,"")</f>
        <v/>
      </c>
    </row>
    <row r="349">
      <c r="A349" t="inlineStr">
        <is>
          <t>2026-06-19</t>
        </is>
      </c>
      <c r="B349" t="inlineStr">
        <is>
          <t>159558</t>
        </is>
      </c>
      <c r="C349" t="inlineStr">
        <is>
          <t>半导体设备ETF易方达</t>
        </is>
      </c>
      <c r="D349" t="n">
        <v>265385.4641</v>
      </c>
      <c r="E349" t="n">
        <v>254385.4641</v>
      </c>
      <c r="F349" t="n">
        <v>3.5106</v>
      </c>
      <c r="G349" t="n">
        <v>11000</v>
      </c>
      <c r="H349" t="n">
        <v>93.16622099999999</v>
      </c>
      <c r="I349" t="n">
        <v>83.217117</v>
      </c>
      <c r="J349" t="n">
        <v>9.949104</v>
      </c>
      <c r="K349" s="4">
        <f>IFERROR(J349/I349,"")</f>
        <v/>
      </c>
      <c r="L349" s="4">
        <f>IFERROR((D349-E349)/E349,"")</f>
        <v/>
      </c>
    </row>
    <row r="350">
      <c r="A350" t="inlineStr">
        <is>
          <t>2026-06-19</t>
        </is>
      </c>
      <c r="B350" t="inlineStr">
        <is>
          <t>159559</t>
        </is>
      </c>
      <c r="C350" t="inlineStr">
        <is>
          <t>机器人ETF景顺</t>
        </is>
      </c>
      <c r="D350" t="n">
        <v>162557.6622</v>
      </c>
      <c r="E350" t="n">
        <v>164257.6622</v>
      </c>
      <c r="F350" t="n">
        <v>1.4272</v>
      </c>
      <c r="G350" t="n">
        <v>-1700</v>
      </c>
      <c r="H350" t="n">
        <v>23.20023</v>
      </c>
      <c r="I350" t="n">
        <v>23.636678</v>
      </c>
      <c r="J350" t="n">
        <v>-0.436448</v>
      </c>
      <c r="K350" s="4">
        <f>IFERROR(J350/I350,"")</f>
        <v/>
      </c>
      <c r="L350" s="4">
        <f>IFERROR((D350-E350)/E350,"")</f>
        <v/>
      </c>
    </row>
    <row r="351">
      <c r="A351" t="inlineStr">
        <is>
          <t>2026-06-19</t>
        </is>
      </c>
      <c r="B351" t="inlineStr">
        <is>
          <t>159560</t>
        </is>
      </c>
      <c r="C351" t="inlineStr">
        <is>
          <t>芯片ETF景顺</t>
        </is>
      </c>
      <c r="D351" t="n">
        <v>15891.646</v>
      </c>
      <c r="E351" t="n">
        <v>15891.646</v>
      </c>
      <c r="F351" t="n">
        <v>2.609</v>
      </c>
      <c r="G351" t="n">
        <v>0</v>
      </c>
      <c r="H351" t="n">
        <v>4.14613</v>
      </c>
      <c r="I351" t="n">
        <v>3.913159</v>
      </c>
      <c r="J351" t="n">
        <v>0.232971</v>
      </c>
      <c r="K351" s="4">
        <f>IFERROR(J351/I351,"")</f>
        <v/>
      </c>
      <c r="L351" s="4">
        <f>IFERROR((D351-E351)/E351,"")</f>
        <v/>
      </c>
    </row>
    <row r="352">
      <c r="A352" t="inlineStr">
        <is>
          <t>2026-06-19</t>
        </is>
      </c>
      <c r="B352" t="inlineStr">
        <is>
          <t>159561</t>
        </is>
      </c>
      <c r="C352" t="inlineStr">
        <is>
          <t>德国ETF嘉实</t>
        </is>
      </c>
      <c r="D352" t="n">
        <v>158949.9489</v>
      </c>
      <c r="E352" t="n">
        <v>158949.9489</v>
      </c>
      <c r="F352" t="n">
        <v>1.3106</v>
      </c>
      <c r="G352" t="n">
        <v>0</v>
      </c>
      <c r="H352" t="n">
        <v>20.83198</v>
      </c>
      <c r="I352" t="n">
        <v>20.83198</v>
      </c>
      <c r="J352" t="n">
        <v>0</v>
      </c>
      <c r="K352" s="4">
        <f>IFERROR(J352/I352,"")</f>
        <v/>
      </c>
      <c r="L352" s="4">
        <f>IFERROR((D352-E352)/E352,"")</f>
        <v/>
      </c>
    </row>
    <row r="353">
      <c r="A353" t="inlineStr">
        <is>
          <t>2026-06-19</t>
        </is>
      </c>
      <c r="B353" t="inlineStr">
        <is>
          <t>159562</t>
        </is>
      </c>
      <c r="C353" t="inlineStr">
        <is>
          <t>黄金股ETF华夏</t>
        </is>
      </c>
      <c r="D353" t="n">
        <v>230813.0504</v>
      </c>
      <c r="E353" t="n">
        <v>230413.0504</v>
      </c>
      <c r="F353" t="n">
        <v>2.0575</v>
      </c>
      <c r="G353" t="n">
        <v>400</v>
      </c>
      <c r="H353" t="n">
        <v>47.489785</v>
      </c>
      <c r="I353" t="n">
        <v>47.386748</v>
      </c>
      <c r="J353" t="n">
        <v>0.103037</v>
      </c>
      <c r="K353" s="4">
        <f>IFERROR(J353/I353,"")</f>
        <v/>
      </c>
      <c r="L353" s="4">
        <f>IFERROR((D353-E353)/E353,"")</f>
        <v/>
      </c>
    </row>
    <row r="354">
      <c r="A354" t="inlineStr">
        <is>
          <t>2026-06-19</t>
        </is>
      </c>
      <c r="B354" t="inlineStr">
        <is>
          <t>159563</t>
        </is>
      </c>
      <c r="C354" t="inlineStr">
        <is>
          <t>创业板综ETF华夏</t>
        </is>
      </c>
      <c r="D354" t="n">
        <v>2136.0773</v>
      </c>
      <c r="E354" t="n">
        <v>2136.0773</v>
      </c>
      <c r="F354" t="n">
        <v>2.1158</v>
      </c>
      <c r="G354" t="n">
        <v>0</v>
      </c>
      <c r="H354" t="n">
        <v>0.451951</v>
      </c>
      <c r="I354" t="n">
        <v>0.447722</v>
      </c>
      <c r="J354" t="n">
        <v>0.004229</v>
      </c>
      <c r="K354" s="4">
        <f>IFERROR(J354/I354,"")</f>
        <v/>
      </c>
      <c r="L354" s="4">
        <f>IFERROR((D354-E354)/E354,"")</f>
        <v/>
      </c>
    </row>
    <row r="355">
      <c r="A355" t="inlineStr">
        <is>
          <t>2026-06-19</t>
        </is>
      </c>
      <c r="B355" t="inlineStr">
        <is>
          <t>159565</t>
        </is>
      </c>
      <c r="C355" t="inlineStr">
        <is>
          <t>汽车零部件ETF易方达</t>
        </is>
      </c>
      <c r="D355" t="n">
        <v>14262.7231</v>
      </c>
      <c r="E355" t="n">
        <v>14162.7231</v>
      </c>
      <c r="F355" t="n">
        <v>1.5094</v>
      </c>
      <c r="G355" t="n">
        <v>100</v>
      </c>
      <c r="H355" t="n">
        <v>2.152815</v>
      </c>
      <c r="I355" t="n">
        <v>2.138854</v>
      </c>
      <c r="J355" t="n">
        <v>0.013961</v>
      </c>
      <c r="K355" s="4">
        <f>IFERROR(J355/I355,"")</f>
        <v/>
      </c>
      <c r="L355" s="4">
        <f>IFERROR((D355-E355)/E355,"")</f>
        <v/>
      </c>
    </row>
    <row r="356">
      <c r="A356" t="inlineStr">
        <is>
          <t>2026-06-19</t>
        </is>
      </c>
      <c r="B356" t="inlineStr">
        <is>
          <t>159566</t>
        </is>
      </c>
      <c r="C356" t="inlineStr">
        <is>
          <t>储能电池ETF易方达</t>
        </is>
      </c>
      <c r="D356" t="n">
        <v>305273.9776</v>
      </c>
      <c r="E356" t="n">
        <v>303973.9776</v>
      </c>
      <c r="F356" t="n">
        <v>2.2956</v>
      </c>
      <c r="G356" t="n">
        <v>1300</v>
      </c>
      <c r="H356" t="n">
        <v>70.078694</v>
      </c>
      <c r="I356" t="n">
        <v>69.39725900000001</v>
      </c>
      <c r="J356" t="n">
        <v>0.681435</v>
      </c>
      <c r="K356" s="4">
        <f>IFERROR(J356/I356,"")</f>
        <v/>
      </c>
      <c r="L356" s="4">
        <f>IFERROR((D356-E356)/E356,"")</f>
        <v/>
      </c>
    </row>
    <row r="357">
      <c r="A357" t="inlineStr">
        <is>
          <t>2026-06-19</t>
        </is>
      </c>
      <c r="B357" t="inlineStr">
        <is>
          <t>159567</t>
        </is>
      </c>
      <c r="C357" t="inlineStr">
        <is>
          <t>港股创新药ETF银华</t>
        </is>
      </c>
      <c r="D357" t="n">
        <v>1057772.9726</v>
      </c>
      <c r="E357" t="n">
        <v>1057772.9726</v>
      </c>
      <c r="F357" t="n">
        <v>0.5901999999999999</v>
      </c>
      <c r="G357" t="n">
        <v>0</v>
      </c>
      <c r="H357" t="n">
        <v>62.429761</v>
      </c>
      <c r="I357" t="n">
        <v>63.551</v>
      </c>
      <c r="J357" t="n">
        <v>-1.121239</v>
      </c>
      <c r="K357" s="4">
        <f>IFERROR(J357/I357,"")</f>
        <v/>
      </c>
      <c r="L357" s="4">
        <f>IFERROR((D357-E357)/E357,"")</f>
        <v/>
      </c>
    </row>
    <row r="358">
      <c r="A358" t="inlineStr">
        <is>
          <t>2026-06-19</t>
        </is>
      </c>
      <c r="B358" t="inlineStr">
        <is>
          <t>159568</t>
        </is>
      </c>
      <c r="C358" t="inlineStr">
        <is>
          <t>港股互联网ETF博时</t>
        </is>
      </c>
      <c r="D358" t="n">
        <v>33685.7901</v>
      </c>
      <c r="E358" t="n">
        <v>33685.7901</v>
      </c>
      <c r="F358" t="n">
        <v>1.1467</v>
      </c>
      <c r="G358" t="n">
        <v>0</v>
      </c>
      <c r="H358" t="n">
        <v>3.86275</v>
      </c>
      <c r="I358" t="n">
        <v>3.889024</v>
      </c>
      <c r="J358" t="n">
        <v>-0.026274</v>
      </c>
      <c r="K358" s="4">
        <f>IFERROR(J358/I358,"")</f>
        <v/>
      </c>
      <c r="L358" s="4">
        <f>IFERROR((D358-E358)/E358,"")</f>
        <v/>
      </c>
    </row>
    <row r="359">
      <c r="A359" t="inlineStr">
        <is>
          <t>2026-06-19</t>
        </is>
      </c>
      <c r="B359" t="inlineStr">
        <is>
          <t>159569</t>
        </is>
      </c>
      <c r="C359" t="inlineStr">
        <is>
          <t>港股红利低波ETF景顺</t>
        </is>
      </c>
      <c r="D359" t="n">
        <v>33714.7241</v>
      </c>
      <c r="E359" t="n">
        <v>33714.7241</v>
      </c>
      <c r="F359" t="n">
        <v>1.3706</v>
      </c>
      <c r="G359" t="n">
        <v>0</v>
      </c>
      <c r="H359" t="n">
        <v>4.62094</v>
      </c>
      <c r="I359" t="n">
        <v>4.707924</v>
      </c>
      <c r="J359" t="n">
        <v>-0.08698400000000001</v>
      </c>
      <c r="K359" s="4">
        <f>IFERROR(J359/I359,"")</f>
        <v/>
      </c>
      <c r="L359" s="4">
        <f>IFERROR((D359-E359)/E359,"")</f>
        <v/>
      </c>
    </row>
    <row r="360">
      <c r="A360" t="inlineStr">
        <is>
          <t>2026-06-19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1585759.7142</v>
      </c>
      <c r="E360" t="n">
        <v>1590859.7142</v>
      </c>
      <c r="F360" t="n">
        <v>1.2203</v>
      </c>
      <c r="G360" t="n">
        <v>-5100</v>
      </c>
      <c r="H360" t="n">
        <v>193.510258</v>
      </c>
      <c r="I360" t="n">
        <v>197.600685</v>
      </c>
      <c r="J360" t="n">
        <v>-4.090427</v>
      </c>
      <c r="K360" s="4">
        <f>IFERROR(J360/I360,"")</f>
        <v/>
      </c>
      <c r="L360" s="4">
        <f>IFERROR((D360-E360)/E360,"")</f>
        <v/>
      </c>
    </row>
    <row r="361">
      <c r="A361" t="inlineStr">
        <is>
          <t>2026-06-19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1.6657</v>
      </c>
      <c r="G361" t="n">
        <v>0</v>
      </c>
      <c r="H361" t="n">
        <v>0.299523</v>
      </c>
      <c r="I361" t="n">
        <v>0.297131</v>
      </c>
      <c r="J361" t="n">
        <v>0.002392</v>
      </c>
      <c r="K361" s="4">
        <f>IFERROR(J361/I361,"")</f>
        <v/>
      </c>
      <c r="L361" s="4">
        <f>IFERROR((D361-E361)/E361,"")</f>
        <v/>
      </c>
    </row>
    <row r="362">
      <c r="A362" t="inlineStr">
        <is>
          <t>2026-06-19</t>
        </is>
      </c>
      <c r="B362" t="inlineStr">
        <is>
          <t>159572</t>
        </is>
      </c>
      <c r="C362" t="inlineStr">
        <is>
          <t>创业板200ETF易方达</t>
        </is>
      </c>
      <c r="D362" t="n">
        <v>18774.9107</v>
      </c>
      <c r="E362" t="n">
        <v>18974.9107</v>
      </c>
      <c r="F362" t="n">
        <v>1.6675</v>
      </c>
      <c r="G362" t="n">
        <v>-200</v>
      </c>
      <c r="H362" t="n">
        <v>3.130716</v>
      </c>
      <c r="I362" t="n">
        <v>3.13845</v>
      </c>
      <c r="J362" t="n">
        <v>-0.007734</v>
      </c>
      <c r="K362" s="4">
        <f>IFERROR(J362/I362,"")</f>
        <v/>
      </c>
      <c r="L362" s="4">
        <f>IFERROR((D362-E362)/E362,"")</f>
        <v/>
      </c>
    </row>
    <row r="363">
      <c r="A363" t="inlineStr">
        <is>
          <t>2026-06-19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1.6765</v>
      </c>
      <c r="G363" t="n">
        <v>0</v>
      </c>
      <c r="H363" t="n">
        <v>1.298555</v>
      </c>
      <c r="I363" t="n">
        <v>1.288098</v>
      </c>
      <c r="J363" t="n">
        <v>0.010457</v>
      </c>
      <c r="K363" s="4">
        <f>IFERROR(J363/I363,"")</f>
        <v/>
      </c>
      <c r="L363" s="4">
        <f>IFERROR((D363-E363)/E363,"")</f>
        <v/>
      </c>
    </row>
    <row r="364">
      <c r="A364" t="inlineStr">
        <is>
          <t>2026-06-19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1141.0425</v>
      </c>
      <c r="F364" t="n">
        <v>1.6322</v>
      </c>
      <c r="G364" t="n">
        <v>-200</v>
      </c>
      <c r="H364" t="n">
        <v>0.153597</v>
      </c>
      <c r="I364" t="n">
        <v>0.184746</v>
      </c>
      <c r="J364" t="n">
        <v>-0.031149</v>
      </c>
      <c r="K364" s="4">
        <f>IFERROR(J364/I364,"")</f>
        <v/>
      </c>
      <c r="L364" s="4">
        <f>IFERROR((D364-E364)/E364,"")</f>
        <v/>
      </c>
    </row>
    <row r="365">
      <c r="A365" t="inlineStr">
        <is>
          <t>2026-06-19</t>
        </is>
      </c>
      <c r="B365" t="inlineStr">
        <is>
          <t>159576</t>
        </is>
      </c>
      <c r="C365" t="inlineStr">
        <is>
          <t>深证100ETF广发</t>
        </is>
      </c>
      <c r="D365" t="n">
        <v>3450.9612</v>
      </c>
      <c r="E365" t="n">
        <v>3450.9612</v>
      </c>
      <c r="F365" t="n">
        <v>1.7464</v>
      </c>
      <c r="G365" t="n">
        <v>0</v>
      </c>
      <c r="H365" t="n">
        <v>0.602676</v>
      </c>
      <c r="I365" t="n">
        <v>0.595291</v>
      </c>
      <c r="J365" t="n">
        <v>0.007385</v>
      </c>
      <c r="K365" s="4">
        <f>IFERROR(J365/I365,"")</f>
        <v/>
      </c>
      <c r="L365" s="4">
        <f>IFERROR((D365-E365)/E365,"")</f>
        <v/>
      </c>
    </row>
    <row r="366">
      <c r="A366" t="inlineStr">
        <is>
          <t>2026-06-19</t>
        </is>
      </c>
      <c r="B366" t="inlineStr">
        <is>
          <t>159577</t>
        </is>
      </c>
      <c r="C366" t="inlineStr">
        <is>
          <t>美国50ETF汇添富</t>
        </is>
      </c>
      <c r="D366" t="n">
        <v>65966.5791</v>
      </c>
      <c r="E366" t="n">
        <v>65966.5791</v>
      </c>
      <c r="F366" t="n">
        <v>1.545</v>
      </c>
      <c r="G366" t="n">
        <v>0</v>
      </c>
      <c r="H366" t="n">
        <v>10.191836</v>
      </c>
      <c r="I366" t="n">
        <v>10.28287</v>
      </c>
      <c r="J366" t="n">
        <v>-0.091034</v>
      </c>
      <c r="K366" s="4">
        <f>IFERROR(J366/I366,"")</f>
        <v/>
      </c>
      <c r="L366" s="4">
        <f>IFERROR((D366-E366)/E366,"")</f>
        <v/>
      </c>
    </row>
    <row r="367">
      <c r="A367" t="inlineStr">
        <is>
          <t>2026-06-19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2199.8831</v>
      </c>
      <c r="F367" t="n">
        <v>1.1901</v>
      </c>
      <c r="G367" t="n">
        <v>-200</v>
      </c>
      <c r="H367" t="n">
        <v>0.238006</v>
      </c>
      <c r="I367" t="n">
        <v>0.25908</v>
      </c>
      <c r="J367" t="n">
        <v>-0.021074</v>
      </c>
      <c r="K367" s="4">
        <f>IFERROR(J367/I367,"")</f>
        <v/>
      </c>
      <c r="L367" s="4">
        <f>IFERROR((D367-E367)/E367,"")</f>
        <v/>
      </c>
    </row>
    <row r="368">
      <c r="A368" t="inlineStr">
        <is>
          <t>2026-06-19</t>
        </is>
      </c>
      <c r="B368" t="inlineStr">
        <is>
          <t>159581</t>
        </is>
      </c>
      <c r="C368" t="inlineStr">
        <is>
          <t>红利ETF万家</t>
        </is>
      </c>
      <c r="D368" t="n">
        <v>138222.5708</v>
      </c>
      <c r="E368" t="n">
        <v>137622.5708</v>
      </c>
      <c r="F368" t="n">
        <v>1.0306</v>
      </c>
      <c r="G368" t="n">
        <v>600</v>
      </c>
      <c r="H368" t="n">
        <v>14.245218</v>
      </c>
      <c r="I368" t="n">
        <v>14.3155</v>
      </c>
      <c r="J368" t="n">
        <v>-0.070282</v>
      </c>
      <c r="K368" s="4">
        <f>IFERROR(J368/I368,"")</f>
        <v/>
      </c>
      <c r="L368" s="4">
        <f>IFERROR((D368-E368)/E368,"")</f>
        <v/>
      </c>
    </row>
    <row r="369">
      <c r="A369" t="inlineStr">
        <is>
          <t>2026-06-19</t>
        </is>
      </c>
      <c r="B369" t="inlineStr">
        <is>
          <t>159582</t>
        </is>
      </c>
      <c r="C369" t="inlineStr">
        <is>
          <t>半导体ETF博时</t>
        </is>
      </c>
      <c r="D369" t="n">
        <v>11412.1621</v>
      </c>
      <c r="E369" t="n">
        <v>11412.1621</v>
      </c>
      <c r="F369" t="n">
        <v>3.9838</v>
      </c>
      <c r="G369" t="n">
        <v>0</v>
      </c>
      <c r="H369" t="n">
        <v>4.546377</v>
      </c>
      <c r="I369" t="n">
        <v>4.256166</v>
      </c>
      <c r="J369" t="n">
        <v>0.290211</v>
      </c>
      <c r="K369" s="4">
        <f>IFERROR(J369/I369,"")</f>
        <v/>
      </c>
      <c r="L369" s="4">
        <f>IFERROR((D369-E369)/E369,"")</f>
        <v/>
      </c>
    </row>
    <row r="370">
      <c r="A370" t="inlineStr">
        <is>
          <t>2026-06-19</t>
        </is>
      </c>
      <c r="B370" t="inlineStr">
        <is>
          <t>159583</t>
        </is>
      </c>
      <c r="C370" t="inlineStr">
        <is>
          <t>通信ETF富国</t>
        </is>
      </c>
      <c r="D370" t="n">
        <v>163459.2902</v>
      </c>
      <c r="E370" t="n">
        <v>163459.2902</v>
      </c>
      <c r="F370" t="n">
        <v>2.0528</v>
      </c>
      <c r="G370" t="n">
        <v>0</v>
      </c>
      <c r="H370" t="n">
        <v>33.554923</v>
      </c>
      <c r="I370" t="n">
        <v>33.12666</v>
      </c>
      <c r="J370" t="n">
        <v>0.428263</v>
      </c>
      <c r="K370" s="4">
        <f>IFERROR(J370/I370,"")</f>
        <v/>
      </c>
      <c r="L370" s="4">
        <f>IFERROR((D370-E370)/E370,"")</f>
        <v/>
      </c>
    </row>
    <row r="371">
      <c r="A371" t="inlineStr">
        <is>
          <t>2026-06-19</t>
        </is>
      </c>
      <c r="B371" t="inlineStr">
        <is>
          <t>159586</t>
        </is>
      </c>
      <c r="C371" t="inlineStr">
        <is>
          <t>计算机ETF南方</t>
        </is>
      </c>
      <c r="D371" t="n">
        <v>23402.5923</v>
      </c>
      <c r="E371" t="n">
        <v>23552.5923</v>
      </c>
      <c r="F371" t="n">
        <v>1.1066</v>
      </c>
      <c r="G371" t="n">
        <v>-150</v>
      </c>
      <c r="H371" t="n">
        <v>2.589731</v>
      </c>
      <c r="I371" t="n">
        <v>2.618106</v>
      </c>
      <c r="J371" t="n">
        <v>-0.028375</v>
      </c>
      <c r="K371" s="4">
        <f>IFERROR(J371/I371,"")</f>
        <v/>
      </c>
      <c r="L371" s="4">
        <f>IFERROR((D371-E371)/E371,"")</f>
        <v/>
      </c>
    </row>
    <row r="372">
      <c r="A372" t="inlineStr">
        <is>
          <t>2026-06-19</t>
        </is>
      </c>
      <c r="B372" t="inlineStr">
        <is>
          <t>159587</t>
        </is>
      </c>
      <c r="C372" t="inlineStr">
        <is>
          <t>粮食ETF广发</t>
        </is>
      </c>
      <c r="D372" t="n">
        <v>15044.7031</v>
      </c>
      <c r="E372" t="n">
        <v>14344.7031</v>
      </c>
      <c r="F372" t="n">
        <v>1.1424</v>
      </c>
      <c r="G372" t="n">
        <v>700</v>
      </c>
      <c r="H372" t="n">
        <v>1.718707</v>
      </c>
      <c r="I372" t="n">
        <v>1.66958</v>
      </c>
      <c r="J372" t="n">
        <v>0.049127</v>
      </c>
      <c r="K372" s="4">
        <f>IFERROR(J372/I372,"")</f>
        <v/>
      </c>
      <c r="L372" s="4">
        <f>IFERROR((D372-E372)/E372,"")</f>
        <v/>
      </c>
    </row>
    <row r="373">
      <c r="A373" t="inlineStr">
        <is>
          <t>2026-06-19</t>
        </is>
      </c>
      <c r="B373" t="inlineStr">
        <is>
          <t>159588</t>
        </is>
      </c>
      <c r="C373" t="inlineStr">
        <is>
          <t>石油ETF景顺</t>
        </is>
      </c>
      <c r="D373" t="n">
        <v>54728.4857</v>
      </c>
      <c r="E373" t="n">
        <v>55328.4857</v>
      </c>
      <c r="F373" t="n">
        <v>1.214</v>
      </c>
      <c r="G373" t="n">
        <v>-600</v>
      </c>
      <c r="H373" t="n">
        <v>6.644038</v>
      </c>
      <c r="I373" t="n">
        <v>6.679255</v>
      </c>
      <c r="J373" t="n">
        <v>-0.035217</v>
      </c>
      <c r="K373" s="4">
        <f>IFERROR(J373/I373,"")</f>
        <v/>
      </c>
      <c r="L373" s="4">
        <f>IFERROR((D373-E373)/E373,"")</f>
        <v/>
      </c>
    </row>
    <row r="374">
      <c r="A374" t="inlineStr">
        <is>
          <t>2026-06-19</t>
        </is>
      </c>
      <c r="B374" t="inlineStr">
        <is>
          <t>159589</t>
        </is>
      </c>
      <c r="C374" t="inlineStr">
        <is>
          <t>红利ETF广发</t>
        </is>
      </c>
      <c r="D374" t="n">
        <v>20359.0005</v>
      </c>
      <c r="E374" t="n">
        <v>20059.0005</v>
      </c>
      <c r="F374" t="n">
        <v>1.0564</v>
      </c>
      <c r="G374" t="n">
        <v>300</v>
      </c>
      <c r="H374" t="n">
        <v>2.150725</v>
      </c>
      <c r="I374" t="n">
        <v>2.138891</v>
      </c>
      <c r="J374" t="n">
        <v>0.011834</v>
      </c>
      <c r="K374" s="4">
        <f>IFERROR(J374/I374,"")</f>
        <v/>
      </c>
      <c r="L374" s="4">
        <f>IFERROR((D374-E374)/E374,"")</f>
        <v/>
      </c>
    </row>
    <row r="375">
      <c r="A375" t="inlineStr">
        <is>
          <t>2026-06-19</t>
        </is>
      </c>
      <c r="B375" t="inlineStr">
        <is>
          <t>159590</t>
        </is>
      </c>
      <c r="C375" t="inlineStr">
        <is>
          <t>软件ETF汇添富</t>
        </is>
      </c>
      <c r="D375" t="n">
        <v>63936.1746</v>
      </c>
      <c r="E375" t="n">
        <v>64436.1746</v>
      </c>
      <c r="F375" t="n">
        <v>0.9126</v>
      </c>
      <c r="G375" t="n">
        <v>-500</v>
      </c>
      <c r="H375" t="n">
        <v>5.834815</v>
      </c>
      <c r="I375" t="n">
        <v>5.899776</v>
      </c>
      <c r="J375" t="n">
        <v>-0.064961</v>
      </c>
      <c r="K375" s="4">
        <f>IFERROR(J375/I375,"")</f>
        <v/>
      </c>
      <c r="L375" s="4">
        <f>IFERROR((D375-E375)/E375,"")</f>
        <v/>
      </c>
    </row>
    <row r="376">
      <c r="A376" t="inlineStr">
        <is>
          <t>2026-06-19</t>
        </is>
      </c>
      <c r="B376" t="inlineStr">
        <is>
          <t>159591</t>
        </is>
      </c>
      <c r="C376" t="inlineStr">
        <is>
          <t>A50ETF富国</t>
        </is>
      </c>
      <c r="D376" t="n">
        <v>37440.5682</v>
      </c>
      <c r="E376" t="n">
        <v>36690.5682</v>
      </c>
      <c r="F376" t="n">
        <v>1.4079</v>
      </c>
      <c r="G376" t="n">
        <v>750</v>
      </c>
      <c r="H376" t="n">
        <v>5.271258</v>
      </c>
      <c r="I376" t="n">
        <v>5.145852</v>
      </c>
      <c r="J376" t="n">
        <v>0.125406</v>
      </c>
      <c r="K376" s="4">
        <f>IFERROR(J376/I376,"")</f>
        <v/>
      </c>
      <c r="L376" s="4">
        <f>IFERROR((D376-E376)/E376,"")</f>
        <v/>
      </c>
    </row>
    <row r="377">
      <c r="A377" t="inlineStr">
        <is>
          <t>2026-06-19</t>
        </is>
      </c>
      <c r="B377" t="inlineStr">
        <is>
          <t>159592</t>
        </is>
      </c>
      <c r="C377" t="inlineStr">
        <is>
          <t>A50ETF银华</t>
        </is>
      </c>
      <c r="D377" t="n">
        <v>65631.046</v>
      </c>
      <c r="E377" t="n">
        <v>66031.046</v>
      </c>
      <c r="F377" t="n">
        <v>1.3781</v>
      </c>
      <c r="G377" t="n">
        <v>-400</v>
      </c>
      <c r="H377" t="n">
        <v>9.044613999999999</v>
      </c>
      <c r="I377" t="n">
        <v>9.070024</v>
      </c>
      <c r="J377" t="n">
        <v>-0.02541</v>
      </c>
      <c r="K377" s="4">
        <f>IFERROR(J377/I377,"")</f>
        <v/>
      </c>
      <c r="L377" s="4">
        <f>IFERROR((D377-E377)/E377,"")</f>
        <v/>
      </c>
    </row>
    <row r="378">
      <c r="A378" t="inlineStr">
        <is>
          <t>2026-06-19</t>
        </is>
      </c>
      <c r="B378" t="inlineStr">
        <is>
          <t>159593</t>
        </is>
      </c>
      <c r="C378" t="inlineStr">
        <is>
          <t>中证A50ETF平安</t>
        </is>
      </c>
      <c r="D378" t="n">
        <v>190419.604</v>
      </c>
      <c r="E378" t="n">
        <v>190419.604</v>
      </c>
      <c r="F378" t="n">
        <v>1.3974</v>
      </c>
      <c r="G378" t="n">
        <v>0</v>
      </c>
      <c r="H378" t="n">
        <v>26.609235</v>
      </c>
      <c r="I378" t="n">
        <v>26.519738</v>
      </c>
      <c r="J378" t="n">
        <v>0.08949699999999999</v>
      </c>
      <c r="K378" s="4">
        <f>IFERROR(J378/I378,"")</f>
        <v/>
      </c>
      <c r="L378" s="4">
        <f>IFERROR((D378-E378)/E378,"")</f>
        <v/>
      </c>
    </row>
    <row r="379">
      <c r="A379" t="inlineStr">
        <is>
          <t>2026-06-19</t>
        </is>
      </c>
      <c r="B379" t="inlineStr">
        <is>
          <t>159595</t>
        </is>
      </c>
      <c r="C379" t="inlineStr">
        <is>
          <t>中证A50ETF大成</t>
        </is>
      </c>
      <c r="D379" t="n">
        <v>95311.32550000001</v>
      </c>
      <c r="E379" t="n">
        <v>95711.32550000001</v>
      </c>
      <c r="F379" t="n">
        <v>1.3991</v>
      </c>
      <c r="G379" t="n">
        <v>-400</v>
      </c>
      <c r="H379" t="n">
        <v>13.335008</v>
      </c>
      <c r="I379" t="n">
        <v>13.346944</v>
      </c>
      <c r="J379" t="n">
        <v>-0.011936</v>
      </c>
      <c r="K379" s="4">
        <f>IFERROR(J379/I379,"")</f>
        <v/>
      </c>
      <c r="L379" s="4">
        <f>IFERROR((D379-E379)/E379,"")</f>
        <v/>
      </c>
    </row>
    <row r="380">
      <c r="A380" t="inlineStr">
        <is>
          <t>2026-06-19</t>
        </is>
      </c>
      <c r="B380" t="inlineStr">
        <is>
          <t>159596</t>
        </is>
      </c>
      <c r="C380" t="inlineStr">
        <is>
          <t>A50ETF华宝</t>
        </is>
      </c>
      <c r="D380" t="n">
        <v>54568.304</v>
      </c>
      <c r="E380" t="n">
        <v>53368.304</v>
      </c>
      <c r="F380" t="n">
        <v>0.6709000000000001</v>
      </c>
      <c r="G380" t="n">
        <v>1200</v>
      </c>
      <c r="H380" t="n">
        <v>3.660988</v>
      </c>
      <c r="I380" t="n">
        <v>3.568738</v>
      </c>
      <c r="J380" t="n">
        <v>0.09225</v>
      </c>
      <c r="K380" s="4">
        <f>IFERROR(J380/I380,"")</f>
        <v/>
      </c>
      <c r="L380" s="4">
        <f>IFERROR((D380-E380)/E380,"")</f>
        <v/>
      </c>
    </row>
    <row r="381">
      <c r="A381" t="inlineStr">
        <is>
          <t>2026-06-19</t>
        </is>
      </c>
      <c r="B381" t="inlineStr">
        <is>
          <t>159597</t>
        </is>
      </c>
      <c r="C381" t="inlineStr">
        <is>
          <t>创业板成长ETF易方达</t>
        </is>
      </c>
      <c r="D381" t="n">
        <v>25185.2379</v>
      </c>
      <c r="E381" t="n">
        <v>25605.2379</v>
      </c>
      <c r="F381" t="n">
        <v>2.9257</v>
      </c>
      <c r="G381" t="n">
        <v>-420</v>
      </c>
      <c r="H381" t="n">
        <v>7.368445</v>
      </c>
      <c r="I381" t="n">
        <v>7.334108</v>
      </c>
      <c r="J381" t="n">
        <v>0.034337</v>
      </c>
      <c r="K381" s="4">
        <f>IFERROR(J381/I381,"")</f>
        <v/>
      </c>
      <c r="L381" s="4">
        <f>IFERROR((D381-E381)/E381,"")</f>
        <v/>
      </c>
    </row>
    <row r="382">
      <c r="A382" t="inlineStr">
        <is>
          <t>2026-06-19</t>
        </is>
      </c>
      <c r="B382" t="inlineStr">
        <is>
          <t>159599</t>
        </is>
      </c>
      <c r="C382" t="inlineStr">
        <is>
          <t>芯片ETF东财</t>
        </is>
      </c>
      <c r="D382" t="n">
        <v>44982.2066</v>
      </c>
      <c r="E382" t="n">
        <v>46032.2066</v>
      </c>
      <c r="F382" t="n">
        <v>3.2182</v>
      </c>
      <c r="G382" t="n">
        <v>-1050</v>
      </c>
      <c r="H382" t="n">
        <v>14.476174</v>
      </c>
      <c r="I382" t="n">
        <v>13.976299</v>
      </c>
      <c r="J382" t="n">
        <v>0.499875</v>
      </c>
      <c r="K382" s="4">
        <f>IFERROR(J382/I382,"")</f>
        <v/>
      </c>
      <c r="L382" s="4">
        <f>IFERROR((D382-E382)/E382,"")</f>
        <v/>
      </c>
    </row>
    <row r="383">
      <c r="A383" t="inlineStr">
        <is>
          <t>2026-06-19</t>
        </is>
      </c>
      <c r="B383" t="inlineStr">
        <is>
          <t>159600</t>
        </is>
      </c>
      <c r="C383" t="inlineStr">
        <is>
          <t>科创债ETF嘉实</t>
        </is>
      </c>
      <c r="D383" t="n">
        <v>25384.8913</v>
      </c>
      <c r="E383" t="n">
        <v>25384.8913</v>
      </c>
      <c r="F383" t="n">
        <v>101.1931</v>
      </c>
      <c r="G383" t="n">
        <v>0</v>
      </c>
      <c r="H383" t="n">
        <v>256.877584</v>
      </c>
      <c r="I383" t="n">
        <v>256.81793</v>
      </c>
      <c r="J383" t="n">
        <v>0.059654</v>
      </c>
      <c r="K383" s="4">
        <f>IFERROR(J383/I383,"")</f>
        <v/>
      </c>
      <c r="L383" s="4">
        <f>IFERROR((D383-E383)/E383,"")</f>
        <v/>
      </c>
    </row>
    <row r="384">
      <c r="A384" t="inlineStr">
        <is>
          <t>2026-06-19</t>
        </is>
      </c>
      <c r="B384" t="inlineStr">
        <is>
          <t>159601</t>
        </is>
      </c>
      <c r="C384" t="inlineStr">
        <is>
          <t>A50ETF华夏</t>
        </is>
      </c>
      <c r="D384" t="n">
        <v>133358.8073</v>
      </c>
      <c r="E384" t="n">
        <v>133878.8073</v>
      </c>
      <c r="F384" t="n">
        <v>1.1639</v>
      </c>
      <c r="G384" t="n">
        <v>-520</v>
      </c>
      <c r="H384" t="n">
        <v>15.521632</v>
      </c>
      <c r="I384" t="n">
        <v>15.517893</v>
      </c>
      <c r="J384" t="n">
        <v>0.003739</v>
      </c>
      <c r="K384" s="4">
        <f>IFERROR(J384/I384,"")</f>
        <v/>
      </c>
      <c r="L384" s="4">
        <f>IFERROR((D384-E384)/E384,"")</f>
        <v/>
      </c>
    </row>
    <row r="385">
      <c r="A385" t="inlineStr">
        <is>
          <t>2026-06-19</t>
        </is>
      </c>
      <c r="B385" t="inlineStr">
        <is>
          <t>159602</t>
        </is>
      </c>
      <c r="C385" t="inlineStr">
        <is>
          <t>中国A50ETF南方</t>
        </is>
      </c>
      <c r="D385" t="n">
        <v>41854.2944</v>
      </c>
      <c r="E385" t="n">
        <v>41654.2944</v>
      </c>
      <c r="F385" t="n">
        <v>1.1257</v>
      </c>
      <c r="G385" t="n">
        <v>200</v>
      </c>
      <c r="H385" t="n">
        <v>4.711538</v>
      </c>
      <c r="I385" t="n">
        <v>4.670279</v>
      </c>
      <c r="J385" t="n">
        <v>0.041259</v>
      </c>
      <c r="K385" s="4">
        <f>IFERROR(J385/I385,"")</f>
        <v/>
      </c>
      <c r="L385" s="4">
        <f>IFERROR((D385-E385)/E385,"")</f>
        <v/>
      </c>
    </row>
    <row r="386">
      <c r="A386" t="inlineStr">
        <is>
          <t>2026-06-19</t>
        </is>
      </c>
      <c r="B386" t="inlineStr">
        <is>
          <t>159603</t>
        </is>
      </c>
      <c r="C386" t="inlineStr">
        <is>
          <t>科创创业ETF天弘</t>
        </is>
      </c>
      <c r="D386" t="n">
        <v>217007.1922</v>
      </c>
      <c r="E386" t="n">
        <v>220207.1922</v>
      </c>
      <c r="F386" t="n">
        <v>2.0649</v>
      </c>
      <c r="G386" t="n">
        <v>-3200</v>
      </c>
      <c r="H386" t="n">
        <v>44.809815</v>
      </c>
      <c r="I386" t="n">
        <v>44.217604</v>
      </c>
      <c r="J386" t="n">
        <v>0.592211</v>
      </c>
      <c r="K386" s="4">
        <f>IFERROR(J386/I386,"")</f>
        <v/>
      </c>
      <c r="L386" s="4">
        <f>IFERROR((D386-E386)/E386,"")</f>
        <v/>
      </c>
    </row>
    <row r="387">
      <c r="A387" t="inlineStr">
        <is>
          <t>2026-06-19</t>
        </is>
      </c>
      <c r="B387" t="inlineStr">
        <is>
          <t>159605</t>
        </is>
      </c>
      <c r="C387" t="inlineStr">
        <is>
          <t>中概互联ETF广发</t>
        </is>
      </c>
      <c r="D387" t="n">
        <v>445848.6155</v>
      </c>
      <c r="E387" t="n">
        <v>444848.6155</v>
      </c>
      <c r="F387" t="n">
        <v>0.7929</v>
      </c>
      <c r="G387" t="n">
        <v>1000</v>
      </c>
      <c r="H387" t="n">
        <v>35.351337</v>
      </c>
      <c r="I387" t="n">
        <v>36.157295</v>
      </c>
      <c r="J387" t="n">
        <v>-0.805958</v>
      </c>
      <c r="K387" s="4">
        <f>IFERROR(J387/I387,"")</f>
        <v/>
      </c>
      <c r="L387" s="4">
        <f>IFERROR((D387-E387)/E387,"")</f>
        <v/>
      </c>
    </row>
    <row r="388">
      <c r="A388" t="inlineStr">
        <is>
          <t>2026-06-19</t>
        </is>
      </c>
      <c r="B388" t="inlineStr">
        <is>
          <t>159606</t>
        </is>
      </c>
      <c r="C388" t="inlineStr">
        <is>
          <t>中证500成长ETF易方达</t>
        </is>
      </c>
      <c r="D388" t="n">
        <v>30722.2838</v>
      </c>
      <c r="E388" t="n">
        <v>30822.2838</v>
      </c>
      <c r="F388" t="n">
        <v>1.3829</v>
      </c>
      <c r="G388" t="n">
        <v>-100</v>
      </c>
      <c r="H388" t="n">
        <v>4.248585</v>
      </c>
      <c r="I388" t="n">
        <v>4.214947</v>
      </c>
      <c r="J388" t="n">
        <v>0.033638</v>
      </c>
      <c r="K388" s="4">
        <f>IFERROR(J388/I388,"")</f>
        <v/>
      </c>
      <c r="L388" s="4">
        <f>IFERROR((D388-E388)/E388,"")</f>
        <v/>
      </c>
    </row>
    <row r="389">
      <c r="A389" t="inlineStr">
        <is>
          <t>2026-06-19</t>
        </is>
      </c>
      <c r="B389" t="inlineStr">
        <is>
          <t>159607</t>
        </is>
      </c>
      <c r="C389" t="inlineStr">
        <is>
          <t>中概互联网ETF嘉实</t>
        </is>
      </c>
      <c r="D389" t="n">
        <v>125182.9139</v>
      </c>
      <c r="E389" t="n">
        <v>125082.9139</v>
      </c>
      <c r="F389" t="n">
        <v>0.7921</v>
      </c>
      <c r="G389" t="n">
        <v>100</v>
      </c>
      <c r="H389" t="n">
        <v>9.915739</v>
      </c>
      <c r="I389" t="n">
        <v>10.162987</v>
      </c>
      <c r="J389" t="n">
        <v>-0.247248</v>
      </c>
      <c r="K389" s="4">
        <f>IFERROR(J389/I389,"")</f>
        <v/>
      </c>
      <c r="L389" s="4">
        <f>IFERROR((D389-E389)/E389,"")</f>
        <v/>
      </c>
    </row>
    <row r="390">
      <c r="A390" t="inlineStr">
        <is>
          <t>2026-06-19</t>
        </is>
      </c>
      <c r="B390" t="inlineStr">
        <is>
          <t>159608</t>
        </is>
      </c>
      <c r="C390" t="inlineStr">
        <is>
          <t>稀有金属ETF广发</t>
        </is>
      </c>
      <c r="D390" t="n">
        <v>335761.0066</v>
      </c>
      <c r="E390" t="n">
        <v>336881.0066</v>
      </c>
      <c r="F390" t="n">
        <v>1.3174</v>
      </c>
      <c r="G390" t="n">
        <v>-1120</v>
      </c>
      <c r="H390" t="n">
        <v>44.233155</v>
      </c>
      <c r="I390" t="n">
        <v>44.805174</v>
      </c>
      <c r="J390" t="n">
        <v>-0.5720190000000001</v>
      </c>
      <c r="K390" s="4">
        <f>IFERROR(J390/I390,"")</f>
        <v/>
      </c>
      <c r="L390" s="4">
        <f>IFERROR((D390-E390)/E390,"")</f>
        <v/>
      </c>
    </row>
    <row r="391">
      <c r="A391" t="inlineStr">
        <is>
          <t>2026-06-19</t>
        </is>
      </c>
      <c r="B391" t="inlineStr">
        <is>
          <t>159609</t>
        </is>
      </c>
      <c r="C391" t="inlineStr">
        <is>
          <t>光伏ETF浦银</t>
        </is>
      </c>
      <c r="D391" t="n">
        <v>31190.3414</v>
      </c>
      <c r="E391" t="n">
        <v>31190.3414</v>
      </c>
      <c r="F391" t="n">
        <v>0.5989</v>
      </c>
      <c r="G391" t="n">
        <v>0</v>
      </c>
      <c r="H391" t="n">
        <v>1.86799</v>
      </c>
      <c r="I391" t="n">
        <v>1.877035</v>
      </c>
      <c r="J391" t="n">
        <v>-0.009044999999999999</v>
      </c>
      <c r="K391" s="4">
        <f>IFERROR(J391/I391,"")</f>
        <v/>
      </c>
      <c r="L391" s="4">
        <f>IFERROR((D391-E391)/E391,"")</f>
        <v/>
      </c>
    </row>
    <row r="392">
      <c r="A392" t="inlineStr">
        <is>
          <t>2026-06-19</t>
        </is>
      </c>
      <c r="B392" t="inlineStr">
        <is>
          <t>159610</t>
        </is>
      </c>
      <c r="C392" t="inlineStr">
        <is>
          <t>中证500增强ETF景顺</t>
        </is>
      </c>
      <c r="D392" t="n">
        <v>13956.8207</v>
      </c>
      <c r="E392" t="n">
        <v>14056.8207</v>
      </c>
      <c r="F392" t="n">
        <v>1.3303</v>
      </c>
      <c r="G392" t="n">
        <v>-100</v>
      </c>
      <c r="H392" t="n">
        <v>1.856676</v>
      </c>
      <c r="I392" t="n">
        <v>1.841303</v>
      </c>
      <c r="J392" t="n">
        <v>0.015373</v>
      </c>
      <c r="K392" s="4">
        <f>IFERROR(J392/I392,"")</f>
        <v/>
      </c>
      <c r="L392" s="4">
        <f>IFERROR((D392-E392)/E392,"")</f>
        <v/>
      </c>
    </row>
    <row r="393">
      <c r="A393" t="inlineStr">
        <is>
          <t>2026-06-19</t>
        </is>
      </c>
      <c r="B393" t="inlineStr">
        <is>
          <t>159611</t>
        </is>
      </c>
      <c r="C393" t="inlineStr">
        <is>
          <t>电力ETF广发</t>
        </is>
      </c>
      <c r="D393" t="n">
        <v>862796.29</v>
      </c>
      <c r="E393" t="n">
        <v>918876.29</v>
      </c>
      <c r="F393" t="n">
        <v>1.1312</v>
      </c>
      <c r="G393" t="n">
        <v>-56080</v>
      </c>
      <c r="H393" t="n">
        <v>97.59951599999999</v>
      </c>
      <c r="I393" t="n">
        <v>104.770275</v>
      </c>
      <c r="J393" t="n">
        <v>-7.170759</v>
      </c>
      <c r="K393" s="4">
        <f>IFERROR(J393/I393,"")</f>
        <v/>
      </c>
      <c r="L393" s="4">
        <f>IFERROR((D393-E393)/E393,"")</f>
        <v/>
      </c>
    </row>
    <row r="394">
      <c r="A394" t="inlineStr">
        <is>
          <t>2026-06-19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1.8999</v>
      </c>
      <c r="G394" t="n">
        <v>0</v>
      </c>
      <c r="H394" t="n">
        <v>8.452629</v>
      </c>
      <c r="I394" t="n">
        <v>8.499344000000001</v>
      </c>
      <c r="J394" t="n">
        <v>-0.046715</v>
      </c>
      <c r="K394" s="4">
        <f>IFERROR(J394/I394,"")</f>
        <v/>
      </c>
      <c r="L394" s="4">
        <f>IFERROR((D394-E394)/E394,"")</f>
        <v/>
      </c>
    </row>
    <row r="395">
      <c r="A395" t="inlineStr">
        <is>
          <t>2026-06-19</t>
        </is>
      </c>
      <c r="B395" t="inlineStr">
        <is>
          <t>159613</t>
        </is>
      </c>
      <c r="C395" t="inlineStr">
        <is>
          <t>信息安全ETF嘉实</t>
        </is>
      </c>
      <c r="D395" t="n">
        <v>7959.0217</v>
      </c>
      <c r="E395" t="n">
        <v>8059.0217</v>
      </c>
      <c r="F395" t="n">
        <v>0.8763</v>
      </c>
      <c r="G395" t="n">
        <v>-100</v>
      </c>
      <c r="H395" t="n">
        <v>0.697449</v>
      </c>
      <c r="I395" t="n">
        <v>0.699442</v>
      </c>
      <c r="J395" t="n">
        <v>-0.001993</v>
      </c>
      <c r="K395" s="4">
        <f>IFERROR(J395/I395,"")</f>
        <v/>
      </c>
      <c r="L395" s="4">
        <f>IFERROR((D395-E395)/E395,"")</f>
        <v/>
      </c>
    </row>
    <row r="396">
      <c r="A396" t="inlineStr">
        <is>
          <t>2026-06-19</t>
        </is>
      </c>
      <c r="B396" t="inlineStr">
        <is>
          <t>159615</t>
        </is>
      </c>
      <c r="C396" t="inlineStr">
        <is>
          <t>恒生生物科技ETF南方</t>
        </is>
      </c>
      <c r="D396" t="n">
        <v>57905.4898</v>
      </c>
      <c r="E396" t="n">
        <v>57905.4898</v>
      </c>
      <c r="F396" t="n">
        <v>0.8832</v>
      </c>
      <c r="G396" t="n">
        <v>0</v>
      </c>
      <c r="H396" t="n">
        <v>5.114213</v>
      </c>
      <c r="I396" t="n">
        <v>5.185437</v>
      </c>
      <c r="J396" t="n">
        <v>-0.071224</v>
      </c>
      <c r="K396" s="4">
        <f>IFERROR(J396/I396,"")</f>
        <v/>
      </c>
      <c r="L396" s="4">
        <f>IFERROR((D396-E396)/E396,"")</f>
        <v/>
      </c>
    </row>
    <row r="397">
      <c r="A397" t="inlineStr">
        <is>
          <t>2026-06-19</t>
        </is>
      </c>
      <c r="B397" t="inlineStr">
        <is>
          <t>159616</t>
        </is>
      </c>
      <c r="C397" t="inlineStr">
        <is>
          <t>农牧ETF建信</t>
        </is>
      </c>
      <c r="D397" t="n">
        <v>7856.1112</v>
      </c>
      <c r="E397" t="n">
        <v>7856.1112</v>
      </c>
      <c r="F397" t="n">
        <v>0.7657</v>
      </c>
      <c r="G397" t="n">
        <v>0</v>
      </c>
      <c r="H397" t="n">
        <v>0.601542</v>
      </c>
      <c r="I397" t="n">
        <v>0.612384</v>
      </c>
      <c r="J397" t="n">
        <v>-0.010842</v>
      </c>
      <c r="K397" s="4">
        <f>IFERROR(J397/I397,"")</f>
        <v/>
      </c>
      <c r="L397" s="4">
        <f>IFERROR((D397-E397)/E397,"")</f>
        <v/>
      </c>
    </row>
    <row r="398">
      <c r="A398" t="inlineStr">
        <is>
          <t>2026-06-19</t>
        </is>
      </c>
      <c r="B398" t="inlineStr">
        <is>
          <t>159617</t>
        </is>
      </c>
      <c r="C398" t="inlineStr">
        <is>
          <t>中证500价值ETF华夏</t>
        </is>
      </c>
      <c r="D398" t="n">
        <v>2741.8382</v>
      </c>
      <c r="E398" t="n">
        <v>2741.8382</v>
      </c>
      <c r="F398" t="n">
        <v>1.3371</v>
      </c>
      <c r="G398" t="n">
        <v>0</v>
      </c>
      <c r="H398" t="n">
        <v>0.366611</v>
      </c>
      <c r="I398" t="n">
        <v>0.368805</v>
      </c>
      <c r="J398" t="n">
        <v>-0.002194</v>
      </c>
      <c r="K398" s="4">
        <f>IFERROR(J398/I398,"")</f>
        <v/>
      </c>
      <c r="L398" s="4">
        <f>IFERROR((D398-E398)/E398,"")</f>
        <v/>
      </c>
    </row>
    <row r="399">
      <c r="A399" t="inlineStr">
        <is>
          <t>2026-06-19</t>
        </is>
      </c>
      <c r="B399" t="inlineStr">
        <is>
          <t>159618</t>
        </is>
      </c>
      <c r="C399" t="inlineStr">
        <is>
          <t>光伏ETF华安</t>
        </is>
      </c>
      <c r="D399" t="n">
        <v>7013.1407</v>
      </c>
      <c r="E399" t="n">
        <v>7013.1407</v>
      </c>
      <c r="F399" t="n">
        <v>0.8122</v>
      </c>
      <c r="G399" t="n">
        <v>0</v>
      </c>
      <c r="H399" t="n">
        <v>0.569607</v>
      </c>
      <c r="I399" t="n">
        <v>0.572342</v>
      </c>
      <c r="J399" t="n">
        <v>-0.002735</v>
      </c>
      <c r="K399" s="4">
        <f>IFERROR(J399/I399,"")</f>
        <v/>
      </c>
      <c r="L399" s="4">
        <f>IFERROR((D399-E399)/E399,"")</f>
        <v/>
      </c>
    </row>
    <row r="400">
      <c r="A400" t="inlineStr">
        <is>
          <t>2026-06-19</t>
        </is>
      </c>
      <c r="B400" t="inlineStr">
        <is>
          <t>159619</t>
        </is>
      </c>
      <c r="C400" t="inlineStr">
        <is>
          <t>基建ETF国泰</t>
        </is>
      </c>
      <c r="D400" t="n">
        <v>8198.100700000001</v>
      </c>
      <c r="E400" t="n">
        <v>8198.100700000001</v>
      </c>
      <c r="F400" t="n">
        <v>0.9818</v>
      </c>
      <c r="G400" t="n">
        <v>0</v>
      </c>
      <c r="H400" t="n">
        <v>0.80489</v>
      </c>
      <c r="I400" t="n">
        <v>0.788001</v>
      </c>
      <c r="J400" t="n">
        <v>0.016889</v>
      </c>
      <c r="K400" s="4">
        <f>IFERROR(J400/I400,"")</f>
        <v/>
      </c>
      <c r="L400" s="4">
        <f>IFERROR((D400-E400)/E400,"")</f>
        <v/>
      </c>
    </row>
    <row r="401">
      <c r="A401" t="inlineStr">
        <is>
          <t>2026-06-19</t>
        </is>
      </c>
      <c r="B401" t="inlineStr">
        <is>
          <t>159620</t>
        </is>
      </c>
      <c r="C401" t="inlineStr">
        <is>
          <t>中证500成长ETF华夏</t>
        </is>
      </c>
      <c r="D401" t="n">
        <v>2714.0934</v>
      </c>
      <c r="E401" t="n">
        <v>2814.0934</v>
      </c>
      <c r="F401" t="n">
        <v>1.3503</v>
      </c>
      <c r="G401" t="n">
        <v>-100</v>
      </c>
      <c r="H401" t="n">
        <v>0.366484</v>
      </c>
      <c r="I401" t="n">
        <v>0.374725</v>
      </c>
      <c r="J401" t="n">
        <v>-0.008241</v>
      </c>
      <c r="K401" s="4">
        <f>IFERROR(J401/I401,"")</f>
        <v/>
      </c>
      <c r="L401" s="4">
        <f>IFERROR((D401-E401)/E401,"")</f>
        <v/>
      </c>
    </row>
    <row r="402">
      <c r="A402" t="inlineStr">
        <is>
          <t>2026-06-19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1.2033</v>
      </c>
      <c r="G402" t="n">
        <v>0</v>
      </c>
      <c r="H402" t="n">
        <v>0.137594</v>
      </c>
      <c r="I402" t="n">
        <v>0.136702</v>
      </c>
      <c r="J402" t="n">
        <v>0.000892</v>
      </c>
      <c r="K402" s="4">
        <f>IFERROR(J402/I402,"")</f>
        <v/>
      </c>
      <c r="L402" s="4">
        <f>IFERROR((D402-E402)/E402,"")</f>
        <v/>
      </c>
    </row>
    <row r="403">
      <c r="A403" t="inlineStr">
        <is>
          <t>2026-06-19</t>
        </is>
      </c>
      <c r="B403" t="inlineStr">
        <is>
          <t>159622</t>
        </is>
      </c>
      <c r="C403" t="inlineStr">
        <is>
          <t>创新药ETF东财</t>
        </is>
      </c>
      <c r="D403" t="n">
        <v>107060.3238</v>
      </c>
      <c r="E403" t="n">
        <v>106860.3238</v>
      </c>
      <c r="F403" t="n">
        <v>0.9085</v>
      </c>
      <c r="G403" t="n">
        <v>200</v>
      </c>
      <c r="H403" t="n">
        <v>9.726430000000001</v>
      </c>
      <c r="I403" t="n">
        <v>9.802298</v>
      </c>
      <c r="J403" t="n">
        <v>-0.075868</v>
      </c>
      <c r="K403" s="4">
        <f>IFERROR(J403/I403,"")</f>
        <v/>
      </c>
      <c r="L403" s="4">
        <f>IFERROR((D403-E403)/E403,"")</f>
        <v/>
      </c>
    </row>
    <row r="404">
      <c r="A404" t="inlineStr">
        <is>
          <t>2026-06-19</t>
        </is>
      </c>
      <c r="B404" t="inlineStr">
        <is>
          <t>159623</t>
        </is>
      </c>
      <c r="C404" t="inlineStr">
        <is>
          <t>成渝经济圈ETF博时</t>
        </is>
      </c>
      <c r="D404" t="n">
        <v>304927.1695</v>
      </c>
      <c r="E404" t="n">
        <v>306027.1695</v>
      </c>
      <c r="F404" t="n">
        <v>1.075</v>
      </c>
      <c r="G404" t="n">
        <v>-1100</v>
      </c>
      <c r="H404" t="n">
        <v>32.779671</v>
      </c>
      <c r="I404" t="n">
        <v>32.852017</v>
      </c>
      <c r="J404" t="n">
        <v>-0.07234599999999999</v>
      </c>
      <c r="K404" s="4">
        <f>IFERROR(J404/I404,"")</f>
        <v/>
      </c>
      <c r="L404" s="4">
        <f>IFERROR((D404-E404)/E404,"")</f>
        <v/>
      </c>
    </row>
    <row r="405">
      <c r="A405" t="inlineStr">
        <is>
          <t>2026-06-19</t>
        </is>
      </c>
      <c r="B405" t="inlineStr">
        <is>
          <t>159625</t>
        </is>
      </c>
      <c r="C405" t="inlineStr">
        <is>
          <t>绿色电力ETF嘉实</t>
        </is>
      </c>
      <c r="D405" t="n">
        <v>217451.3777</v>
      </c>
      <c r="E405" t="n">
        <v>217891.3777</v>
      </c>
      <c r="F405" t="n">
        <v>1.3022</v>
      </c>
      <c r="G405" t="n">
        <v>-440</v>
      </c>
      <c r="H405" t="n">
        <v>28.316518</v>
      </c>
      <c r="I405" t="n">
        <v>28.572096</v>
      </c>
      <c r="J405" t="n">
        <v>-0.255578</v>
      </c>
      <c r="K405" s="4">
        <f>IFERROR(J405/I405,"")</f>
        <v/>
      </c>
      <c r="L405" s="4">
        <f>IFERROR((D405-E405)/E405,"")</f>
        <v/>
      </c>
    </row>
    <row r="406">
      <c r="A406" t="inlineStr">
        <is>
          <t>2026-06-19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1.3839</v>
      </c>
      <c r="G406" t="n">
        <v>0</v>
      </c>
      <c r="H406" t="n">
        <v>0.264557</v>
      </c>
      <c r="I406" t="n">
        <v>0.261919</v>
      </c>
      <c r="J406" t="n">
        <v>0.002638</v>
      </c>
      <c r="K406" s="4">
        <f>IFERROR(J406/I406,"")</f>
        <v/>
      </c>
      <c r="L406" s="4">
        <f>IFERROR((D406-E406)/E406,"")</f>
        <v/>
      </c>
    </row>
    <row r="407">
      <c r="A407" t="inlineStr">
        <is>
          <t>2026-06-19</t>
        </is>
      </c>
      <c r="B407" t="inlineStr">
        <is>
          <t>159628</t>
        </is>
      </c>
      <c r="C407" t="inlineStr">
        <is>
          <t>国证2000ETF万家</t>
        </is>
      </c>
      <c r="D407" t="n">
        <v>21828.325</v>
      </c>
      <c r="E407" t="n">
        <v>23328.325</v>
      </c>
      <c r="F407" t="n">
        <v>1.5199</v>
      </c>
      <c r="G407" t="n">
        <v>-1500</v>
      </c>
      <c r="H407" t="n">
        <v>3.317687</v>
      </c>
      <c r="I407" t="n">
        <v>3.528642</v>
      </c>
      <c r="J407" t="n">
        <v>-0.210955</v>
      </c>
      <c r="K407" s="4">
        <f>IFERROR(J407/I407,"")</f>
        <v/>
      </c>
      <c r="L407" s="4">
        <f>IFERROR((D407-E407)/E407,"")</f>
        <v/>
      </c>
    </row>
    <row r="408">
      <c r="A408" t="inlineStr">
        <is>
          <t>2026-06-19</t>
        </is>
      </c>
      <c r="B408" t="inlineStr">
        <is>
          <t>159629</t>
        </is>
      </c>
      <c r="C408" t="inlineStr">
        <is>
          <t>中证1000ETF富国</t>
        </is>
      </c>
      <c r="D408" t="n">
        <v>35325.2663</v>
      </c>
      <c r="E408" t="n">
        <v>35525.2663</v>
      </c>
      <c r="F408" t="n">
        <v>3.6067</v>
      </c>
      <c r="G408" t="n">
        <v>-200</v>
      </c>
      <c r="H408" t="n">
        <v>12.740764</v>
      </c>
      <c r="I408" t="n">
        <v>12.720177</v>
      </c>
      <c r="J408" t="n">
        <v>0.020587</v>
      </c>
      <c r="K408" s="4">
        <f>IFERROR(J408/I408,"")</f>
        <v/>
      </c>
      <c r="L408" s="4">
        <f>IFERROR((D408-E408)/E408,"")</f>
        <v/>
      </c>
    </row>
    <row r="409">
      <c r="A409" t="inlineStr">
        <is>
          <t>2026-06-19</t>
        </is>
      </c>
      <c r="B409" t="inlineStr">
        <is>
          <t>159630</t>
        </is>
      </c>
      <c r="C409" t="inlineStr">
        <is>
          <t>A100ETF汇添富</t>
        </is>
      </c>
      <c r="D409" t="n">
        <v>911.3744</v>
      </c>
      <c r="E409" t="n">
        <v>911.3744</v>
      </c>
      <c r="F409" t="n">
        <v>1.4491</v>
      </c>
      <c r="G409" t="n">
        <v>0</v>
      </c>
      <c r="H409" t="n">
        <v>0.132067</v>
      </c>
      <c r="I409" t="n">
        <v>0.130764</v>
      </c>
      <c r="J409" t="n">
        <v>0.001303</v>
      </c>
      <c r="K409" s="4">
        <f>IFERROR(J409/I409,"")</f>
        <v/>
      </c>
      <c r="L409" s="4">
        <f>IFERROR((D409-E409)/E409,"")</f>
        <v/>
      </c>
    </row>
    <row r="410">
      <c r="A410" t="inlineStr">
        <is>
          <t>2026-06-19</t>
        </is>
      </c>
      <c r="B410" t="inlineStr">
        <is>
          <t>159631</t>
        </is>
      </c>
      <c r="C410" t="inlineStr">
        <is>
          <t>A100ETF招商</t>
        </is>
      </c>
      <c r="D410" t="n">
        <v>4133.2605</v>
      </c>
      <c r="E410" t="n">
        <v>4133.2605</v>
      </c>
      <c r="F410" t="n">
        <v>1.3259</v>
      </c>
      <c r="G410" t="n">
        <v>0</v>
      </c>
      <c r="H410" t="n">
        <v>0.548029</v>
      </c>
      <c r="I410" t="n">
        <v>0.542614</v>
      </c>
      <c r="J410" t="n">
        <v>0.005415</v>
      </c>
      <c r="K410" s="4">
        <f>IFERROR(J410/I410,"")</f>
        <v/>
      </c>
      <c r="L410" s="4">
        <f>IFERROR((D410-E410)/E410,"")</f>
        <v/>
      </c>
    </row>
    <row r="411">
      <c r="A411" t="inlineStr">
        <is>
          <t>2026-06-19</t>
        </is>
      </c>
      <c r="B411" t="inlineStr">
        <is>
          <t>159632</t>
        </is>
      </c>
      <c r="C411" t="inlineStr">
        <is>
          <t>纳斯达克ETF华安</t>
        </is>
      </c>
      <c r="D411" t="n">
        <v>483272.064</v>
      </c>
      <c r="E411" t="n">
        <v>483172.064</v>
      </c>
      <c r="F411" t="n">
        <v>2.3115</v>
      </c>
      <c r="G411" t="n">
        <v>100</v>
      </c>
      <c r="H411" t="n">
        <v>111.708338</v>
      </c>
      <c r="I411" t="n">
        <v>113.791853</v>
      </c>
      <c r="J411" t="n">
        <v>-2.083515</v>
      </c>
      <c r="K411" s="4">
        <f>IFERROR(J411/I411,"")</f>
        <v/>
      </c>
      <c r="L411" s="4">
        <f>IFERROR((D411-E411)/E411,"")</f>
        <v/>
      </c>
    </row>
    <row r="412">
      <c r="A412" t="inlineStr">
        <is>
          <t>2026-06-19</t>
        </is>
      </c>
      <c r="B412" t="inlineStr">
        <is>
          <t>159633</t>
        </is>
      </c>
      <c r="C412" t="inlineStr">
        <is>
          <t>中证1000ETF易方达</t>
        </is>
      </c>
      <c r="D412" t="n">
        <v>54216.2658</v>
      </c>
      <c r="E412" t="n">
        <v>55516.2658</v>
      </c>
      <c r="F412" t="n">
        <v>3.6958</v>
      </c>
      <c r="G412" t="n">
        <v>-1300</v>
      </c>
      <c r="H412" t="n">
        <v>20.037248</v>
      </c>
      <c r="I412" t="n">
        <v>20.37558</v>
      </c>
      <c r="J412" t="n">
        <v>-0.338332</v>
      </c>
      <c r="K412" s="4">
        <f>IFERROR(J412/I412,"")</f>
        <v/>
      </c>
      <c r="L412" s="4">
        <f>IFERROR((D412-E412)/E412,"")</f>
        <v/>
      </c>
    </row>
    <row r="413">
      <c r="A413" t="inlineStr">
        <is>
          <t>2026-06-19</t>
        </is>
      </c>
      <c r="B413" t="inlineStr">
        <is>
          <t>159635</t>
        </is>
      </c>
      <c r="C413" t="inlineStr">
        <is>
          <t>基建ETF华夏</t>
        </is>
      </c>
      <c r="D413" t="n">
        <v>13184.698</v>
      </c>
      <c r="E413" t="n">
        <v>13184.698</v>
      </c>
      <c r="F413" t="n">
        <v>1.0389</v>
      </c>
      <c r="G413" t="n">
        <v>0</v>
      </c>
      <c r="H413" t="n">
        <v>1.369758</v>
      </c>
      <c r="I413" t="n">
        <v>1.341279</v>
      </c>
      <c r="J413" t="n">
        <v>0.028479</v>
      </c>
      <c r="K413" s="4">
        <f>IFERROR(J413/I413,"")</f>
        <v/>
      </c>
      <c r="L413" s="4">
        <f>IFERROR((D413-E413)/E413,"")</f>
        <v/>
      </c>
    </row>
    <row r="414">
      <c r="A414" t="inlineStr">
        <is>
          <t>2026-06-19</t>
        </is>
      </c>
      <c r="B414" t="inlineStr">
        <is>
          <t>159636</t>
        </is>
      </c>
      <c r="C414" t="inlineStr">
        <is>
          <t>港股通科技30ETF工银</t>
        </is>
      </c>
      <c r="D414" t="n">
        <v>4496850.1206</v>
      </c>
      <c r="E414" t="n">
        <v>4526850.1206</v>
      </c>
      <c r="F414" t="n">
        <v>0.5049</v>
      </c>
      <c r="G414" t="n">
        <v>-30000</v>
      </c>
      <c r="H414" t="n">
        <v>227.045963</v>
      </c>
      <c r="I414" t="n">
        <v>228.787005</v>
      </c>
      <c r="J414" t="n">
        <v>-1.741042</v>
      </c>
      <c r="K414" s="4">
        <f>IFERROR(J414/I414,"")</f>
        <v/>
      </c>
      <c r="L414" s="4">
        <f>IFERROR((D414-E414)/E414,"")</f>
        <v/>
      </c>
    </row>
    <row r="415">
      <c r="A415" t="inlineStr">
        <is>
          <t>2026-06-19</t>
        </is>
      </c>
      <c r="B415" t="inlineStr">
        <is>
          <t>159637</t>
        </is>
      </c>
      <c r="C415" t="inlineStr">
        <is>
          <t>新能源车ETF东财</t>
        </is>
      </c>
      <c r="D415" t="n">
        <v>62376.8094</v>
      </c>
      <c r="E415" t="n">
        <v>62776.8094</v>
      </c>
      <c r="F415" t="n">
        <v>0.9688</v>
      </c>
      <c r="G415" t="n">
        <v>-400</v>
      </c>
      <c r="H415" t="n">
        <v>6.043065</v>
      </c>
      <c r="I415" t="n">
        <v>6.115717</v>
      </c>
      <c r="J415" t="n">
        <v>-0.07265199999999999</v>
      </c>
      <c r="K415" s="4">
        <f>IFERROR(J415/I415,"")</f>
        <v/>
      </c>
      <c r="L415" s="4">
        <f>IFERROR((D415-E415)/E415,"")</f>
        <v/>
      </c>
    </row>
    <row r="416">
      <c r="A416" t="inlineStr">
        <is>
          <t>2026-06-19</t>
        </is>
      </c>
      <c r="B416" t="inlineStr">
        <is>
          <t>159638</t>
        </is>
      </c>
      <c r="C416" t="inlineStr">
        <is>
          <t>高端装备ETF嘉实</t>
        </is>
      </c>
      <c r="D416" t="n">
        <v>145934.1932</v>
      </c>
      <c r="E416" t="n">
        <v>146434.1932</v>
      </c>
      <c r="F416" t="n">
        <v>0.9432</v>
      </c>
      <c r="G416" t="n">
        <v>-500</v>
      </c>
      <c r="H416" t="n">
        <v>13.764513</v>
      </c>
      <c r="I416" t="n">
        <v>13.697454</v>
      </c>
      <c r="J416" t="n">
        <v>0.06705899999999999</v>
      </c>
      <c r="K416" s="4">
        <f>IFERROR(J416/I416,"")</f>
        <v/>
      </c>
      <c r="L416" s="4">
        <f>IFERROR((D416-E416)/E416,"")</f>
        <v/>
      </c>
    </row>
    <row r="417">
      <c r="A417" t="inlineStr">
        <is>
          <t>2026-06-19</t>
        </is>
      </c>
      <c r="B417" t="inlineStr">
        <is>
          <t>159639</t>
        </is>
      </c>
      <c r="C417" t="inlineStr">
        <is>
          <t>碳中和ETF南方</t>
        </is>
      </c>
      <c r="D417" t="n">
        <v>21129.0171</v>
      </c>
      <c r="E417" t="n">
        <v>21129.0171</v>
      </c>
      <c r="F417" t="n">
        <v>1.0485</v>
      </c>
      <c r="G417" t="n">
        <v>0</v>
      </c>
      <c r="H417" t="n">
        <v>2.215377</v>
      </c>
      <c r="I417" t="n">
        <v>2.215166</v>
      </c>
      <c r="J417" t="n">
        <v>0.000211</v>
      </c>
      <c r="K417" s="4">
        <f>IFERROR(J417/I417,"")</f>
        <v/>
      </c>
      <c r="L417" s="4">
        <f>IFERROR((D417-E417)/E417,"")</f>
        <v/>
      </c>
    </row>
    <row r="418">
      <c r="A418" t="inlineStr">
        <is>
          <t>2026-06-19</t>
        </is>
      </c>
      <c r="B418" t="inlineStr">
        <is>
          <t>159640</t>
        </is>
      </c>
      <c r="C418" t="inlineStr">
        <is>
          <t>碳中和龙头ETF工银</t>
        </is>
      </c>
      <c r="D418" t="n">
        <v>6184.5198</v>
      </c>
      <c r="E418" t="n">
        <v>6184.5198</v>
      </c>
      <c r="F418" t="n">
        <v>1.0287</v>
      </c>
      <c r="G418" t="n">
        <v>0</v>
      </c>
      <c r="H418" t="n">
        <v>0.636202</v>
      </c>
      <c r="I418" t="n">
        <v>0.63614</v>
      </c>
      <c r="J418" t="n">
        <v>6.2e-05</v>
      </c>
      <c r="K418" s="4">
        <f>IFERROR(J418/I418,"")</f>
        <v/>
      </c>
      <c r="L418" s="4">
        <f>IFERROR((D418-E418)/E418,"")</f>
        <v/>
      </c>
    </row>
    <row r="419">
      <c r="A419" t="inlineStr">
        <is>
          <t>2026-06-19</t>
        </is>
      </c>
      <c r="B419" t="inlineStr">
        <is>
          <t>159641</t>
        </is>
      </c>
      <c r="C419" t="inlineStr">
        <is>
          <t>碳中和ETF招商</t>
        </is>
      </c>
      <c r="D419" t="n">
        <v>9271.9131</v>
      </c>
      <c r="E419" t="n">
        <v>9271.9131</v>
      </c>
      <c r="F419" t="n">
        <v>1.0911</v>
      </c>
      <c r="G419" t="n">
        <v>0</v>
      </c>
      <c r="H419" t="n">
        <v>1.011658</v>
      </c>
      <c r="I419" t="n">
        <v>1.011658</v>
      </c>
      <c r="J419" t="n">
        <v>0</v>
      </c>
      <c r="K419" s="4">
        <f>IFERROR(J419/I419,"")</f>
        <v/>
      </c>
      <c r="L419" s="4">
        <f>IFERROR((D419-E419)/E419,"")</f>
        <v/>
      </c>
    </row>
    <row r="420">
      <c r="A420" t="inlineStr">
        <is>
          <t>2026-06-19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1.0344</v>
      </c>
      <c r="G420" t="n">
        <v>0</v>
      </c>
      <c r="H420" t="n">
        <v>0.242463</v>
      </c>
      <c r="I420" t="n">
        <v>0.242416</v>
      </c>
      <c r="J420" t="n">
        <v>4.7e-05</v>
      </c>
      <c r="K420" s="4">
        <f>IFERROR(J420/I420,"")</f>
        <v/>
      </c>
      <c r="L420" s="4">
        <f>IFERROR((D420-E420)/E420,"")</f>
        <v/>
      </c>
    </row>
    <row r="421">
      <c r="A421" t="inlineStr">
        <is>
          <t>2026-06-19</t>
        </is>
      </c>
      <c r="B421" t="inlineStr">
        <is>
          <t>159643</t>
        </is>
      </c>
      <c r="C421" t="inlineStr">
        <is>
          <t>疫苗ETF国泰</t>
        </is>
      </c>
      <c r="D421" t="n">
        <v>28639.0617</v>
      </c>
      <c r="E421" t="n">
        <v>28639.0617</v>
      </c>
      <c r="F421" t="n">
        <v>0.4847</v>
      </c>
      <c r="G421" t="n">
        <v>0</v>
      </c>
      <c r="H421" t="n">
        <v>1.388135</v>
      </c>
      <c r="I421" t="n">
        <v>1.40045</v>
      </c>
      <c r="J421" t="n">
        <v>-0.012315</v>
      </c>
      <c r="K421" s="4">
        <f>IFERROR(J421/I421,"")</f>
        <v/>
      </c>
      <c r="L421" s="4">
        <f>IFERROR((D421-E421)/E421,"")</f>
        <v/>
      </c>
    </row>
    <row r="422">
      <c r="A422" t="inlineStr">
        <is>
          <t>2026-06-19</t>
        </is>
      </c>
      <c r="B422" t="inlineStr">
        <is>
          <t>159645</t>
        </is>
      </c>
      <c r="C422" t="inlineStr">
        <is>
          <t>疫苗ETF富国</t>
        </is>
      </c>
      <c r="D422" t="n">
        <v>6054.074</v>
      </c>
      <c r="E422" t="n">
        <v>6154.074</v>
      </c>
      <c r="F422" t="n">
        <v>0.5435</v>
      </c>
      <c r="G422" t="n">
        <v>-100</v>
      </c>
      <c r="H422" t="n">
        <v>0.329039</v>
      </c>
      <c r="I422" t="n">
        <v>0.337489</v>
      </c>
      <c r="J422" t="n">
        <v>-0.008449999999999999</v>
      </c>
      <c r="K422" s="4">
        <f>IFERROR(J422/I422,"")</f>
        <v/>
      </c>
      <c r="L422" s="4">
        <f>IFERROR((D422-E422)/E422,"")</f>
        <v/>
      </c>
    </row>
    <row r="423">
      <c r="A423" t="inlineStr">
        <is>
          <t>2026-06-19</t>
        </is>
      </c>
      <c r="B423" t="inlineStr">
        <is>
          <t>159647</t>
        </is>
      </c>
      <c r="C423" t="inlineStr">
        <is>
          <t>中药ETF鹏华</t>
        </is>
      </c>
      <c r="D423" t="n">
        <v>157146.1752</v>
      </c>
      <c r="E423" t="n">
        <v>157246.1752</v>
      </c>
      <c r="F423" t="n">
        <v>0.8372000000000001</v>
      </c>
      <c r="G423" t="n">
        <v>-100</v>
      </c>
      <c r="H423" t="n">
        <v>13.156278</v>
      </c>
      <c r="I423" t="n">
        <v>13.36278</v>
      </c>
      <c r="J423" t="n">
        <v>-0.206502</v>
      </c>
      <c r="K423" s="4">
        <f>IFERROR(J423/I423,"")</f>
        <v/>
      </c>
      <c r="L423" s="4">
        <f>IFERROR((D423-E423)/E423,"")</f>
        <v/>
      </c>
    </row>
    <row r="424">
      <c r="A424" t="inlineStr">
        <is>
          <t>2026-06-19</t>
        </is>
      </c>
      <c r="B424" t="inlineStr">
        <is>
          <t>159649</t>
        </is>
      </c>
      <c r="C424" t="inlineStr">
        <is>
          <t>国开债ETF华安</t>
        </is>
      </c>
      <c r="D424" t="n">
        <v>3026.1877</v>
      </c>
      <c r="E424" t="n">
        <v>3026.1877</v>
      </c>
      <c r="F424" t="n">
        <v>110.0149</v>
      </c>
      <c r="G424" t="n">
        <v>0</v>
      </c>
      <c r="H424" t="n">
        <v>33.292574</v>
      </c>
      <c r="I424" t="n">
        <v>33.282194</v>
      </c>
      <c r="J424" t="n">
        <v>0.01038</v>
      </c>
      <c r="K424" s="4">
        <f>IFERROR(J424/I424,"")</f>
        <v/>
      </c>
      <c r="L424" s="4">
        <f>IFERROR((D424-E424)/E424,"")</f>
        <v/>
      </c>
    </row>
    <row r="425">
      <c r="A425" t="inlineStr">
        <is>
          <t>2026-06-19</t>
        </is>
      </c>
      <c r="B425" t="inlineStr">
        <is>
          <t>159650</t>
        </is>
      </c>
      <c r="C425" t="inlineStr">
        <is>
          <t>国开债ETF博时</t>
        </is>
      </c>
      <c r="D425" t="n">
        <v>4961.4196</v>
      </c>
      <c r="E425" t="n">
        <v>4962.2196</v>
      </c>
      <c r="F425" t="n">
        <v>107.7164</v>
      </c>
      <c r="G425" t="n">
        <v>-0.8</v>
      </c>
      <c r="H425" t="n">
        <v>53.442626</v>
      </c>
      <c r="I425" t="n">
        <v>53.441964</v>
      </c>
      <c r="J425" t="n">
        <v>0.000662</v>
      </c>
      <c r="K425" s="4">
        <f>IFERROR(J425/I425,"")</f>
        <v/>
      </c>
      <c r="L425" s="4">
        <f>IFERROR((D425-E425)/E425,"")</f>
        <v/>
      </c>
    </row>
    <row r="426">
      <c r="A426" t="inlineStr">
        <is>
          <t>2026-06-19</t>
        </is>
      </c>
      <c r="B426" t="inlineStr">
        <is>
          <t>159651</t>
        </is>
      </c>
      <c r="C426" t="inlineStr">
        <is>
          <t>国开债ETF平安</t>
        </is>
      </c>
      <c r="D426" t="n">
        <v>1208.6448</v>
      </c>
      <c r="E426" t="n">
        <v>1159.2448</v>
      </c>
      <c r="F426" t="n">
        <v>107.8196</v>
      </c>
      <c r="G426" t="n">
        <v>49.4</v>
      </c>
      <c r="H426" t="n">
        <v>13.03156</v>
      </c>
      <c r="I426" t="n">
        <v>12.496636</v>
      </c>
      <c r="J426" t="n">
        <v>0.534924</v>
      </c>
      <c r="K426" s="4">
        <f>IFERROR(J426/I426,"")</f>
        <v/>
      </c>
      <c r="L426" s="4">
        <f>IFERROR((D426-E426)/E426,"")</f>
        <v/>
      </c>
    </row>
    <row r="427">
      <c r="A427" t="inlineStr">
        <is>
          <t>2026-06-19</t>
        </is>
      </c>
      <c r="B427" t="inlineStr">
        <is>
          <t>159652</t>
        </is>
      </c>
      <c r="C427" t="inlineStr">
        <is>
          <t>有色ETF汇添富</t>
        </is>
      </c>
      <c r="D427" t="n">
        <v>196632.0287</v>
      </c>
      <c r="E427" t="n">
        <v>199532.0287</v>
      </c>
      <c r="F427" t="n">
        <v>1.7287</v>
      </c>
      <c r="G427" t="n">
        <v>-2900</v>
      </c>
      <c r="H427" t="n">
        <v>33.991779</v>
      </c>
      <c r="I427" t="n">
        <v>34.584887</v>
      </c>
      <c r="J427" t="n">
        <v>-0.593108</v>
      </c>
      <c r="K427" s="4">
        <f>IFERROR(J427/I427,"")</f>
        <v/>
      </c>
      <c r="L427" s="4">
        <f>IFERROR((D427-E427)/E427,"")</f>
        <v/>
      </c>
    </row>
    <row r="428">
      <c r="A428" t="inlineStr">
        <is>
          <t>2026-06-19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1.2658</v>
      </c>
      <c r="G428" t="n">
        <v>0</v>
      </c>
      <c r="H428" t="n">
        <v>0.708494</v>
      </c>
      <c r="I428" t="n">
        <v>0.7039609999999999</v>
      </c>
      <c r="J428" t="n">
        <v>0.004533</v>
      </c>
      <c r="K428" s="4">
        <f>IFERROR(J428/I428,"")</f>
        <v/>
      </c>
      <c r="L428" s="4">
        <f>IFERROR((D428-E428)/E428,"")</f>
        <v/>
      </c>
    </row>
    <row r="429">
      <c r="A429" t="inlineStr">
        <is>
          <t>2026-06-19</t>
        </is>
      </c>
      <c r="B429" t="inlineStr">
        <is>
          <t>159655</t>
        </is>
      </c>
      <c r="C429" t="inlineStr">
        <is>
          <t>标普500ETF华夏</t>
        </is>
      </c>
      <c r="D429" t="n">
        <v>211814.3045</v>
      </c>
      <c r="E429" t="n">
        <v>211714.3045</v>
      </c>
      <c r="F429" t="n">
        <v>1.8486</v>
      </c>
      <c r="G429" t="n">
        <v>100</v>
      </c>
      <c r="H429" t="n">
        <v>39.155992</v>
      </c>
      <c r="I429" t="n">
        <v>39.359806</v>
      </c>
      <c r="J429" t="n">
        <v>-0.203814</v>
      </c>
      <c r="K429" s="4">
        <f>IFERROR(J429/I429,"")</f>
        <v/>
      </c>
      <c r="L429" s="4">
        <f>IFERROR((D429-E429)/E429,"")</f>
        <v/>
      </c>
    </row>
    <row r="430">
      <c r="A430" t="inlineStr">
        <is>
          <t>2026-06-19</t>
        </is>
      </c>
      <c r="B430" t="inlineStr">
        <is>
          <t>159656</t>
        </is>
      </c>
      <c r="C430" t="inlineStr">
        <is>
          <t>沪深300成长ETF万家</t>
        </is>
      </c>
      <c r="D430" t="n">
        <v>25823.8451</v>
      </c>
      <c r="E430" t="n">
        <v>26423.8451</v>
      </c>
      <c r="F430" t="n">
        <v>1.3303</v>
      </c>
      <c r="G430" t="n">
        <v>-600</v>
      </c>
      <c r="H430" t="n">
        <v>3.435346</v>
      </c>
      <c r="I430" t="n">
        <v>3.460731</v>
      </c>
      <c r="J430" t="n">
        <v>-0.025385</v>
      </c>
      <c r="K430" s="4">
        <f>IFERROR(J430/I430,"")</f>
        <v/>
      </c>
      <c r="L430" s="4">
        <f>IFERROR((D430-E430)/E430,"")</f>
        <v/>
      </c>
    </row>
    <row r="431">
      <c r="A431" t="inlineStr">
        <is>
          <t>2026-06-19</t>
        </is>
      </c>
      <c r="B431" t="inlineStr">
        <is>
          <t>159657</t>
        </is>
      </c>
      <c r="C431" t="inlineStr">
        <is>
          <t>疫苗ETF鹏华</t>
        </is>
      </c>
      <c r="D431" t="n">
        <v>17151.4819</v>
      </c>
      <c r="E431" t="n">
        <v>17351.4819</v>
      </c>
      <c r="F431" t="n">
        <v>0.5266</v>
      </c>
      <c r="G431" t="n">
        <v>-200</v>
      </c>
      <c r="H431" t="n">
        <v>0.903197</v>
      </c>
      <c r="I431" t="n">
        <v>0.922058</v>
      </c>
      <c r="J431" t="n">
        <v>-0.018861</v>
      </c>
      <c r="K431" s="4">
        <f>IFERROR(J431/I431,"")</f>
        <v/>
      </c>
      <c r="L431" s="4">
        <f>IFERROR((D431-E431)/E431,"")</f>
        <v/>
      </c>
    </row>
    <row r="432">
      <c r="A432" t="inlineStr">
        <is>
          <t>2026-06-19</t>
        </is>
      </c>
      <c r="B432" t="inlineStr">
        <is>
          <t>159658</t>
        </is>
      </c>
      <c r="C432" t="inlineStr">
        <is>
          <t>数字经济ETF华安</t>
        </is>
      </c>
      <c r="D432" t="n">
        <v>4439.4877</v>
      </c>
      <c r="E432" t="n">
        <v>4439.4877</v>
      </c>
      <c r="F432" t="n">
        <v>1.9636</v>
      </c>
      <c r="G432" t="n">
        <v>0</v>
      </c>
      <c r="H432" t="n">
        <v>0.871738</v>
      </c>
      <c r="I432" t="n">
        <v>0.833425</v>
      </c>
      <c r="J432" t="n">
        <v>0.038313</v>
      </c>
      <c r="K432" s="4">
        <f>IFERROR(J432/I432,"")</f>
        <v/>
      </c>
      <c r="L432" s="4">
        <f>IFERROR((D432-E432)/E432,"")</f>
        <v/>
      </c>
    </row>
    <row r="433">
      <c r="A433" t="inlineStr">
        <is>
          <t>2026-06-19</t>
        </is>
      </c>
      <c r="B433" t="inlineStr">
        <is>
          <t>159659</t>
        </is>
      </c>
      <c r="C433" t="inlineStr">
        <is>
          <t>纳斯达克100ETF招商</t>
        </is>
      </c>
      <c r="D433" t="n">
        <v>433274.4064</v>
      </c>
      <c r="E433" t="n">
        <v>433174.4064</v>
      </c>
      <c r="F433" t="n">
        <v>2.1939</v>
      </c>
      <c r="G433" t="n">
        <v>100</v>
      </c>
      <c r="H433" t="n">
        <v>95.056072</v>
      </c>
      <c r="I433" t="n">
        <v>96.82747500000001</v>
      </c>
      <c r="J433" t="n">
        <v>-1.771403</v>
      </c>
      <c r="K433" s="4">
        <f>IFERROR(J433/I433,"")</f>
        <v/>
      </c>
      <c r="L433" s="4">
        <f>IFERROR((D433-E433)/E433,"")</f>
        <v/>
      </c>
    </row>
    <row r="434">
      <c r="A434" t="inlineStr">
        <is>
          <t>2026-06-19</t>
        </is>
      </c>
      <c r="B434" t="inlineStr">
        <is>
          <t>159660</t>
        </is>
      </c>
      <c r="C434" t="inlineStr">
        <is>
          <t>纳指ETF汇添富</t>
        </is>
      </c>
      <c r="D434" t="n">
        <v>211515.1363</v>
      </c>
      <c r="E434" t="n">
        <v>211515.1363</v>
      </c>
      <c r="F434" t="n">
        <v>2.2252</v>
      </c>
      <c r="G434" t="n">
        <v>0</v>
      </c>
      <c r="H434" t="n">
        <v>47.066348</v>
      </c>
      <c r="I434" t="n">
        <v>47.956827</v>
      </c>
      <c r="J434" t="n">
        <v>-0.890479</v>
      </c>
      <c r="K434" s="4">
        <f>IFERROR(J434/I434,"")</f>
        <v/>
      </c>
      <c r="L434" s="4">
        <f>IFERROR((D434-E434)/E434,"")</f>
        <v/>
      </c>
    </row>
    <row r="435">
      <c r="A435" t="inlineStr">
        <is>
          <t>2026-06-19</t>
        </is>
      </c>
      <c r="B435" t="inlineStr">
        <is>
          <t>159661</t>
        </is>
      </c>
      <c r="C435" t="inlineStr">
        <is>
          <t>A100ETF嘉实</t>
        </is>
      </c>
      <c r="D435" t="n">
        <v>2870.8213</v>
      </c>
      <c r="E435" t="n">
        <v>2720.8213</v>
      </c>
      <c r="F435" t="n">
        <v>1.4937</v>
      </c>
      <c r="G435" t="n">
        <v>150</v>
      </c>
      <c r="H435" t="n">
        <v>0.428815</v>
      </c>
      <c r="I435" t="n">
        <v>0.402382</v>
      </c>
      <c r="J435" t="n">
        <v>0.026433</v>
      </c>
      <c r="K435" s="4">
        <f>IFERROR(J435/I435,"")</f>
        <v/>
      </c>
      <c r="L435" s="4">
        <f>IFERROR((D435-E435)/E435,"")</f>
        <v/>
      </c>
    </row>
    <row r="436">
      <c r="A436" t="inlineStr">
        <is>
          <t>2026-06-19</t>
        </is>
      </c>
      <c r="B436" t="inlineStr">
        <is>
          <t>159662</t>
        </is>
      </c>
      <c r="C436" t="inlineStr">
        <is>
          <t>交运ETF南方</t>
        </is>
      </c>
      <c r="D436" t="n">
        <v>7711.3946</v>
      </c>
      <c r="E436" t="n">
        <v>7711.3946</v>
      </c>
      <c r="F436" t="n">
        <v>0.9569</v>
      </c>
      <c r="G436" t="n">
        <v>0</v>
      </c>
      <c r="H436" t="n">
        <v>0.737903</v>
      </c>
      <c r="I436" t="n">
        <v>0.735513</v>
      </c>
      <c r="J436" t="n">
        <v>0.00239</v>
      </c>
      <c r="K436" s="4">
        <f>IFERROR(J436/I436,"")</f>
        <v/>
      </c>
      <c r="L436" s="4">
        <f>IFERROR((D436-E436)/E436,"")</f>
        <v/>
      </c>
    </row>
    <row r="437">
      <c r="A437" t="inlineStr">
        <is>
          <t>2026-06-19</t>
        </is>
      </c>
      <c r="B437" t="inlineStr">
        <is>
          <t>159663</t>
        </is>
      </c>
      <c r="C437" t="inlineStr">
        <is>
          <t>机床ETF华夏</t>
        </is>
      </c>
      <c r="D437" t="n">
        <v>21251.7585</v>
      </c>
      <c r="E437" t="n">
        <v>21451.7585</v>
      </c>
      <c r="F437" t="n">
        <v>2.6082</v>
      </c>
      <c r="G437" t="n">
        <v>-200</v>
      </c>
      <c r="H437" t="n">
        <v>5.542884</v>
      </c>
      <c r="I437" t="n">
        <v>5.534983</v>
      </c>
      <c r="J437" t="n">
        <v>0.007901</v>
      </c>
      <c r="K437" s="4">
        <f>IFERROR(J437/I437,"")</f>
        <v/>
      </c>
      <c r="L437" s="4">
        <f>IFERROR((D437-E437)/E437,"")</f>
        <v/>
      </c>
    </row>
    <row r="438">
      <c r="A438" t="inlineStr">
        <is>
          <t>2026-06-19</t>
        </is>
      </c>
      <c r="B438" t="inlineStr">
        <is>
          <t>159665</t>
        </is>
      </c>
      <c r="C438" t="inlineStr">
        <is>
          <t>半导体龙头ETF工银</t>
        </is>
      </c>
      <c r="D438" t="n">
        <v>15257.686</v>
      </c>
      <c r="E438" t="n">
        <v>15357.686</v>
      </c>
      <c r="F438" t="n">
        <v>2.8044</v>
      </c>
      <c r="G438" t="n">
        <v>-100</v>
      </c>
      <c r="H438" t="n">
        <v>4.278865</v>
      </c>
      <c r="I438" t="n">
        <v>4.064565</v>
      </c>
      <c r="J438" t="n">
        <v>0.2143</v>
      </c>
      <c r="K438" s="4">
        <f>IFERROR(J438/I438,"")</f>
        <v/>
      </c>
      <c r="L438" s="4">
        <f>IFERROR((D438-E438)/E438,"")</f>
        <v/>
      </c>
    </row>
    <row r="439">
      <c r="A439" t="inlineStr">
        <is>
          <t>2026-06-19</t>
        </is>
      </c>
      <c r="B439" t="inlineStr">
        <is>
          <t>159666</t>
        </is>
      </c>
      <c r="C439" t="inlineStr">
        <is>
          <t>交通运输ETF华夏</t>
        </is>
      </c>
      <c r="D439" t="n">
        <v>11083.2905</v>
      </c>
      <c r="E439" t="n">
        <v>11083.2905</v>
      </c>
      <c r="F439" t="n">
        <v>0.9557</v>
      </c>
      <c r="G439" t="n">
        <v>0</v>
      </c>
      <c r="H439" t="n">
        <v>1.05923</v>
      </c>
      <c r="I439" t="n">
        <v>1.055462</v>
      </c>
      <c r="J439" t="n">
        <v>0.003768</v>
      </c>
      <c r="K439" s="4">
        <f>IFERROR(J439/I439,"")</f>
        <v/>
      </c>
      <c r="L439" s="4">
        <f>IFERROR((D439-E439)/E439,"")</f>
        <v/>
      </c>
    </row>
    <row r="440">
      <c r="A440" t="inlineStr">
        <is>
          <t>2026-06-19</t>
        </is>
      </c>
      <c r="B440" t="inlineStr">
        <is>
          <t>159667</t>
        </is>
      </c>
      <c r="C440" t="inlineStr">
        <is>
          <t>工业母机ETF国泰</t>
        </is>
      </c>
      <c r="D440" t="n">
        <v>344405.0718</v>
      </c>
      <c r="E440" t="n">
        <v>332405.0718</v>
      </c>
      <c r="F440" t="n">
        <v>0.8747</v>
      </c>
      <c r="G440" t="n">
        <v>12000</v>
      </c>
      <c r="H440" t="n">
        <v>30.125112</v>
      </c>
      <c r="I440" t="n">
        <v>28.756363</v>
      </c>
      <c r="J440" t="n">
        <v>1.368749</v>
      </c>
      <c r="K440" s="4">
        <f>IFERROR(J440/I440,"")</f>
        <v/>
      </c>
      <c r="L440" s="4">
        <f>IFERROR((D440-E440)/E440,"")</f>
        <v/>
      </c>
    </row>
    <row r="441">
      <c r="A441" t="inlineStr">
        <is>
          <t>2026-06-19</t>
        </is>
      </c>
      <c r="B441" t="inlineStr">
        <is>
          <t>159669</t>
        </is>
      </c>
      <c r="C441" t="inlineStr">
        <is>
          <t>绿色电力ETF国泰</t>
        </is>
      </c>
      <c r="D441" t="n">
        <v>20425.4781</v>
      </c>
      <c r="E441" t="n">
        <v>20675.4781</v>
      </c>
      <c r="F441" t="n">
        <v>1.1952</v>
      </c>
      <c r="G441" t="n">
        <v>-250</v>
      </c>
      <c r="H441" t="n">
        <v>2.441253</v>
      </c>
      <c r="I441" t="n">
        <v>2.488707</v>
      </c>
      <c r="J441" t="n">
        <v>-0.047454</v>
      </c>
      <c r="K441" s="4">
        <f>IFERROR(J441/I441,"")</f>
        <v/>
      </c>
      <c r="L441" s="4">
        <f>IFERROR((D441-E441)/E441,"")</f>
        <v/>
      </c>
    </row>
    <row r="442">
      <c r="A442" t="inlineStr">
        <is>
          <t>2026-06-19</t>
        </is>
      </c>
      <c r="B442" t="inlineStr">
        <is>
          <t>159670</t>
        </is>
      </c>
      <c r="C442" t="inlineStr">
        <is>
          <t>消费50ETF国联安</t>
        </is>
      </c>
      <c r="D442" t="n">
        <v>5770.6921</v>
      </c>
      <c r="E442" t="n">
        <v>5970.6921</v>
      </c>
      <c r="F442" t="n">
        <v>0.8093</v>
      </c>
      <c r="G442" t="n">
        <v>-200</v>
      </c>
      <c r="H442" t="n">
        <v>0.467022</v>
      </c>
      <c r="I442" t="n">
        <v>0.487388</v>
      </c>
      <c r="J442" t="n">
        <v>-0.020366</v>
      </c>
      <c r="K442" s="4">
        <f>IFERROR(J442/I442,"")</f>
        <v/>
      </c>
      <c r="L442" s="4">
        <f>IFERROR((D442-E442)/E442,"")</f>
        <v/>
      </c>
    </row>
    <row r="443">
      <c r="A443" t="inlineStr">
        <is>
          <t>2026-06-19</t>
        </is>
      </c>
      <c r="B443" t="inlineStr">
        <is>
          <t>159671</t>
        </is>
      </c>
      <c r="C443" t="inlineStr">
        <is>
          <t>稀有金属ETF工银</t>
        </is>
      </c>
      <c r="D443" t="n">
        <v>100855.1737</v>
      </c>
      <c r="E443" t="n">
        <v>100805.1737</v>
      </c>
      <c r="F443" t="n">
        <v>1.6119</v>
      </c>
      <c r="G443" t="n">
        <v>50</v>
      </c>
      <c r="H443" t="n">
        <v>16.256845</v>
      </c>
      <c r="I443" t="n">
        <v>16.401002</v>
      </c>
      <c r="J443" t="n">
        <v>-0.144157</v>
      </c>
      <c r="K443" s="4">
        <f>IFERROR(J443/I443,"")</f>
        <v/>
      </c>
      <c r="L443" s="4">
        <f>IFERROR((D443-E443)/E443,"")</f>
        <v/>
      </c>
    </row>
    <row r="444">
      <c r="A444" t="inlineStr">
        <is>
          <t>2026-06-19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12988.7409</v>
      </c>
      <c r="F444" t="n">
        <v>0.5989</v>
      </c>
      <c r="G444" t="n">
        <v>0</v>
      </c>
      <c r="H444" t="n">
        <v>0.777896</v>
      </c>
      <c r="I444" t="n">
        <v>0.785039</v>
      </c>
      <c r="J444" t="n">
        <v>-0.007143</v>
      </c>
      <c r="K444" s="4">
        <f>IFERROR(J444/I444,"")</f>
        <v/>
      </c>
      <c r="L444" s="4">
        <f>IFERROR((D444-E444)/E444,"")</f>
        <v/>
      </c>
    </row>
    <row r="445">
      <c r="A445" t="inlineStr">
        <is>
          <t>2026-06-19</t>
        </is>
      </c>
      <c r="B445" t="inlineStr">
        <is>
          <t>159673</t>
        </is>
      </c>
      <c r="C445" t="inlineStr">
        <is>
          <t>沪深300ETF鹏华</t>
        </is>
      </c>
      <c r="D445" t="n">
        <v>134752.8385</v>
      </c>
      <c r="E445" t="n">
        <v>135552.8385</v>
      </c>
      <c r="F445" t="n">
        <v>1.3579</v>
      </c>
      <c r="G445" t="n">
        <v>-800</v>
      </c>
      <c r="H445" t="n">
        <v>18.298088</v>
      </c>
      <c r="I445" t="n">
        <v>18.230501</v>
      </c>
      <c r="J445" t="n">
        <v>0.06758699999999999</v>
      </c>
      <c r="K445" s="4">
        <f>IFERROR(J445/I445,"")</f>
        <v/>
      </c>
      <c r="L445" s="4">
        <f>IFERROR((D445-E445)/E445,"")</f>
        <v/>
      </c>
    </row>
    <row r="446">
      <c r="A446" t="inlineStr">
        <is>
          <t>2026-06-19</t>
        </is>
      </c>
      <c r="B446" t="inlineStr">
        <is>
          <t>159675</t>
        </is>
      </c>
      <c r="C446" t="inlineStr">
        <is>
          <t>创业板增强ETF嘉实</t>
        </is>
      </c>
      <c r="D446" t="n">
        <v>4884.6691</v>
      </c>
      <c r="E446" t="n">
        <v>4884.6691</v>
      </c>
      <c r="F446" t="n">
        <v>1.7303</v>
      </c>
      <c r="G446" t="n">
        <v>0</v>
      </c>
      <c r="H446" t="n">
        <v>0.845194</v>
      </c>
      <c r="I446" t="n">
        <v>0.832006</v>
      </c>
      <c r="J446" t="n">
        <v>0.013188</v>
      </c>
      <c r="K446" s="4">
        <f>IFERROR(J446/I446,"")</f>
        <v/>
      </c>
      <c r="L446" s="4">
        <f>IFERROR((D446-E446)/E446,"")</f>
        <v/>
      </c>
    </row>
    <row r="447">
      <c r="A447" t="inlineStr">
        <is>
          <t>2026-06-19</t>
        </is>
      </c>
      <c r="B447" t="inlineStr">
        <is>
          <t>159676</t>
        </is>
      </c>
      <c r="C447" t="inlineStr">
        <is>
          <t>创业板增强ETF富国</t>
        </is>
      </c>
      <c r="D447" t="n">
        <v>9656.418299999999</v>
      </c>
      <c r="E447" t="n">
        <v>9656.418299999999</v>
      </c>
      <c r="F447" t="n">
        <v>1.8219</v>
      </c>
      <c r="G447" t="n">
        <v>0</v>
      </c>
      <c r="H447" t="n">
        <v>1.759303</v>
      </c>
      <c r="I447" t="n">
        <v>1.740859</v>
      </c>
      <c r="J447" t="n">
        <v>0.018444</v>
      </c>
      <c r="K447" s="4">
        <f>IFERROR(J447/I447,"")</f>
        <v/>
      </c>
      <c r="L447" s="4">
        <f>IFERROR((D447-E447)/E447,"")</f>
        <v/>
      </c>
    </row>
    <row r="448">
      <c r="A448" t="inlineStr">
        <is>
          <t>2026-06-19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1.6185</v>
      </c>
      <c r="G448" t="n">
        <v>0</v>
      </c>
      <c r="H448" t="n">
        <v>0.483998</v>
      </c>
      <c r="I448" t="n">
        <v>0.479512</v>
      </c>
      <c r="J448" t="n">
        <v>0.004486</v>
      </c>
      <c r="K448" s="4">
        <f>IFERROR(J448/I448,"")</f>
        <v/>
      </c>
      <c r="L448" s="4">
        <f>IFERROR((D448-E448)/E448,"")</f>
        <v/>
      </c>
    </row>
    <row r="449">
      <c r="A449" t="inlineStr">
        <is>
          <t>2026-06-19</t>
        </is>
      </c>
      <c r="B449" t="inlineStr">
        <is>
          <t>159678</t>
        </is>
      </c>
      <c r="C449" t="inlineStr">
        <is>
          <t>500增强ETF博时</t>
        </is>
      </c>
      <c r="D449" t="n">
        <v>7714.3694</v>
      </c>
      <c r="E449" t="n">
        <v>7714.3694</v>
      </c>
      <c r="F449" t="n">
        <v>1.6697</v>
      </c>
      <c r="G449" t="n">
        <v>0</v>
      </c>
      <c r="H449" t="n">
        <v>1.288068</v>
      </c>
      <c r="I449" t="n">
        <v>1.266699</v>
      </c>
      <c r="J449" t="n">
        <v>0.021369</v>
      </c>
      <c r="K449" s="4">
        <f>IFERROR(J449/I449,"")</f>
        <v/>
      </c>
      <c r="L449" s="4">
        <f>IFERROR((D449-E449)/E449,"")</f>
        <v/>
      </c>
    </row>
    <row r="450">
      <c r="A450" t="inlineStr">
        <is>
          <t>2026-06-19</t>
        </is>
      </c>
      <c r="B450" t="inlineStr">
        <is>
          <t>159679</t>
        </is>
      </c>
      <c r="C450" t="inlineStr">
        <is>
          <t>中证1000增强ETF国泰</t>
        </is>
      </c>
      <c r="D450" t="n">
        <v>5248.9156</v>
      </c>
      <c r="E450" t="n">
        <v>5248.9156</v>
      </c>
      <c r="F450" t="n">
        <v>1.3684</v>
      </c>
      <c r="G450" t="n">
        <v>0</v>
      </c>
      <c r="H450" t="n">
        <v>0.718262</v>
      </c>
      <c r="I450" t="n">
        <v>0.716162</v>
      </c>
      <c r="J450" t="n">
        <v>0.0021</v>
      </c>
      <c r="K450" s="4">
        <f>IFERROR(J450/I450,"")</f>
        <v/>
      </c>
      <c r="L450" s="4">
        <f>IFERROR((D450-E450)/E450,"")</f>
        <v/>
      </c>
    </row>
    <row r="451">
      <c r="A451" t="inlineStr">
        <is>
          <t>2026-06-19</t>
        </is>
      </c>
      <c r="B451" t="inlineStr">
        <is>
          <t>159680</t>
        </is>
      </c>
      <c r="C451" t="inlineStr">
        <is>
          <t>中证1000增强ETF招商</t>
        </is>
      </c>
      <c r="D451" t="n">
        <v>75643.80869999999</v>
      </c>
      <c r="E451" t="n">
        <v>75643.80869999999</v>
      </c>
      <c r="F451" t="n">
        <v>1.8385</v>
      </c>
      <c r="G451" t="n">
        <v>0</v>
      </c>
      <c r="H451" t="n">
        <v>13.907114</v>
      </c>
      <c r="I451" t="n">
        <v>13.773225</v>
      </c>
      <c r="J451" t="n">
        <v>0.133889</v>
      </c>
      <c r="K451" s="4">
        <f>IFERROR(J451/I451,"")</f>
        <v/>
      </c>
      <c r="L451" s="4">
        <f>IFERROR((D451-E451)/E451,"")</f>
        <v/>
      </c>
    </row>
    <row r="452">
      <c r="A452" t="inlineStr">
        <is>
          <t>2026-06-19</t>
        </is>
      </c>
      <c r="B452" t="inlineStr">
        <is>
          <t>159681</t>
        </is>
      </c>
      <c r="C452" t="inlineStr">
        <is>
          <t>创业板50ETF鹏华</t>
        </is>
      </c>
      <c r="D452" t="n">
        <v>72977.2337</v>
      </c>
      <c r="E452" t="n">
        <v>71977.2337</v>
      </c>
      <c r="F452" t="n">
        <v>1.9747</v>
      </c>
      <c r="G452" t="n">
        <v>1000</v>
      </c>
      <c r="H452" t="n">
        <v>14.410814</v>
      </c>
      <c r="I452" t="n">
        <v>14.021885</v>
      </c>
      <c r="J452" t="n">
        <v>0.388929</v>
      </c>
      <c r="K452" s="4">
        <f>IFERROR(J452/I452,"")</f>
        <v/>
      </c>
      <c r="L452" s="4">
        <f>IFERROR((D452-E452)/E452,"")</f>
        <v/>
      </c>
    </row>
    <row r="453">
      <c r="A453" t="inlineStr">
        <is>
          <t>2026-06-19</t>
        </is>
      </c>
      <c r="B453" t="inlineStr">
        <is>
          <t>159682</t>
        </is>
      </c>
      <c r="C453" t="inlineStr">
        <is>
          <t>创业板50ETF景顺</t>
        </is>
      </c>
      <c r="D453" t="n">
        <v>213930.767</v>
      </c>
      <c r="E453" t="n">
        <v>218930.767</v>
      </c>
      <c r="F453" t="n">
        <v>1.9545</v>
      </c>
      <c r="G453" t="n">
        <v>-5000</v>
      </c>
      <c r="H453" t="n">
        <v>41.812768</v>
      </c>
      <c r="I453" t="n">
        <v>42.207663</v>
      </c>
      <c r="J453" t="n">
        <v>-0.394895</v>
      </c>
      <c r="K453" s="4">
        <f>IFERROR(J453/I453,"")</f>
        <v/>
      </c>
      <c r="L453" s="4">
        <f>IFERROR((D453-E453)/E453,"")</f>
        <v/>
      </c>
    </row>
    <row r="454">
      <c r="A454" t="inlineStr">
        <is>
          <t>2026-06-19</t>
        </is>
      </c>
      <c r="B454" t="inlineStr">
        <is>
          <t>159685</t>
        </is>
      </c>
      <c r="C454" t="inlineStr">
        <is>
          <t>1000增强ETF天弘</t>
        </is>
      </c>
      <c r="D454" t="n">
        <v>1544.0067</v>
      </c>
      <c r="E454" t="n">
        <v>1544.0067</v>
      </c>
      <c r="F454" t="n">
        <v>1.6138</v>
      </c>
      <c r="G454" t="n">
        <v>0</v>
      </c>
      <c r="H454" t="n">
        <v>0.249172</v>
      </c>
      <c r="I454" t="n">
        <v>0.246825</v>
      </c>
      <c r="J454" t="n">
        <v>0.002347</v>
      </c>
      <c r="K454" s="4">
        <f>IFERROR(J454/I454,"")</f>
        <v/>
      </c>
      <c r="L454" s="4">
        <f>IFERROR((D454-E454)/E454,"")</f>
        <v/>
      </c>
    </row>
    <row r="455">
      <c r="A455" t="inlineStr">
        <is>
          <t>2026-06-19</t>
        </is>
      </c>
      <c r="B455" t="inlineStr">
        <is>
          <t>159686</t>
        </is>
      </c>
      <c r="C455" t="inlineStr">
        <is>
          <t>A100ETF易方达</t>
        </is>
      </c>
      <c r="D455" t="n">
        <v>7581.5386</v>
      </c>
      <c r="E455" t="n">
        <v>7581.5386</v>
      </c>
      <c r="F455" t="n">
        <v>1.3502</v>
      </c>
      <c r="G455" t="n">
        <v>0</v>
      </c>
      <c r="H455" t="n">
        <v>1.023659</v>
      </c>
      <c r="I455" t="n">
        <v>1.013576</v>
      </c>
      <c r="J455" t="n">
        <v>0.010083</v>
      </c>
      <c r="K455" s="4">
        <f>IFERROR(J455/I455,"")</f>
        <v/>
      </c>
      <c r="L455" s="4">
        <f>IFERROR((D455-E455)/E455,"")</f>
        <v/>
      </c>
    </row>
    <row r="456">
      <c r="A456" t="inlineStr">
        <is>
          <t>2026-06-19</t>
        </is>
      </c>
      <c r="B456" t="inlineStr">
        <is>
          <t>159687</t>
        </is>
      </c>
      <c r="C456" t="inlineStr">
        <is>
          <t>亚太精选ETF南方</t>
        </is>
      </c>
      <c r="D456" t="n">
        <v>161392.8658</v>
      </c>
      <c r="E456" t="n">
        <v>160392.8658</v>
      </c>
      <c r="F456" t="n">
        <v>1.8807</v>
      </c>
      <c r="G456" t="n">
        <v>1000</v>
      </c>
      <c r="H456" t="n">
        <v>30.353156</v>
      </c>
      <c r="I456" t="n">
        <v>30.046396</v>
      </c>
      <c r="J456" t="n">
        <v>0.30676</v>
      </c>
      <c r="K456" s="4">
        <f>IFERROR(J456/I456,"")</f>
        <v/>
      </c>
      <c r="L456" s="4">
        <f>IFERROR((D456-E456)/E456,"")</f>
        <v/>
      </c>
    </row>
    <row r="457">
      <c r="A457" t="inlineStr">
        <is>
          <t>2026-06-19</t>
        </is>
      </c>
      <c r="B457" t="inlineStr">
        <is>
          <t>159688</t>
        </is>
      </c>
      <c r="C457" t="inlineStr">
        <is>
          <t>恒生互联网ETF华安</t>
        </is>
      </c>
      <c r="D457" t="n">
        <v>158627.848</v>
      </c>
      <c r="E457" t="n">
        <v>158627.848</v>
      </c>
      <c r="F457" t="n">
        <v>0.7741</v>
      </c>
      <c r="G457" t="n">
        <v>0</v>
      </c>
      <c r="H457" t="n">
        <v>12.279382</v>
      </c>
      <c r="I457" t="n">
        <v>12.266691</v>
      </c>
      <c r="J457" t="n">
        <v>0.012691</v>
      </c>
      <c r="K457" s="4">
        <f>IFERROR(J457/I457,"")</f>
        <v/>
      </c>
      <c r="L457" s="4">
        <f>IFERROR((D457-E457)/E457,"")</f>
        <v/>
      </c>
    </row>
    <row r="458">
      <c r="A458" t="inlineStr">
        <is>
          <t>2026-06-19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0.6008</v>
      </c>
      <c r="G458" t="n">
        <v>0</v>
      </c>
      <c r="H458" t="n">
        <v>0.50556</v>
      </c>
      <c r="I458" t="n">
        <v>0.5102719999999999</v>
      </c>
      <c r="J458" t="n">
        <v>-0.004712</v>
      </c>
      <c r="K458" s="4">
        <f>IFERROR(J458/I458,"")</f>
        <v/>
      </c>
      <c r="L458" s="4">
        <f>IFERROR((D458-E458)/E458,"")</f>
        <v/>
      </c>
    </row>
    <row r="459">
      <c r="A459" t="inlineStr">
        <is>
          <t>2026-06-19</t>
        </is>
      </c>
      <c r="B459" t="inlineStr">
        <is>
          <t>159690</t>
        </is>
      </c>
      <c r="C459" t="inlineStr">
        <is>
          <t>有色矿业ETF招商</t>
        </is>
      </c>
      <c r="D459" t="n">
        <v>30716.3978</v>
      </c>
      <c r="E459" t="n">
        <v>31016.3978</v>
      </c>
      <c r="F459" t="n">
        <v>2.1033</v>
      </c>
      <c r="G459" t="n">
        <v>-300</v>
      </c>
      <c r="H459" t="n">
        <v>6.46058</v>
      </c>
      <c r="I459" t="n">
        <v>6.539187</v>
      </c>
      <c r="J459" t="n">
        <v>-0.078607</v>
      </c>
      <c r="K459" s="4">
        <f>IFERROR(J459/I459,"")</f>
        <v/>
      </c>
      <c r="L459" s="4">
        <f>IFERROR((D459-E459)/E459,"")</f>
        <v/>
      </c>
    </row>
    <row r="460">
      <c r="A460" t="inlineStr">
        <is>
          <t>2026-06-19</t>
        </is>
      </c>
      <c r="B460" t="inlineStr">
        <is>
          <t>159691</t>
        </is>
      </c>
      <c r="C460" t="inlineStr">
        <is>
          <t>港股红利ETF工银</t>
        </is>
      </c>
      <c r="D460" t="n">
        <v>404530.1386</v>
      </c>
      <c r="E460" t="n">
        <v>405430.1386</v>
      </c>
      <c r="F460" t="n">
        <v>1.1905</v>
      </c>
      <c r="G460" t="n">
        <v>-900</v>
      </c>
      <c r="H460" t="n">
        <v>48.159313</v>
      </c>
      <c r="I460" t="n">
        <v>48.866495</v>
      </c>
      <c r="J460" t="n">
        <v>-0.707182</v>
      </c>
      <c r="K460" s="4">
        <f>IFERROR(J460/I460,"")</f>
        <v/>
      </c>
      <c r="L460" s="4">
        <f>IFERROR((D460-E460)/E460,"")</f>
        <v/>
      </c>
    </row>
    <row r="461">
      <c r="A461" t="inlineStr">
        <is>
          <t>2026-06-19</t>
        </is>
      </c>
      <c r="B461" t="inlineStr">
        <is>
          <t>159692</t>
        </is>
      </c>
      <c r="C461" t="inlineStr">
        <is>
          <t>证券ETF东财</t>
        </is>
      </c>
      <c r="D461" t="n">
        <v>112445.5969</v>
      </c>
      <c r="E461" t="n">
        <v>112545.5969</v>
      </c>
      <c r="F461" t="n">
        <v>1.2087</v>
      </c>
      <c r="G461" t="n">
        <v>-100</v>
      </c>
      <c r="H461" t="n">
        <v>13.591299</v>
      </c>
      <c r="I461" t="n">
        <v>13.615766</v>
      </c>
      <c r="J461" t="n">
        <v>-0.024467</v>
      </c>
      <c r="K461" s="4">
        <f>IFERROR(J461/I461,"")</f>
        <v/>
      </c>
      <c r="L461" s="4">
        <f>IFERROR((D461-E461)/E461,"")</f>
        <v/>
      </c>
    </row>
    <row r="462">
      <c r="A462" t="inlineStr">
        <is>
          <t>2026-06-19</t>
        </is>
      </c>
      <c r="B462" t="inlineStr">
        <is>
          <t>159695</t>
        </is>
      </c>
      <c r="C462" t="inlineStr">
        <is>
          <t>通信ETF嘉实</t>
        </is>
      </c>
      <c r="D462" t="n">
        <v>24681.2086</v>
      </c>
      <c r="E462" t="n">
        <v>25781.2086</v>
      </c>
      <c r="F462" t="n">
        <v>3.6191</v>
      </c>
      <c r="G462" t="n">
        <v>-1100</v>
      </c>
      <c r="H462" t="n">
        <v>8.932376</v>
      </c>
      <c r="I462" t="n">
        <v>9.206985</v>
      </c>
      <c r="J462" t="n">
        <v>-0.274609</v>
      </c>
      <c r="K462" s="4">
        <f>IFERROR(J462/I462,"")</f>
        <v/>
      </c>
      <c r="L462" s="4">
        <f>IFERROR((D462-E462)/E462,"")</f>
        <v/>
      </c>
    </row>
    <row r="463">
      <c r="A463" t="inlineStr">
        <is>
          <t>2026-06-19</t>
        </is>
      </c>
      <c r="B463" t="inlineStr">
        <is>
          <t>159696</t>
        </is>
      </c>
      <c r="C463" t="inlineStr">
        <is>
          <t>纳指ETF易方达</t>
        </is>
      </c>
      <c r="D463" t="n">
        <v>258282.4034</v>
      </c>
      <c r="E463" t="n">
        <v>257782.4034</v>
      </c>
      <c r="F463" t="n">
        <v>1.896</v>
      </c>
      <c r="G463" t="n">
        <v>500</v>
      </c>
      <c r="H463" t="n">
        <v>48.970344</v>
      </c>
      <c r="I463" t="n">
        <v>49.795827</v>
      </c>
      <c r="J463" t="n">
        <v>-0.825483</v>
      </c>
      <c r="K463" s="4">
        <f>IFERROR(J463/I463,"")</f>
        <v/>
      </c>
      <c r="L463" s="4">
        <f>IFERROR((D463-E463)/E463,"")</f>
        <v/>
      </c>
    </row>
    <row r="464">
      <c r="A464" t="inlineStr">
        <is>
          <t>2026-06-19</t>
        </is>
      </c>
      <c r="B464" t="inlineStr">
        <is>
          <t>159697</t>
        </is>
      </c>
      <c r="C464" t="inlineStr">
        <is>
          <t>石油ETF鹏华</t>
        </is>
      </c>
      <c r="D464" t="n">
        <v>127802.2006</v>
      </c>
      <c r="E464" t="n">
        <v>130102.2006</v>
      </c>
      <c r="F464" t="n">
        <v>1.286</v>
      </c>
      <c r="G464" t="n">
        <v>-2300</v>
      </c>
      <c r="H464" t="n">
        <v>16.435363</v>
      </c>
      <c r="I464" t="n">
        <v>16.634867</v>
      </c>
      <c r="J464" t="n">
        <v>-0.199504</v>
      </c>
      <c r="K464" s="4">
        <f>IFERROR(J464/I464,"")</f>
        <v/>
      </c>
      <c r="L464" s="4">
        <f>IFERROR((D464-E464)/E464,"")</f>
        <v/>
      </c>
    </row>
    <row r="465">
      <c r="A465" t="inlineStr">
        <is>
          <t>2026-06-19</t>
        </is>
      </c>
      <c r="B465" t="inlineStr">
        <is>
          <t>159698</t>
        </is>
      </c>
      <c r="C465" t="inlineStr">
        <is>
          <t>粮食ETF鹏华</t>
        </is>
      </c>
      <c r="D465" t="n">
        <v>103144.4378</v>
      </c>
      <c r="E465" t="n">
        <v>103244.4378</v>
      </c>
      <c r="F465" t="n">
        <v>0.8897</v>
      </c>
      <c r="G465" t="n">
        <v>-100</v>
      </c>
      <c r="H465" t="n">
        <v>9.176761000000001</v>
      </c>
      <c r="I465" t="n">
        <v>9.357043000000001</v>
      </c>
      <c r="J465" t="n">
        <v>-0.180282</v>
      </c>
      <c r="K465" s="4">
        <f>IFERROR(J465/I465,"")</f>
        <v/>
      </c>
      <c r="L465" s="4">
        <f>IFERROR((D465-E465)/E465,"")</f>
        <v/>
      </c>
    </row>
    <row r="466">
      <c r="A466" t="inlineStr">
        <is>
          <t>2026-06-19</t>
        </is>
      </c>
      <c r="B466" t="inlineStr">
        <is>
          <t>159699</t>
        </is>
      </c>
      <c r="C466" t="inlineStr">
        <is>
          <t>恒生消费ETF广发</t>
        </is>
      </c>
      <c r="D466" t="n">
        <v>56966.4255</v>
      </c>
      <c r="E466" t="n">
        <v>57166.4255</v>
      </c>
      <c r="F466" t="n">
        <v>0.8953</v>
      </c>
      <c r="G466" t="n">
        <v>-200</v>
      </c>
      <c r="H466" t="n">
        <v>5.100204</v>
      </c>
      <c r="I466" t="n">
        <v>5.197</v>
      </c>
      <c r="J466" t="n">
        <v>-0.09679599999999999</v>
      </c>
      <c r="K466" s="4">
        <f>IFERROR(J466/I466,"")</f>
        <v/>
      </c>
      <c r="L466" s="4">
        <f>IFERROR((D466-E466)/E466,"")</f>
        <v/>
      </c>
    </row>
    <row r="467">
      <c r="A467" t="inlineStr">
        <is>
          <t>2026-06-19</t>
        </is>
      </c>
      <c r="B467" t="inlineStr">
        <is>
          <t>159700</t>
        </is>
      </c>
      <c r="C467" t="inlineStr">
        <is>
          <t>科创债ETF南方</t>
        </is>
      </c>
      <c r="D467" t="n">
        <v>12950.9191</v>
      </c>
      <c r="E467" t="n">
        <v>12935.9191</v>
      </c>
      <c r="F467" t="n">
        <v>101.1867</v>
      </c>
      <c r="G467" t="n">
        <v>15</v>
      </c>
      <c r="H467" t="n">
        <v>131.046077</v>
      </c>
      <c r="I467" t="n">
        <v>130.866872</v>
      </c>
      <c r="J467" t="n">
        <v>0.179205</v>
      </c>
      <c r="K467" s="4">
        <f>IFERROR(J467/I467,"")</f>
        <v/>
      </c>
      <c r="L467" s="4">
        <f>IFERROR((D467-E467)/E467,"")</f>
        <v/>
      </c>
    </row>
    <row r="468">
      <c r="A468" t="inlineStr">
        <is>
          <t>2026-06-19</t>
        </is>
      </c>
      <c r="B468" t="inlineStr">
        <is>
          <t>159701</t>
        </is>
      </c>
      <c r="C468" t="inlineStr">
        <is>
          <t>物联网ETF招商</t>
        </is>
      </c>
      <c r="D468" t="n">
        <v>670.5601</v>
      </c>
      <c r="E468" t="n">
        <v>670.5601</v>
      </c>
      <c r="F468" t="n">
        <v>1.4657</v>
      </c>
      <c r="G468" t="n">
        <v>0</v>
      </c>
      <c r="H468" t="n">
        <v>0.098284</v>
      </c>
      <c r="I468" t="n">
        <v>0.095722</v>
      </c>
      <c r="J468" t="n">
        <v>0.002562</v>
      </c>
      <c r="K468" s="4">
        <f>IFERROR(J468/I468,"")</f>
        <v/>
      </c>
      <c r="L468" s="4">
        <f>IFERROR((D468-E468)/E468,"")</f>
        <v/>
      </c>
    </row>
    <row r="469">
      <c r="A469" t="inlineStr">
        <is>
          <t>2026-06-19</t>
        </is>
      </c>
      <c r="B469" t="inlineStr">
        <is>
          <t>159703</t>
        </is>
      </c>
      <c r="C469" t="inlineStr">
        <is>
          <t>新材料ETF天弘</t>
        </is>
      </c>
      <c r="D469" t="n">
        <v>5418.1591</v>
      </c>
      <c r="E469" t="n">
        <v>5418.1591</v>
      </c>
      <c r="F469" t="n">
        <v>1.0587</v>
      </c>
      <c r="G469" t="n">
        <v>0</v>
      </c>
      <c r="H469" t="n">
        <v>0.573621</v>
      </c>
      <c r="I469" t="n">
        <v>0.561592</v>
      </c>
      <c r="J469" t="n">
        <v>0.012029</v>
      </c>
      <c r="K469" s="4">
        <f>IFERROR(J469/I469,"")</f>
        <v/>
      </c>
      <c r="L469" s="4">
        <f>IFERROR((D469-E469)/E469,"")</f>
        <v/>
      </c>
    </row>
    <row r="470">
      <c r="A470" t="inlineStr">
        <is>
          <t>2026-06-19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1.0487</v>
      </c>
      <c r="G470" t="n">
        <v>0</v>
      </c>
      <c r="H470" t="n">
        <v>0.449754</v>
      </c>
      <c r="I470" t="n">
        <v>0.444221</v>
      </c>
      <c r="J470" t="n">
        <v>0.005533</v>
      </c>
      <c r="K470" s="4">
        <f>IFERROR(J470/I470,"")</f>
        <v/>
      </c>
      <c r="L470" s="4">
        <f>IFERROR((D470-E470)/E470,"")</f>
        <v/>
      </c>
    </row>
    <row r="471">
      <c r="A471" t="inlineStr">
        <is>
          <t>2026-06-19</t>
        </is>
      </c>
      <c r="B471" t="inlineStr">
        <is>
          <t>159707</t>
        </is>
      </c>
      <c r="C471" t="inlineStr">
        <is>
          <t>地产ETF华宝</t>
        </is>
      </c>
      <c r="D471" t="n">
        <v>115154.8214</v>
      </c>
      <c r="E471" t="n">
        <v>116104.8214</v>
      </c>
      <c r="F471" t="n">
        <v>0.4689</v>
      </c>
      <c r="G471" t="n">
        <v>-950</v>
      </c>
      <c r="H471" t="n">
        <v>5.39961</v>
      </c>
      <c r="I471" t="n">
        <v>5.461571</v>
      </c>
      <c r="J471" t="n">
        <v>-0.061961</v>
      </c>
      <c r="K471" s="4">
        <f>IFERROR(J471/I471,"")</f>
        <v/>
      </c>
      <c r="L471" s="4">
        <f>IFERROR((D471-E471)/E471,"")</f>
        <v/>
      </c>
    </row>
    <row r="472">
      <c r="A472" t="inlineStr">
        <is>
          <t>2026-06-19</t>
        </is>
      </c>
      <c r="B472" t="inlineStr">
        <is>
          <t>159708</t>
        </is>
      </c>
      <c r="C472" t="inlineStr">
        <is>
          <t>红利ETF西部利得</t>
        </is>
      </c>
      <c r="D472" t="n">
        <v>19152.8306</v>
      </c>
      <c r="E472" t="n">
        <v>19252.8306</v>
      </c>
      <c r="F472" t="n">
        <v>0.8128</v>
      </c>
      <c r="G472" t="n">
        <v>-100</v>
      </c>
      <c r="H472" t="n">
        <v>1.556742</v>
      </c>
      <c r="I472" t="n">
        <v>1.558132</v>
      </c>
      <c r="J472" t="n">
        <v>-0.00139</v>
      </c>
      <c r="K472" s="4">
        <f>IFERROR(J472/I472,"")</f>
        <v/>
      </c>
      <c r="L472" s="4">
        <f>IFERROR((D472-E472)/E472,"")</f>
        <v/>
      </c>
    </row>
    <row r="473">
      <c r="A473" t="inlineStr">
        <is>
          <t>2026-06-19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1.9559</v>
      </c>
      <c r="G473" t="n">
        <v>0</v>
      </c>
      <c r="H473" t="n">
        <v>0.420207</v>
      </c>
      <c r="I473" t="n">
        <v>0.40925</v>
      </c>
      <c r="J473" t="n">
        <v>0.010957</v>
      </c>
      <c r="K473" s="4">
        <f>IFERROR(J473/I473,"")</f>
        <v/>
      </c>
      <c r="L473" s="4">
        <f>IFERROR((D473-E473)/E473,"")</f>
        <v/>
      </c>
    </row>
    <row r="474">
      <c r="A474" t="inlineStr">
        <is>
          <t>2026-06-19</t>
        </is>
      </c>
      <c r="B474" t="inlineStr">
        <is>
          <t>159711</t>
        </is>
      </c>
      <c r="C474" t="inlineStr">
        <is>
          <t>港股通50ETF华夏</t>
        </is>
      </c>
      <c r="D474" t="n">
        <v>4846.5157</v>
      </c>
      <c r="E474" t="n">
        <v>4846.5157</v>
      </c>
      <c r="F474" t="n">
        <v>1.288</v>
      </c>
      <c r="G474" t="n">
        <v>0</v>
      </c>
      <c r="H474" t="n">
        <v>0.624231</v>
      </c>
      <c r="I474" t="n">
        <v>0.628593</v>
      </c>
      <c r="J474" t="n">
        <v>-0.004362</v>
      </c>
      <c r="K474" s="4">
        <f>IFERROR(J474/I474,"")</f>
        <v/>
      </c>
      <c r="L474" s="4">
        <f>IFERROR((D474-E474)/E474,"")</f>
        <v/>
      </c>
    </row>
    <row r="475">
      <c r="A475" t="inlineStr">
        <is>
          <t>2026-06-19</t>
        </is>
      </c>
      <c r="B475" t="inlineStr">
        <is>
          <t>159712</t>
        </is>
      </c>
      <c r="C475" t="inlineStr">
        <is>
          <t>港股通50ETF国泰</t>
        </is>
      </c>
      <c r="D475" t="n">
        <v>10677.8813</v>
      </c>
      <c r="E475" t="n">
        <v>10677.8813</v>
      </c>
      <c r="F475" t="n">
        <v>1.1981</v>
      </c>
      <c r="G475" t="n">
        <v>0</v>
      </c>
      <c r="H475" t="n">
        <v>1.279317</v>
      </c>
      <c r="I475" t="n">
        <v>1.288286</v>
      </c>
      <c r="J475" t="n">
        <v>-0.008969</v>
      </c>
      <c r="K475" s="4">
        <f>IFERROR(J475/I475,"")</f>
        <v/>
      </c>
      <c r="L475" s="4">
        <f>IFERROR((D475-E475)/E475,"")</f>
        <v/>
      </c>
    </row>
    <row r="476">
      <c r="A476" t="inlineStr">
        <is>
          <t>2026-06-19</t>
        </is>
      </c>
      <c r="B476" t="inlineStr">
        <is>
          <t>159713</t>
        </is>
      </c>
      <c r="C476" t="inlineStr">
        <is>
          <t>稀土ETF富国</t>
        </is>
      </c>
      <c r="D476" t="n">
        <v>60025.5051</v>
      </c>
      <c r="E476" t="n">
        <v>62475.5051</v>
      </c>
      <c r="F476" t="n">
        <v>1.5055</v>
      </c>
      <c r="G476" t="n">
        <v>-2450</v>
      </c>
      <c r="H476" t="n">
        <v>9.03684</v>
      </c>
      <c r="I476" t="n">
        <v>9.516268999999999</v>
      </c>
      <c r="J476" t="n">
        <v>-0.479429</v>
      </c>
      <c r="K476" s="4">
        <f>IFERROR(J476/I476,"")</f>
        <v/>
      </c>
      <c r="L476" s="4">
        <f>IFERROR((D476-E476)/E476,"")</f>
        <v/>
      </c>
    </row>
    <row r="477">
      <c r="A477" t="inlineStr">
        <is>
          <t>2026-06-19</t>
        </is>
      </c>
      <c r="B477" t="inlineStr">
        <is>
          <t>159715</t>
        </is>
      </c>
      <c r="C477" t="inlineStr">
        <is>
          <t>稀土ETF易方达</t>
        </is>
      </c>
      <c r="D477" t="n">
        <v>62053.0274</v>
      </c>
      <c r="E477" t="n">
        <v>58003.0274</v>
      </c>
      <c r="F477" t="n">
        <v>1.3813</v>
      </c>
      <c r="G477" t="n">
        <v>4050</v>
      </c>
      <c r="H477" t="n">
        <v>8.571384999999999</v>
      </c>
      <c r="I477" t="n">
        <v>8.107663000000001</v>
      </c>
      <c r="J477" t="n">
        <v>0.463722</v>
      </c>
      <c r="K477" s="4">
        <f>IFERROR(J477/I477,"")</f>
        <v/>
      </c>
      <c r="L477" s="4">
        <f>IFERROR((D477-E477)/E477,"")</f>
        <v/>
      </c>
    </row>
    <row r="478">
      <c r="A478" t="inlineStr">
        <is>
          <t>2026-06-19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1.2573</v>
      </c>
      <c r="G478" t="n">
        <v>0</v>
      </c>
      <c r="H478" t="n">
        <v>0.699898</v>
      </c>
      <c r="I478" t="n">
        <v>0.691325</v>
      </c>
      <c r="J478" t="n">
        <v>0.008573000000000001</v>
      </c>
      <c r="K478" s="4">
        <f>IFERROR(J478/I478,"")</f>
        <v/>
      </c>
      <c r="L478" s="4">
        <f>IFERROR((D478-E478)/E478,"")</f>
        <v/>
      </c>
    </row>
    <row r="479">
      <c r="A479" t="inlineStr">
        <is>
          <t>2026-06-19</t>
        </is>
      </c>
      <c r="B479" t="inlineStr">
        <is>
          <t>159717</t>
        </is>
      </c>
      <c r="C479" t="inlineStr">
        <is>
          <t>ESGETF鹏华</t>
        </is>
      </c>
      <c r="D479" t="n">
        <v>2537.3183</v>
      </c>
      <c r="E479" t="n">
        <v>2537.3183</v>
      </c>
      <c r="F479" t="n">
        <v>1.116</v>
      </c>
      <c r="G479" t="n">
        <v>0</v>
      </c>
      <c r="H479" t="n">
        <v>0.283165</v>
      </c>
      <c r="I479" t="n">
        <v>0.281262</v>
      </c>
      <c r="J479" t="n">
        <v>0.001903</v>
      </c>
      <c r="K479" s="4">
        <f>IFERROR(J479/I479,"")</f>
        <v/>
      </c>
      <c r="L479" s="4">
        <f>IFERROR((D479-E479)/E479,"")</f>
        <v/>
      </c>
    </row>
    <row r="480">
      <c r="A480" t="inlineStr">
        <is>
          <t>2026-06-19</t>
        </is>
      </c>
      <c r="B480" t="inlineStr">
        <is>
          <t>159718</t>
        </is>
      </c>
      <c r="C480" t="inlineStr">
        <is>
          <t>港股医药ETF平安</t>
        </is>
      </c>
      <c r="D480" t="n">
        <v>22883.2634</v>
      </c>
      <c r="E480" t="n">
        <v>22883.2634</v>
      </c>
      <c r="F480" t="n">
        <v>0.7065</v>
      </c>
      <c r="G480" t="n">
        <v>0</v>
      </c>
      <c r="H480" t="n">
        <v>1.616703</v>
      </c>
      <c r="I480" t="n">
        <v>1.63867</v>
      </c>
      <c r="J480" t="n">
        <v>-0.021967</v>
      </c>
      <c r="K480" s="4">
        <f>IFERROR(J480/I480,"")</f>
        <v/>
      </c>
      <c r="L480" s="4">
        <f>IFERROR((D480-E480)/E480,"")</f>
        <v/>
      </c>
    </row>
    <row r="481">
      <c r="A481" t="inlineStr">
        <is>
          <t>2026-06-19</t>
        </is>
      </c>
      <c r="B481" t="inlineStr">
        <is>
          <t>159719</t>
        </is>
      </c>
      <c r="C481" t="inlineStr">
        <is>
          <t>国企ETF平安</t>
        </is>
      </c>
      <c r="D481" t="n">
        <v>2419.5986</v>
      </c>
      <c r="E481" t="n">
        <v>2419.5986</v>
      </c>
      <c r="F481" t="n">
        <v>1.5371</v>
      </c>
      <c r="G481" t="n">
        <v>0</v>
      </c>
      <c r="H481" t="n">
        <v>0.371917</v>
      </c>
      <c r="I481" t="n">
        <v>0.372497</v>
      </c>
      <c r="J481" t="n">
        <v>-0.00058</v>
      </c>
      <c r="K481" s="4">
        <f>IFERROR(J481/I481,"")</f>
        <v/>
      </c>
      <c r="L481" s="4">
        <f>IFERROR((D481-E481)/E481,"")</f>
        <v/>
      </c>
    </row>
    <row r="482">
      <c r="A482" t="inlineStr">
        <is>
          <t>2026-06-19</t>
        </is>
      </c>
      <c r="B482" t="inlineStr">
        <is>
          <t>159720</t>
        </is>
      </c>
      <c r="C482" t="inlineStr">
        <is>
          <t>智能车ETF泰康</t>
        </is>
      </c>
      <c r="D482" t="n">
        <v>4481.2357</v>
      </c>
      <c r="E482" t="n">
        <v>4481.2357</v>
      </c>
      <c r="F482" t="n">
        <v>0.8287</v>
      </c>
      <c r="G482" t="n">
        <v>0</v>
      </c>
      <c r="H482" t="n">
        <v>0.37136</v>
      </c>
      <c r="I482" t="n">
        <v>0.372391</v>
      </c>
      <c r="J482" t="n">
        <v>-0.001031</v>
      </c>
      <c r="K482" s="4">
        <f>IFERROR(J482/I482,"")</f>
        <v/>
      </c>
      <c r="L482" s="4">
        <f>IFERROR((D482-E482)/E482,"")</f>
        <v/>
      </c>
    </row>
    <row r="483">
      <c r="A483" t="inlineStr">
        <is>
          <t>2026-06-19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1.1907</v>
      </c>
      <c r="G483" t="n">
        <v>0</v>
      </c>
      <c r="H483" t="n">
        <v>0.826723</v>
      </c>
      <c r="I483" t="n">
        <v>0.816586</v>
      </c>
      <c r="J483" t="n">
        <v>0.010137</v>
      </c>
      <c r="K483" s="4">
        <f>IFERROR(J483/I483,"")</f>
        <v/>
      </c>
      <c r="L483" s="4">
        <f>IFERROR((D483-E483)/E483,"")</f>
        <v/>
      </c>
    </row>
    <row r="484">
      <c r="A484" t="inlineStr">
        <is>
          <t>2026-06-19</t>
        </is>
      </c>
      <c r="B484" t="inlineStr">
        <is>
          <t>159723</t>
        </is>
      </c>
      <c r="C484" t="inlineStr">
        <is>
          <t>科技龙头ETF汇添富</t>
        </is>
      </c>
      <c r="D484" t="n">
        <v>3502.5575</v>
      </c>
      <c r="E484" t="n">
        <v>3502.5575</v>
      </c>
      <c r="F484" t="n">
        <v>1.1676</v>
      </c>
      <c r="G484" t="n">
        <v>0</v>
      </c>
      <c r="H484" t="n">
        <v>0.408959</v>
      </c>
      <c r="I484" t="n">
        <v>0.402409</v>
      </c>
      <c r="J484" t="n">
        <v>0.00655</v>
      </c>
      <c r="K484" s="4">
        <f>IFERROR(J484/I484,"")</f>
        <v/>
      </c>
      <c r="L484" s="4">
        <f>IFERROR((D484-E484)/E484,"")</f>
        <v/>
      </c>
    </row>
    <row r="485">
      <c r="A485" t="inlineStr">
        <is>
          <t>2026-06-19</t>
        </is>
      </c>
      <c r="B485" t="inlineStr">
        <is>
          <t>159725</t>
        </is>
      </c>
      <c r="C485" t="inlineStr">
        <is>
          <t>线上消费ETF工银</t>
        </is>
      </c>
      <c r="D485" t="n">
        <v>13242.4924</v>
      </c>
      <c r="E485" t="n">
        <v>13542.4924</v>
      </c>
      <c r="F485" t="n">
        <v>0.7587</v>
      </c>
      <c r="G485" t="n">
        <v>-300</v>
      </c>
      <c r="H485" t="n">
        <v>1.004708</v>
      </c>
      <c r="I485" t="n">
        <v>1.041689</v>
      </c>
      <c r="J485" t="n">
        <v>-0.036981</v>
      </c>
      <c r="K485" s="4">
        <f>IFERROR(J485/I485,"")</f>
        <v/>
      </c>
      <c r="L485" s="4">
        <f>IFERROR((D485-E485)/E485,"")</f>
        <v/>
      </c>
    </row>
    <row r="486">
      <c r="A486" t="inlineStr">
        <is>
          <t>2026-06-19</t>
        </is>
      </c>
      <c r="B486" t="inlineStr">
        <is>
          <t>159726</t>
        </is>
      </c>
      <c r="C486" t="inlineStr">
        <is>
          <t>港股通高股息ETF华夏</t>
        </is>
      </c>
      <c r="D486" t="n">
        <v>27691.138</v>
      </c>
      <c r="E486" t="n">
        <v>27691.138</v>
      </c>
      <c r="F486" t="n">
        <v>1.3366</v>
      </c>
      <c r="G486" t="n">
        <v>0</v>
      </c>
      <c r="H486" t="n">
        <v>3.701198</v>
      </c>
      <c r="I486" t="n">
        <v>3.769595</v>
      </c>
      <c r="J486" t="n">
        <v>-0.068397</v>
      </c>
      <c r="K486" s="4">
        <f>IFERROR(J486/I486,"")</f>
        <v/>
      </c>
      <c r="L486" s="4">
        <f>IFERROR((D486-E486)/E486,"")</f>
        <v/>
      </c>
    </row>
    <row r="487">
      <c r="A487" t="inlineStr">
        <is>
          <t>2026-06-19</t>
        </is>
      </c>
      <c r="B487" t="inlineStr">
        <is>
          <t>159728</t>
        </is>
      </c>
      <c r="C487" t="inlineStr">
        <is>
          <t>在线消费ETF南方</t>
        </is>
      </c>
      <c r="D487" t="n">
        <v>4391.0129</v>
      </c>
      <c r="E487" t="n">
        <v>4441.0129</v>
      </c>
      <c r="F487" t="n">
        <v>0.7675</v>
      </c>
      <c r="G487" t="n">
        <v>-50</v>
      </c>
      <c r="H487" t="n">
        <v>0.33701</v>
      </c>
      <c r="I487" t="n">
        <v>0.344223</v>
      </c>
      <c r="J487" t="n">
        <v>-0.007213</v>
      </c>
      <c r="K487" s="4">
        <f>IFERROR(J487/I487,"")</f>
        <v/>
      </c>
      <c r="L487" s="4">
        <f>IFERROR((D487-E487)/E487,"")</f>
        <v/>
      </c>
    </row>
    <row r="488">
      <c r="A488" t="inlineStr">
        <is>
          <t>2026-06-19</t>
        </is>
      </c>
      <c r="B488" t="inlineStr">
        <is>
          <t>159729</t>
        </is>
      </c>
      <c r="C488" t="inlineStr">
        <is>
          <t>互联网ETF汇添富</t>
        </is>
      </c>
      <c r="D488" t="n">
        <v>6856.0633</v>
      </c>
      <c r="E488" t="n">
        <v>6856.0633</v>
      </c>
      <c r="F488" t="n">
        <v>0.6776</v>
      </c>
      <c r="G488" t="n">
        <v>0</v>
      </c>
      <c r="H488" t="n">
        <v>0.464567</v>
      </c>
      <c r="I488" t="n">
        <v>0.466349</v>
      </c>
      <c r="J488" t="n">
        <v>-0.001782</v>
      </c>
      <c r="K488" s="4">
        <f>IFERROR(J488/I488,"")</f>
        <v/>
      </c>
      <c r="L488" s="4">
        <f>IFERROR((D488-E488)/E488,"")</f>
        <v/>
      </c>
    </row>
    <row r="489">
      <c r="A489" t="inlineStr">
        <is>
          <t>2026-06-19</t>
        </is>
      </c>
      <c r="B489" t="inlineStr">
        <is>
          <t>159730</t>
        </is>
      </c>
      <c r="C489" t="inlineStr">
        <is>
          <t>家电ETF博时</t>
        </is>
      </c>
      <c r="D489" t="n">
        <v>4357.134</v>
      </c>
      <c r="E489" t="n">
        <v>4357.134</v>
      </c>
      <c r="F489" t="n">
        <v>1.0178</v>
      </c>
      <c r="G489" t="n">
        <v>0</v>
      </c>
      <c r="H489" t="n">
        <v>0.443469</v>
      </c>
      <c r="I489" t="n">
        <v>0.447434</v>
      </c>
      <c r="J489" t="n">
        <v>-0.003965</v>
      </c>
      <c r="K489" s="4">
        <f>IFERROR(J489/I489,"")</f>
        <v/>
      </c>
      <c r="L489" s="4">
        <f>IFERROR((D489-E489)/E489,"")</f>
        <v/>
      </c>
    </row>
    <row r="490">
      <c r="A490" t="inlineStr">
        <is>
          <t>2026-06-19</t>
        </is>
      </c>
      <c r="B490" t="inlineStr">
        <is>
          <t>159731</t>
        </is>
      </c>
      <c r="C490" t="inlineStr">
        <is>
          <t>石化ETF华夏</t>
        </is>
      </c>
      <c r="D490" t="n">
        <v>83137.5802</v>
      </c>
      <c r="E490" t="n">
        <v>87337.5802</v>
      </c>
      <c r="F490" t="n">
        <v>0.9275</v>
      </c>
      <c r="G490" t="n">
        <v>-4200</v>
      </c>
      <c r="H490" t="n">
        <v>7.711011</v>
      </c>
      <c r="I490" t="n">
        <v>8.123267999999999</v>
      </c>
      <c r="J490" t="n">
        <v>-0.412257</v>
      </c>
      <c r="K490" s="4">
        <f>IFERROR(J490/I490,"")</f>
        <v/>
      </c>
      <c r="L490" s="4">
        <f>IFERROR((D490-E490)/E490,"")</f>
        <v/>
      </c>
    </row>
    <row r="491">
      <c r="A491" t="inlineStr">
        <is>
          <t>2026-06-19</t>
        </is>
      </c>
      <c r="B491" t="inlineStr">
        <is>
          <t>159732</t>
        </is>
      </c>
      <c r="C491" t="inlineStr">
        <is>
          <t>消费电子ETF华夏</t>
        </is>
      </c>
      <c r="D491" t="n">
        <v>288144.7904</v>
      </c>
      <c r="E491" t="n">
        <v>276244.7904</v>
      </c>
      <c r="F491" t="n">
        <v>1.6969</v>
      </c>
      <c r="G491" t="n">
        <v>11900</v>
      </c>
      <c r="H491" t="n">
        <v>48.895289</v>
      </c>
      <c r="I491" t="n">
        <v>44.759943</v>
      </c>
      <c r="J491" t="n">
        <v>4.135346</v>
      </c>
      <c r="K491" s="4">
        <f>IFERROR(J491/I491,"")</f>
        <v/>
      </c>
      <c r="L491" s="4">
        <f>IFERROR((D491-E491)/E491,"")</f>
        <v/>
      </c>
    </row>
    <row r="492">
      <c r="A492" t="inlineStr">
        <is>
          <t>2026-06-19</t>
        </is>
      </c>
      <c r="B492" t="inlineStr">
        <is>
          <t>159735</t>
        </is>
      </c>
      <c r="C492" t="inlineStr">
        <is>
          <t>港股消费ETF银华</t>
        </is>
      </c>
      <c r="D492" t="n">
        <v>81356.13710000001</v>
      </c>
      <c r="E492" t="n">
        <v>81356.13710000001</v>
      </c>
      <c r="F492" t="n">
        <v>0.6765</v>
      </c>
      <c r="G492" t="n">
        <v>0</v>
      </c>
      <c r="H492" t="n">
        <v>5.503743</v>
      </c>
      <c r="I492" t="n">
        <v>5.611946</v>
      </c>
      <c r="J492" t="n">
        <v>-0.108203</v>
      </c>
      <c r="K492" s="4">
        <f>IFERROR(J492/I492,"")</f>
        <v/>
      </c>
      <c r="L492" s="4">
        <f>IFERROR((D492-E492)/E492,"")</f>
        <v/>
      </c>
    </row>
    <row r="493">
      <c r="A493" t="inlineStr">
        <is>
          <t>2026-06-19</t>
        </is>
      </c>
      <c r="B493" t="inlineStr">
        <is>
          <t>159736</t>
        </is>
      </c>
      <c r="C493" t="inlineStr">
        <is>
          <t>食品饮料ETF天弘</t>
        </is>
      </c>
      <c r="D493" t="n">
        <v>752239.4457</v>
      </c>
      <c r="E493" t="n">
        <v>752239.4457</v>
      </c>
      <c r="F493" t="n">
        <v>0.5722</v>
      </c>
      <c r="G493" t="n">
        <v>0</v>
      </c>
      <c r="H493" t="n">
        <v>43.043141</v>
      </c>
      <c r="I493" t="n">
        <v>43.374126</v>
      </c>
      <c r="J493" t="n">
        <v>-0.330985</v>
      </c>
      <c r="K493" s="4">
        <f>IFERROR(J493/I493,"")</f>
        <v/>
      </c>
      <c r="L493" s="4">
        <f>IFERROR((D493-E493)/E493,"")</f>
        <v/>
      </c>
    </row>
    <row r="494">
      <c r="A494" t="inlineStr">
        <is>
          <t>2026-06-19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2.1002</v>
      </c>
      <c r="G494" t="n">
        <v>0</v>
      </c>
      <c r="H494" t="n">
        <v>2.835116</v>
      </c>
      <c r="I494" t="n">
        <v>2.816892</v>
      </c>
      <c r="J494" t="n">
        <v>0.018224</v>
      </c>
      <c r="K494" s="4">
        <f>IFERROR(J494/I494,"")</f>
        <v/>
      </c>
      <c r="L494" s="4">
        <f>IFERROR((D494-E494)/E494,"")</f>
        <v/>
      </c>
    </row>
    <row r="495">
      <c r="A495" t="inlineStr">
        <is>
          <t>2026-06-19</t>
        </is>
      </c>
      <c r="B495" t="inlineStr">
        <is>
          <t>159739</t>
        </is>
      </c>
      <c r="C495" t="inlineStr">
        <is>
          <t>云计算ETF鹏华</t>
        </is>
      </c>
      <c r="D495" t="n">
        <v>24218.0615</v>
      </c>
      <c r="E495" t="n">
        <v>24298.0615</v>
      </c>
      <c r="F495" t="n">
        <v>1.6257</v>
      </c>
      <c r="G495" t="n">
        <v>-80</v>
      </c>
      <c r="H495" t="n">
        <v>3.93713</v>
      </c>
      <c r="I495" t="n">
        <v>3.914661</v>
      </c>
      <c r="J495" t="n">
        <v>0.022469</v>
      </c>
      <c r="K495" s="4">
        <f>IFERROR(J495/I495,"")</f>
        <v/>
      </c>
      <c r="L495" s="4">
        <f>IFERROR((D495-E495)/E495,"")</f>
        <v/>
      </c>
    </row>
    <row r="496">
      <c r="A496" t="inlineStr">
        <is>
          <t>2026-06-19</t>
        </is>
      </c>
      <c r="B496" t="inlineStr">
        <is>
          <t>159740</t>
        </is>
      </c>
      <c r="C496" t="inlineStr">
        <is>
          <t>恒生科技ETF大成</t>
        </is>
      </c>
      <c r="D496" t="n">
        <v>2947912.0448</v>
      </c>
      <c r="E496" t="n">
        <v>2957812.0448</v>
      </c>
      <c r="F496" t="n">
        <v>0.5889</v>
      </c>
      <c r="G496" t="n">
        <v>-9900</v>
      </c>
      <c r="H496" t="n">
        <v>173.60254</v>
      </c>
      <c r="I496" t="n">
        <v>173.801036</v>
      </c>
      <c r="J496" t="n">
        <v>-0.198496</v>
      </c>
      <c r="K496" s="4">
        <f>IFERROR(J496/I496,"")</f>
        <v/>
      </c>
      <c r="L496" s="4">
        <f>IFERROR((D496-E496)/E496,"")</f>
        <v/>
      </c>
    </row>
    <row r="497">
      <c r="A497" t="inlineStr">
        <is>
          <t>2026-06-19</t>
        </is>
      </c>
      <c r="B497" t="inlineStr">
        <is>
          <t>159741</t>
        </is>
      </c>
      <c r="C497" t="inlineStr">
        <is>
          <t>恒生科技ETF嘉实</t>
        </is>
      </c>
      <c r="D497" t="n">
        <v>169279.6712</v>
      </c>
      <c r="E497" t="n">
        <v>169279.6712</v>
      </c>
      <c r="F497" t="n">
        <v>0.5898</v>
      </c>
      <c r="G497" t="n">
        <v>0</v>
      </c>
      <c r="H497" t="n">
        <v>9.984114999999999</v>
      </c>
      <c r="I497" t="n">
        <v>9.960416</v>
      </c>
      <c r="J497" t="n">
        <v>0.023699</v>
      </c>
      <c r="K497" s="4">
        <f>IFERROR(J497/I497,"")</f>
        <v/>
      </c>
      <c r="L497" s="4">
        <f>IFERROR((D497-E497)/E497,"")</f>
        <v/>
      </c>
    </row>
    <row r="498">
      <c r="A498" t="inlineStr">
        <is>
          <t>2026-06-19</t>
        </is>
      </c>
      <c r="B498" t="inlineStr">
        <is>
          <t>159742</t>
        </is>
      </c>
      <c r="C498" t="inlineStr">
        <is>
          <t>恒生科技ETF博时</t>
        </is>
      </c>
      <c r="D498" t="n">
        <v>723592.8292</v>
      </c>
      <c r="E498" t="n">
        <v>723592.8292</v>
      </c>
      <c r="F498" t="n">
        <v>0.6038</v>
      </c>
      <c r="G498" t="n">
        <v>0</v>
      </c>
      <c r="H498" t="n">
        <v>43.690535</v>
      </c>
      <c r="I498" t="n">
        <v>43.596468</v>
      </c>
      <c r="J498" t="n">
        <v>0.094067</v>
      </c>
      <c r="K498" s="4">
        <f>IFERROR(J498/I498,"")</f>
        <v/>
      </c>
      <c r="L498" s="4">
        <f>IFERROR((D498-E498)/E498,"")</f>
        <v/>
      </c>
    </row>
    <row r="499">
      <c r="A499" t="inlineStr">
        <is>
          <t>2026-06-19</t>
        </is>
      </c>
      <c r="B499" t="inlineStr">
        <is>
          <t>159743</t>
        </is>
      </c>
      <c r="C499" t="inlineStr">
        <is>
          <t>湖北ETF博时</t>
        </is>
      </c>
      <c r="D499" t="n">
        <v>10894.11</v>
      </c>
      <c r="E499" t="n">
        <v>10894.11</v>
      </c>
      <c r="F499" t="n">
        <v>1.6158</v>
      </c>
      <c r="G499" t="n">
        <v>0</v>
      </c>
      <c r="H499" t="n">
        <v>1.76027</v>
      </c>
      <c r="I499" t="n">
        <v>1.744365</v>
      </c>
      <c r="J499" t="n">
        <v>0.015905</v>
      </c>
      <c r="K499" s="4">
        <f>IFERROR(J499/I499,"")</f>
        <v/>
      </c>
      <c r="L499" s="4">
        <f>IFERROR((D499-E499)/E499,"")</f>
        <v/>
      </c>
    </row>
    <row r="500">
      <c r="A500" t="inlineStr">
        <is>
          <t>2026-06-19</t>
        </is>
      </c>
      <c r="B500" t="inlineStr">
        <is>
          <t>159745</t>
        </is>
      </c>
      <c r="C500" t="inlineStr">
        <is>
          <t>建材ETF国泰</t>
        </is>
      </c>
      <c r="D500" t="n">
        <v>145368.8265</v>
      </c>
      <c r="E500" t="n">
        <v>146868.8265</v>
      </c>
      <c r="F500" t="n">
        <v>0.5864</v>
      </c>
      <c r="G500" t="n">
        <v>-1500</v>
      </c>
      <c r="H500" t="n">
        <v>8.524428</v>
      </c>
      <c r="I500" t="n">
        <v>8.533079000000001</v>
      </c>
      <c r="J500" t="n">
        <v>-0.008651000000000001</v>
      </c>
      <c r="K500" s="4">
        <f>IFERROR(J500/I500,"")</f>
        <v/>
      </c>
      <c r="L500" s="4">
        <f>IFERROR((D500-E500)/E500,"")</f>
        <v/>
      </c>
    </row>
    <row r="501">
      <c r="A501" t="inlineStr">
        <is>
          <t>2026-06-19</t>
        </is>
      </c>
      <c r="B501" t="inlineStr">
        <is>
          <t>159747</t>
        </is>
      </c>
      <c r="C501" t="inlineStr">
        <is>
          <t>香港科技ETF南方</t>
        </is>
      </c>
      <c r="D501" t="n">
        <v>36171.2278</v>
      </c>
      <c r="E501" t="n">
        <v>36171.2278</v>
      </c>
      <c r="F501" t="n">
        <v>1.1644</v>
      </c>
      <c r="G501" t="n">
        <v>0</v>
      </c>
      <c r="H501" t="n">
        <v>4.211778</v>
      </c>
      <c r="I501" t="n">
        <v>4.214671</v>
      </c>
      <c r="J501" t="n">
        <v>-0.002893</v>
      </c>
      <c r="K501" s="4">
        <f>IFERROR(J501/I501,"")</f>
        <v/>
      </c>
      <c r="L501" s="4">
        <f>IFERROR((D501-E501)/E501,"")</f>
        <v/>
      </c>
    </row>
    <row r="502">
      <c r="A502" t="inlineStr">
        <is>
          <t>2026-06-19</t>
        </is>
      </c>
      <c r="B502" t="inlineStr">
        <is>
          <t>159748</t>
        </is>
      </c>
      <c r="C502" t="inlineStr">
        <is>
          <t>创新药ETF富国</t>
        </is>
      </c>
      <c r="D502" t="n">
        <v>95369.21279999999</v>
      </c>
      <c r="E502" t="n">
        <v>95369.21279999999</v>
      </c>
      <c r="F502" t="n">
        <v>0.6461</v>
      </c>
      <c r="G502" t="n">
        <v>0</v>
      </c>
      <c r="H502" t="n">
        <v>6.161805</v>
      </c>
      <c r="I502" t="n">
        <v>6.219026</v>
      </c>
      <c r="J502" t="n">
        <v>-0.057221</v>
      </c>
      <c r="K502" s="4">
        <f>IFERROR(J502/I502,"")</f>
        <v/>
      </c>
      <c r="L502" s="4">
        <f>IFERROR((D502-E502)/E502,"")</f>
        <v/>
      </c>
    </row>
    <row r="503">
      <c r="A503" t="inlineStr">
        <is>
          <t>2026-06-19</t>
        </is>
      </c>
      <c r="B503" t="inlineStr">
        <is>
          <t>159750</t>
        </is>
      </c>
      <c r="C503" t="inlineStr">
        <is>
          <t>港股科技50ETF招商</t>
        </is>
      </c>
      <c r="D503" t="n">
        <v>149061.8251</v>
      </c>
      <c r="E503" t="n">
        <v>149061.8251</v>
      </c>
      <c r="F503" t="n">
        <v>0.8545</v>
      </c>
      <c r="G503" t="n">
        <v>0</v>
      </c>
      <c r="H503" t="n">
        <v>12.737333</v>
      </c>
      <c r="I503" t="n">
        <v>12.743295</v>
      </c>
      <c r="J503" t="n">
        <v>-0.005962</v>
      </c>
      <c r="K503" s="4">
        <f>IFERROR(J503/I503,"")</f>
        <v/>
      </c>
      <c r="L503" s="4">
        <f>IFERROR((D503-E503)/E503,"")</f>
        <v/>
      </c>
    </row>
    <row r="504">
      <c r="A504" t="inlineStr">
        <is>
          <t>2026-06-19</t>
        </is>
      </c>
      <c r="B504" t="inlineStr">
        <is>
          <t>159751</t>
        </is>
      </c>
      <c r="C504" t="inlineStr">
        <is>
          <t>港股通科技ETF鹏华</t>
        </is>
      </c>
      <c r="D504" t="n">
        <v>107862.9628</v>
      </c>
      <c r="E504" t="n">
        <v>108762.9628</v>
      </c>
      <c r="F504" t="n">
        <v>0.875</v>
      </c>
      <c r="G504" t="n">
        <v>-900</v>
      </c>
      <c r="H504" t="n">
        <v>9.438008999999999</v>
      </c>
      <c r="I504" t="n">
        <v>9.528722999999999</v>
      </c>
      <c r="J504" t="n">
        <v>-0.090714</v>
      </c>
      <c r="K504" s="4">
        <f>IFERROR(J504/I504,"")</f>
        <v/>
      </c>
      <c r="L504" s="4">
        <f>IFERROR((D504-E504)/E504,"")</f>
        <v/>
      </c>
    </row>
    <row r="505">
      <c r="A505" t="inlineStr">
        <is>
          <t>2026-06-19</t>
        </is>
      </c>
      <c r="B505" t="inlineStr">
        <is>
          <t>159752</t>
        </is>
      </c>
      <c r="C505" t="inlineStr">
        <is>
          <t>新能源ETF申万菱信</t>
        </is>
      </c>
      <c r="D505" t="n">
        <v>51695.8917</v>
      </c>
      <c r="E505" t="n">
        <v>51995.8917</v>
      </c>
      <c r="F505" t="n">
        <v>0.7343</v>
      </c>
      <c r="G505" t="n">
        <v>-300</v>
      </c>
      <c r="H505" t="n">
        <v>3.796029</v>
      </c>
      <c r="I505" t="n">
        <v>3.818578</v>
      </c>
      <c r="J505" t="n">
        <v>-0.022549</v>
      </c>
      <c r="K505" s="4">
        <f>IFERROR(J505/I505,"")</f>
        <v/>
      </c>
      <c r="L505" s="4">
        <f>IFERROR((D505-E505)/E505,"")</f>
        <v/>
      </c>
    </row>
    <row r="506">
      <c r="A506" t="inlineStr">
        <is>
          <t>2026-06-19</t>
        </is>
      </c>
      <c r="B506" t="inlineStr">
        <is>
          <t>159755</t>
        </is>
      </c>
      <c r="C506" t="inlineStr">
        <is>
          <t>电池ETF广发</t>
        </is>
      </c>
      <c r="D506" t="n">
        <v>983164.6746</v>
      </c>
      <c r="E506" t="n">
        <v>979364.6746</v>
      </c>
      <c r="F506" t="n">
        <v>1.1327</v>
      </c>
      <c r="G506" t="n">
        <v>3800</v>
      </c>
      <c r="H506" t="n">
        <v>111.363063</v>
      </c>
      <c r="I506" t="n">
        <v>111.05016</v>
      </c>
      <c r="J506" t="n">
        <v>0.312903</v>
      </c>
      <c r="K506" s="4">
        <f>IFERROR(J506/I506,"")</f>
        <v/>
      </c>
      <c r="L506" s="4">
        <f>IFERROR((D506-E506)/E506,"")</f>
        <v/>
      </c>
    </row>
    <row r="507">
      <c r="A507" t="inlineStr">
        <is>
          <t>2026-06-19</t>
        </is>
      </c>
      <c r="B507" t="inlineStr">
        <is>
          <t>159757</t>
        </is>
      </c>
      <c r="C507" t="inlineStr">
        <is>
          <t>电池ETF景顺</t>
        </is>
      </c>
      <c r="D507" t="n">
        <v>23693.1891</v>
      </c>
      <c r="E507" t="n">
        <v>24193.1891</v>
      </c>
      <c r="F507" t="n">
        <v>0.9409</v>
      </c>
      <c r="G507" t="n">
        <v>-500</v>
      </c>
      <c r="H507" t="n">
        <v>2.229292</v>
      </c>
      <c r="I507" t="n">
        <v>2.278756</v>
      </c>
      <c r="J507" t="n">
        <v>-0.049464</v>
      </c>
      <c r="K507" s="4">
        <f>IFERROR(J507/I507,"")</f>
        <v/>
      </c>
      <c r="L507" s="4">
        <f>IFERROR((D507-E507)/E507,"")</f>
        <v/>
      </c>
    </row>
    <row r="508">
      <c r="A508" t="inlineStr">
        <is>
          <t>2026-06-19</t>
        </is>
      </c>
      <c r="B508" t="inlineStr">
        <is>
          <t>159758</t>
        </is>
      </c>
      <c r="C508" t="inlineStr">
        <is>
          <t>红利质量ETF华夏</t>
        </is>
      </c>
      <c r="D508" t="n">
        <v>130629.0777</v>
      </c>
      <c r="E508" t="n">
        <v>131029.0777</v>
      </c>
      <c r="F508" t="n">
        <v>1.0713</v>
      </c>
      <c r="G508" t="n">
        <v>-400</v>
      </c>
      <c r="H508" t="n">
        <v>13.994293</v>
      </c>
      <c r="I508" t="n">
        <v>14.062041</v>
      </c>
      <c r="J508" t="n">
        <v>-0.067748</v>
      </c>
      <c r="K508" s="4">
        <f>IFERROR(J508/I508,"")</f>
        <v/>
      </c>
      <c r="L508" s="4">
        <f>IFERROR((D508-E508)/E508,"")</f>
        <v/>
      </c>
    </row>
    <row r="509">
      <c r="A509" t="inlineStr">
        <is>
          <t>2026-06-19</t>
        </is>
      </c>
      <c r="B509" t="inlineStr">
        <is>
          <t>159760</t>
        </is>
      </c>
      <c r="C509" t="inlineStr">
        <is>
          <t>医疗健康ETF泰康</t>
        </is>
      </c>
      <c r="D509" t="n">
        <v>14436.0223</v>
      </c>
      <c r="E509" t="n">
        <v>14436.0223</v>
      </c>
      <c r="F509" t="n">
        <v>0.5077</v>
      </c>
      <c r="G509" t="n">
        <v>0</v>
      </c>
      <c r="H509" t="n">
        <v>0.732917</v>
      </c>
      <c r="I509" t="n">
        <v>0.738258</v>
      </c>
      <c r="J509" t="n">
        <v>-0.005341</v>
      </c>
      <c r="K509" s="4">
        <f>IFERROR(J509/I509,"")</f>
        <v/>
      </c>
      <c r="L509" s="4">
        <f>IFERROR((D509-E509)/E509,"")</f>
        <v/>
      </c>
    </row>
    <row r="510">
      <c r="A510" t="inlineStr">
        <is>
          <t>2026-06-19</t>
        </is>
      </c>
      <c r="B510" t="inlineStr">
        <is>
          <t>159761</t>
        </is>
      </c>
      <c r="C510" t="inlineStr">
        <is>
          <t>新材料ETF国泰</t>
        </is>
      </c>
      <c r="D510" t="n">
        <v>20673.4117</v>
      </c>
      <c r="E510" t="n">
        <v>20373.4117</v>
      </c>
      <c r="F510" t="n">
        <v>0.9343</v>
      </c>
      <c r="G510" t="n">
        <v>300</v>
      </c>
      <c r="H510" t="n">
        <v>1.931517</v>
      </c>
      <c r="I510" t="n">
        <v>1.862945</v>
      </c>
      <c r="J510" t="n">
        <v>0.06857199999999999</v>
      </c>
      <c r="K510" s="4">
        <f>IFERROR(J510/I510,"")</f>
        <v/>
      </c>
      <c r="L510" s="4">
        <f>IFERROR((D510-E510)/E510,"")</f>
        <v/>
      </c>
    </row>
    <row r="511">
      <c r="A511" t="inlineStr">
        <is>
          <t>2026-06-19</t>
        </is>
      </c>
      <c r="B511" t="inlineStr">
        <is>
          <t>159763</t>
        </is>
      </c>
      <c r="C511" t="inlineStr">
        <is>
          <t>新材料ETF建信</t>
        </is>
      </c>
      <c r="D511" t="n">
        <v>9070.7747</v>
      </c>
      <c r="E511" t="n">
        <v>9070.7747</v>
      </c>
      <c r="F511" t="n">
        <v>0.8512999999999999</v>
      </c>
      <c r="G511" t="n">
        <v>0</v>
      </c>
      <c r="H511" t="n">
        <v>0.772195</v>
      </c>
      <c r="I511" t="n">
        <v>0.755686</v>
      </c>
      <c r="J511" t="n">
        <v>0.016509</v>
      </c>
      <c r="K511" s="4">
        <f>IFERROR(J511/I511,"")</f>
        <v/>
      </c>
      <c r="L511" s="4">
        <f>IFERROR((D511-E511)/E511,"")</f>
        <v/>
      </c>
    </row>
    <row r="512">
      <c r="A512" t="inlineStr">
        <is>
          <t>2026-06-19</t>
        </is>
      </c>
      <c r="B512" t="inlineStr">
        <is>
          <t>159766</t>
        </is>
      </c>
      <c r="C512" t="inlineStr">
        <is>
          <t>旅游ETF富国</t>
        </is>
      </c>
      <c r="D512" t="n">
        <v>546014.0963</v>
      </c>
      <c r="E512" t="n">
        <v>538564.0963</v>
      </c>
      <c r="F512" t="n">
        <v>0.5797</v>
      </c>
      <c r="G512" t="n">
        <v>7450</v>
      </c>
      <c r="H512" t="n">
        <v>31.652437</v>
      </c>
      <c r="I512" t="n">
        <v>31.672955</v>
      </c>
      <c r="J512" t="n">
        <v>-0.020518</v>
      </c>
      <c r="K512" s="4">
        <f>IFERROR(J512/I512,"")</f>
        <v/>
      </c>
      <c r="L512" s="4">
        <f>IFERROR((D512-E512)/E512,"")</f>
        <v/>
      </c>
    </row>
    <row r="513">
      <c r="A513" t="inlineStr">
        <is>
          <t>2026-06-19</t>
        </is>
      </c>
      <c r="B513" t="inlineStr">
        <is>
          <t>159767</t>
        </is>
      </c>
      <c r="C513" t="inlineStr">
        <is>
          <t>电池龙头ETF兴银</t>
        </is>
      </c>
      <c r="D513" t="n">
        <v>24187.3672</v>
      </c>
      <c r="E513" t="n">
        <v>24187.3672</v>
      </c>
      <c r="F513" t="n">
        <v>0.922</v>
      </c>
      <c r="G513" t="n">
        <v>0</v>
      </c>
      <c r="H513" t="n">
        <v>2.230075</v>
      </c>
      <c r="I513" t="n">
        <v>2.232252</v>
      </c>
      <c r="J513" t="n">
        <v>-0.002177</v>
      </c>
      <c r="K513" s="4">
        <f>IFERROR(J513/I513,"")</f>
        <v/>
      </c>
      <c r="L513" s="4">
        <f>IFERROR((D513-E513)/E513,"")</f>
        <v/>
      </c>
    </row>
    <row r="514">
      <c r="A514" t="inlineStr">
        <is>
          <t>2026-06-19</t>
        </is>
      </c>
      <c r="B514" t="inlineStr">
        <is>
          <t>159768</t>
        </is>
      </c>
      <c r="C514" t="inlineStr">
        <is>
          <t>房地产ETF银华</t>
        </is>
      </c>
      <c r="D514" t="n">
        <v>83045.03109999999</v>
      </c>
      <c r="E514" t="n">
        <v>83445.03109999999</v>
      </c>
      <c r="F514" t="n">
        <v>0.4202</v>
      </c>
      <c r="G514" t="n">
        <v>-400</v>
      </c>
      <c r="H514" t="n">
        <v>3.489552</v>
      </c>
      <c r="I514" t="n">
        <v>3.517208</v>
      </c>
      <c r="J514" t="n">
        <v>-0.027656</v>
      </c>
      <c r="K514" s="4">
        <f>IFERROR(J514/I514,"")</f>
        <v/>
      </c>
      <c r="L514" s="4">
        <f>IFERROR((D514-E514)/E514,"")</f>
        <v/>
      </c>
    </row>
    <row r="515">
      <c r="A515" t="inlineStr">
        <is>
          <t>2026-06-19</t>
        </is>
      </c>
      <c r="B515" t="inlineStr">
        <is>
          <t>159770</t>
        </is>
      </c>
      <c r="C515" t="inlineStr">
        <is>
          <t>机器人ETF天弘</t>
        </is>
      </c>
      <c r="D515" t="n">
        <v>552258.7762</v>
      </c>
      <c r="E515" t="n">
        <v>559458.7762</v>
      </c>
      <c r="F515" t="n">
        <v>1.1833</v>
      </c>
      <c r="G515" t="n">
        <v>-7200</v>
      </c>
      <c r="H515" t="n">
        <v>65.348781</v>
      </c>
      <c r="I515" t="n">
        <v>66.111244</v>
      </c>
      <c r="J515" t="n">
        <v>-0.762463</v>
      </c>
      <c r="K515" s="4">
        <f>IFERROR(J515/I515,"")</f>
        <v/>
      </c>
      <c r="L515" s="4">
        <f>IFERROR((D515-E515)/E515,"")</f>
        <v/>
      </c>
    </row>
    <row r="516">
      <c r="A516" t="inlineStr">
        <is>
          <t>2026-06-19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15230.312</v>
      </c>
      <c r="E516" t="n">
        <v>15230.312</v>
      </c>
      <c r="F516" t="n">
        <v>1.5247</v>
      </c>
      <c r="G516" t="n">
        <v>0</v>
      </c>
      <c r="H516" t="n">
        <v>2.322166</v>
      </c>
      <c r="I516" t="n">
        <v>2.285765</v>
      </c>
      <c r="J516" t="n">
        <v>0.036401</v>
      </c>
      <c r="K516" s="4">
        <f>IFERROR(J516/I516,"")</f>
        <v/>
      </c>
      <c r="L516" s="4">
        <f>IFERROR((D516-E516)/E516,"")</f>
        <v/>
      </c>
    </row>
    <row r="517">
      <c r="A517" t="inlineStr">
        <is>
          <t>2026-06-19</t>
        </is>
      </c>
      <c r="B517" t="inlineStr">
        <is>
          <t>159775</t>
        </is>
      </c>
      <c r="C517" t="inlineStr">
        <is>
          <t>电池ETF建信</t>
        </is>
      </c>
      <c r="D517" t="n">
        <v>67564.8961</v>
      </c>
      <c r="E517" t="n">
        <v>60164.8961</v>
      </c>
      <c r="F517" t="n">
        <v>0.9419999999999999</v>
      </c>
      <c r="G517" t="n">
        <v>7400</v>
      </c>
      <c r="H517" t="n">
        <v>6.364613</v>
      </c>
      <c r="I517" t="n">
        <v>5.67355</v>
      </c>
      <c r="J517" t="n">
        <v>0.691063</v>
      </c>
      <c r="K517" s="4">
        <f>IFERROR(J517/I517,"")</f>
        <v/>
      </c>
      <c r="L517" s="4">
        <f>IFERROR((D517-E517)/E517,"")</f>
        <v/>
      </c>
    </row>
    <row r="518">
      <c r="A518" t="inlineStr">
        <is>
          <t>2026-06-19</t>
        </is>
      </c>
      <c r="B518" t="inlineStr">
        <is>
          <t>159776</t>
        </is>
      </c>
      <c r="C518" t="inlineStr">
        <is>
          <t>港股医药ETF银华</t>
        </is>
      </c>
      <c r="D518" t="n">
        <v>8796.8765</v>
      </c>
      <c r="E518" t="n">
        <v>8796.8765</v>
      </c>
      <c r="F518" t="n">
        <v>0.9445</v>
      </c>
      <c r="G518" t="n">
        <v>0</v>
      </c>
      <c r="H518" t="n">
        <v>0.830865</v>
      </c>
      <c r="I518" t="n">
        <v>0.842037</v>
      </c>
      <c r="J518" t="n">
        <v>-0.011172</v>
      </c>
      <c r="K518" s="4">
        <f>IFERROR(J518/I518,"")</f>
        <v/>
      </c>
      <c r="L518" s="4">
        <f>IFERROR((D518-E518)/E518,"")</f>
        <v/>
      </c>
    </row>
    <row r="519">
      <c r="A519" t="inlineStr">
        <is>
          <t>2026-06-19</t>
        </is>
      </c>
      <c r="B519" t="inlineStr">
        <is>
          <t>159777</t>
        </is>
      </c>
      <c r="C519" t="inlineStr">
        <is>
          <t>创科技ETF国联安</t>
        </is>
      </c>
      <c r="D519" t="n">
        <v>3228.0565</v>
      </c>
      <c r="E519" t="n">
        <v>3228.0565</v>
      </c>
      <c r="F519" t="n">
        <v>1.4327</v>
      </c>
      <c r="G519" t="n">
        <v>0</v>
      </c>
      <c r="H519" t="n">
        <v>0.462484</v>
      </c>
      <c r="I519" t="n">
        <v>0.455253</v>
      </c>
      <c r="J519" t="n">
        <v>0.007231</v>
      </c>
      <c r="K519" s="4">
        <f>IFERROR(J519/I519,"")</f>
        <v/>
      </c>
      <c r="L519" s="4">
        <f>IFERROR((D519-E519)/E519,"")</f>
        <v/>
      </c>
    </row>
    <row r="520">
      <c r="A520" t="inlineStr">
        <is>
          <t>2026-06-19</t>
        </is>
      </c>
      <c r="B520" t="inlineStr">
        <is>
          <t>159778</t>
        </is>
      </c>
      <c r="C520" t="inlineStr">
        <is>
          <t>工业互联网ETF鹏华</t>
        </is>
      </c>
      <c r="D520" t="n">
        <v>3725.5382</v>
      </c>
      <c r="E520" t="n">
        <v>3725.5382</v>
      </c>
      <c r="F520" t="n">
        <v>1.3706</v>
      </c>
      <c r="G520" t="n">
        <v>0</v>
      </c>
      <c r="H520" t="n">
        <v>0.510622</v>
      </c>
      <c r="I520" t="n">
        <v>0.500154</v>
      </c>
      <c r="J520" t="n">
        <v>0.010468</v>
      </c>
      <c r="K520" s="4">
        <f>IFERROR(J520/I520,"")</f>
        <v/>
      </c>
      <c r="L520" s="4">
        <f>IFERROR((D520-E520)/E520,"")</f>
        <v/>
      </c>
    </row>
    <row r="521">
      <c r="A521" t="inlineStr">
        <is>
          <t>2026-06-19</t>
        </is>
      </c>
      <c r="B521" t="inlineStr">
        <is>
          <t>159779</t>
        </is>
      </c>
      <c r="C521" t="inlineStr">
        <is>
          <t>消费电子ETF招商</t>
        </is>
      </c>
      <c r="D521" t="n">
        <v>12986.9337</v>
      </c>
      <c r="E521" t="n">
        <v>12586.9337</v>
      </c>
      <c r="F521" t="n">
        <v>1.7669</v>
      </c>
      <c r="G521" t="n">
        <v>400</v>
      </c>
      <c r="H521" t="n">
        <v>2.294661</v>
      </c>
      <c r="I521" t="n">
        <v>2.143177</v>
      </c>
      <c r="J521" t="n">
        <v>0.151484</v>
      </c>
      <c r="K521" s="4">
        <f>IFERROR(J521/I521,"")</f>
        <v/>
      </c>
      <c r="L521" s="4">
        <f>IFERROR((D521-E521)/E521,"")</f>
        <v/>
      </c>
    </row>
    <row r="522">
      <c r="A522" t="inlineStr">
        <is>
          <t>2026-06-19</t>
        </is>
      </c>
      <c r="B522" t="inlineStr">
        <is>
          <t>159780</t>
        </is>
      </c>
      <c r="C522" t="inlineStr">
        <is>
          <t>科创创业50ETF南方</t>
        </is>
      </c>
      <c r="D522" t="n">
        <v>268204.8583</v>
      </c>
      <c r="E522" t="n">
        <v>263804.8583</v>
      </c>
      <c r="F522" t="n">
        <v>1.3336</v>
      </c>
      <c r="G522" t="n">
        <v>4400</v>
      </c>
      <c r="H522" t="n">
        <v>35.7678</v>
      </c>
      <c r="I522" t="n">
        <v>34.21549</v>
      </c>
      <c r="J522" t="n">
        <v>1.55231</v>
      </c>
      <c r="K522" s="4">
        <f>IFERROR(J522/I522,"")</f>
        <v/>
      </c>
      <c r="L522" s="4">
        <f>IFERROR((D522-E522)/E522,"")</f>
        <v/>
      </c>
    </row>
    <row r="523">
      <c r="A523" t="inlineStr">
        <is>
          <t>2026-06-19</t>
        </is>
      </c>
      <c r="B523" t="inlineStr">
        <is>
          <t>159781</t>
        </is>
      </c>
      <c r="C523" t="inlineStr">
        <is>
          <t>科创创业ETF易方达</t>
        </is>
      </c>
      <c r="D523" t="n">
        <v>1153386.0533</v>
      </c>
      <c r="E523" t="n">
        <v>1150986.0533</v>
      </c>
      <c r="F523" t="n">
        <v>1.3356</v>
      </c>
      <c r="G523" t="n">
        <v>2400</v>
      </c>
      <c r="H523" t="n">
        <v>154.046241</v>
      </c>
      <c r="I523" t="n">
        <v>149.547618</v>
      </c>
      <c r="J523" t="n">
        <v>4.498623</v>
      </c>
      <c r="K523" s="4">
        <f>IFERROR(J523/I523,"")</f>
        <v/>
      </c>
      <c r="L523" s="4">
        <f>IFERROR((D523-E523)/E523,"")</f>
        <v/>
      </c>
    </row>
    <row r="524">
      <c r="A524" t="inlineStr">
        <is>
          <t>2026-06-19</t>
        </is>
      </c>
      <c r="B524" t="inlineStr">
        <is>
          <t>159782</t>
        </is>
      </c>
      <c r="C524" t="inlineStr">
        <is>
          <t>双创50ETF银华</t>
        </is>
      </c>
      <c r="D524" t="n">
        <v>48619.0267</v>
      </c>
      <c r="E524" t="n">
        <v>49519.0267</v>
      </c>
      <c r="F524" t="n">
        <v>1.3377</v>
      </c>
      <c r="G524" t="n">
        <v>-900</v>
      </c>
      <c r="H524" t="n">
        <v>6.503767</v>
      </c>
      <c r="I524" t="n">
        <v>6.443416</v>
      </c>
      <c r="J524" t="n">
        <v>0.060351</v>
      </c>
      <c r="K524" s="4">
        <f>IFERROR(J524/I524,"")</f>
        <v/>
      </c>
      <c r="L524" s="4">
        <f>IFERROR((D524-E524)/E524,"")</f>
        <v/>
      </c>
    </row>
    <row r="525">
      <c r="A525" t="inlineStr">
        <is>
          <t>2026-06-19</t>
        </is>
      </c>
      <c r="B525" t="inlineStr">
        <is>
          <t>159783</t>
        </is>
      </c>
      <c r="C525" t="inlineStr">
        <is>
          <t>科创创业50ETF华夏</t>
        </is>
      </c>
      <c r="D525" t="n">
        <v>441445.9442</v>
      </c>
      <c r="E525" t="n">
        <v>438325.9442</v>
      </c>
      <c r="F525" t="n">
        <v>1.3416</v>
      </c>
      <c r="G525" t="n">
        <v>3120</v>
      </c>
      <c r="H525" t="n">
        <v>59.224388</v>
      </c>
      <c r="I525" t="n">
        <v>57.192769</v>
      </c>
      <c r="J525" t="n">
        <v>2.031619</v>
      </c>
      <c r="K525" s="4">
        <f>IFERROR(J525/I525,"")</f>
        <v/>
      </c>
      <c r="L525" s="4">
        <f>IFERROR((D525-E525)/E525,"")</f>
        <v/>
      </c>
    </row>
    <row r="526">
      <c r="A526" t="inlineStr">
        <is>
          <t>2026-06-19</t>
        </is>
      </c>
      <c r="B526" t="inlineStr">
        <is>
          <t>159786</t>
        </is>
      </c>
      <c r="C526" t="inlineStr">
        <is>
          <t>VRETF银华</t>
        </is>
      </c>
      <c r="D526" t="n">
        <v>8270.117399999999</v>
      </c>
      <c r="E526" t="n">
        <v>8070.1174</v>
      </c>
      <c r="F526" t="n">
        <v>1.3691</v>
      </c>
      <c r="G526" t="n">
        <v>200</v>
      </c>
      <c r="H526" t="n">
        <v>1.132262</v>
      </c>
      <c r="I526" t="n">
        <v>1.067596</v>
      </c>
      <c r="J526" t="n">
        <v>0.064666</v>
      </c>
      <c r="K526" s="4">
        <f>IFERROR(J526/I526,"")</f>
        <v/>
      </c>
      <c r="L526" s="4">
        <f>IFERROR((D526-E526)/E526,"")</f>
        <v/>
      </c>
    </row>
    <row r="527">
      <c r="A527" t="inlineStr">
        <is>
          <t>2026-06-19</t>
        </is>
      </c>
      <c r="B527" t="inlineStr">
        <is>
          <t>159787</t>
        </is>
      </c>
      <c r="C527" t="inlineStr">
        <is>
          <t>建材ETF易方达</t>
        </is>
      </c>
      <c r="D527" t="n">
        <v>12902.1633</v>
      </c>
      <c r="E527" t="n">
        <v>12902.1633</v>
      </c>
      <c r="F527" t="n">
        <v>0.6447000000000001</v>
      </c>
      <c r="G527" t="n">
        <v>0</v>
      </c>
      <c r="H527" t="n">
        <v>0.831802</v>
      </c>
      <c r="I527" t="n">
        <v>0.82419</v>
      </c>
      <c r="J527" t="n">
        <v>0.007612</v>
      </c>
      <c r="K527" s="4">
        <f>IFERROR(J527/I527,"")</f>
        <v/>
      </c>
      <c r="L527" s="4">
        <f>IFERROR((D527-E527)/E527,"")</f>
        <v/>
      </c>
    </row>
    <row r="528">
      <c r="A528" t="inlineStr">
        <is>
          <t>2026-06-19</t>
        </is>
      </c>
      <c r="B528" t="inlineStr">
        <is>
          <t>159788</t>
        </is>
      </c>
      <c r="C528" t="inlineStr">
        <is>
          <t>港股通100ETF易方达</t>
        </is>
      </c>
      <c r="D528" t="n">
        <v>10442.4965</v>
      </c>
      <c r="E528" t="n">
        <v>10442.4965</v>
      </c>
      <c r="F528" t="n">
        <v>1.1808</v>
      </c>
      <c r="G528" t="n">
        <v>0</v>
      </c>
      <c r="H528" t="n">
        <v>1.23305</v>
      </c>
      <c r="I528" t="n">
        <v>1.246625</v>
      </c>
      <c r="J528" t="n">
        <v>-0.013575</v>
      </c>
      <c r="K528" s="4">
        <f>IFERROR(J528/I528,"")</f>
        <v/>
      </c>
      <c r="L528" s="4">
        <f>IFERROR((D528-E528)/E528,"")</f>
        <v/>
      </c>
    </row>
    <row r="529">
      <c r="A529" t="inlineStr">
        <is>
          <t>2026-06-19</t>
        </is>
      </c>
      <c r="B529" t="inlineStr">
        <is>
          <t>159790</t>
        </is>
      </c>
      <c r="C529" t="inlineStr">
        <is>
          <t>碳中和ETF华夏</t>
        </is>
      </c>
      <c r="D529" t="n">
        <v>164852.8485</v>
      </c>
      <c r="E529" t="n">
        <v>164252.8485</v>
      </c>
      <c r="F529" t="n">
        <v>0.79</v>
      </c>
      <c r="G529" t="n">
        <v>600</v>
      </c>
      <c r="H529" t="n">
        <v>13.023375</v>
      </c>
      <c r="I529" t="n">
        <v>13.036749</v>
      </c>
      <c r="J529" t="n">
        <v>-0.013374</v>
      </c>
      <c r="K529" s="4">
        <f>IFERROR(J529/I529,"")</f>
        <v/>
      </c>
      <c r="L529" s="4">
        <f>IFERROR((D529-E529)/E529,"")</f>
        <v/>
      </c>
    </row>
    <row r="530">
      <c r="A530" t="inlineStr">
        <is>
          <t>2026-06-19</t>
        </is>
      </c>
      <c r="B530" t="inlineStr">
        <is>
          <t>159791</t>
        </is>
      </c>
      <c r="C530" t="inlineStr">
        <is>
          <t>300ESGETF华夏</t>
        </is>
      </c>
      <c r="D530" t="n">
        <v>2708.3347</v>
      </c>
      <c r="E530" t="n">
        <v>2708.3347</v>
      </c>
      <c r="F530" t="n">
        <v>1.173</v>
      </c>
      <c r="G530" t="n">
        <v>0</v>
      </c>
      <c r="H530" t="n">
        <v>0.317688</v>
      </c>
      <c r="I530" t="n">
        <v>0.314275</v>
      </c>
      <c r="J530" t="n">
        <v>0.003413</v>
      </c>
      <c r="K530" s="4">
        <f>IFERROR(J530/I530,"")</f>
        <v/>
      </c>
      <c r="L530" s="4">
        <f>IFERROR((D530-E530)/E530,"")</f>
        <v/>
      </c>
    </row>
    <row r="531">
      <c r="A531" t="inlineStr">
        <is>
          <t>2026-06-19</t>
        </is>
      </c>
      <c r="B531" t="inlineStr">
        <is>
          <t>159792</t>
        </is>
      </c>
      <c r="C531" t="inlineStr">
        <is>
          <t>港股通互联网ETF富国</t>
        </is>
      </c>
      <c r="D531" t="n">
        <v>6878285.5237</v>
      </c>
      <c r="E531" t="n">
        <v>6978285.5237</v>
      </c>
      <c r="F531" t="n">
        <v>0.5858</v>
      </c>
      <c r="G531" t="n">
        <v>-100000</v>
      </c>
      <c r="H531" t="n">
        <v>402.929966</v>
      </c>
      <c r="I531" t="n">
        <v>411.649063</v>
      </c>
      <c r="J531" t="n">
        <v>-8.719097</v>
      </c>
      <c r="K531" s="4">
        <f>IFERROR(J531/I531,"")</f>
        <v/>
      </c>
      <c r="L531" s="4">
        <f>IFERROR((D531-E531)/E531,"")</f>
        <v/>
      </c>
    </row>
    <row r="532">
      <c r="A532" t="inlineStr">
        <is>
          <t>2026-06-19</t>
        </is>
      </c>
      <c r="B532" t="inlineStr">
        <is>
          <t>159793</t>
        </is>
      </c>
      <c r="C532" t="inlineStr">
        <is>
          <t>线上消费ETF平安</t>
        </is>
      </c>
      <c r="D532" t="n">
        <v>3975.8908</v>
      </c>
      <c r="E532" t="n">
        <v>3975.8908</v>
      </c>
      <c r="F532" t="n">
        <v>0.7848000000000001</v>
      </c>
      <c r="G532" t="n">
        <v>0</v>
      </c>
      <c r="H532" t="n">
        <v>0.312028</v>
      </c>
      <c r="I532" t="n">
        <v>0.314095</v>
      </c>
      <c r="J532" t="n">
        <v>-0.002067</v>
      </c>
      <c r="K532" s="4">
        <f>IFERROR(J532/I532,"")</f>
        <v/>
      </c>
      <c r="L532" s="4">
        <f>IFERROR((D532-E532)/E532,"")</f>
        <v/>
      </c>
    </row>
    <row r="533">
      <c r="A533" t="inlineStr">
        <is>
          <t>2026-06-19</t>
        </is>
      </c>
      <c r="B533" t="inlineStr">
        <is>
          <t>159795</t>
        </is>
      </c>
      <c r="C533" t="inlineStr">
        <is>
          <t>智能汽车ETF汇添富</t>
        </is>
      </c>
      <c r="D533" t="n">
        <v>2716.9473</v>
      </c>
      <c r="E533" t="n">
        <v>2716.9473</v>
      </c>
      <c r="F533" t="n">
        <v>1.0043</v>
      </c>
      <c r="G533" t="n">
        <v>0</v>
      </c>
      <c r="H533" t="n">
        <v>0.272863</v>
      </c>
      <c r="I533" t="n">
        <v>0.269385</v>
      </c>
      <c r="J533" t="n">
        <v>0.003478</v>
      </c>
      <c r="K533" s="4">
        <f>IFERROR(J533/I533,"")</f>
        <v/>
      </c>
      <c r="L533" s="4">
        <f>IFERROR((D533-E533)/E533,"")</f>
        <v/>
      </c>
    </row>
    <row r="534">
      <c r="A534" t="inlineStr">
        <is>
          <t>2026-06-19</t>
        </is>
      </c>
      <c r="B534" t="inlineStr">
        <is>
          <t>159796</t>
        </is>
      </c>
      <c r="C534" t="inlineStr">
        <is>
          <t>电池ETF汇添富</t>
        </is>
      </c>
      <c r="D534" t="n">
        <v>696846.755</v>
      </c>
      <c r="E534" t="n">
        <v>716946.755</v>
      </c>
      <c r="F534" t="n">
        <v>1.0674</v>
      </c>
      <c r="G534" t="n">
        <v>-20100</v>
      </c>
      <c r="H534" t="n">
        <v>74.381423</v>
      </c>
      <c r="I534" t="n">
        <v>76.806506</v>
      </c>
      <c r="J534" t="n">
        <v>-2.425083</v>
      </c>
      <c r="K534" s="4">
        <f>IFERROR(J534/I534,"")</f>
        <v/>
      </c>
      <c r="L534" s="4">
        <f>IFERROR((D534-E534)/E534,"")</f>
        <v/>
      </c>
    </row>
    <row r="535">
      <c r="A535" t="inlineStr">
        <is>
          <t>2026-06-19</t>
        </is>
      </c>
      <c r="B535" t="inlineStr">
        <is>
          <t>159797</t>
        </is>
      </c>
      <c r="C535" t="inlineStr">
        <is>
          <t>医疗器械ETF汇添富</t>
        </is>
      </c>
      <c r="D535" t="n">
        <v>37898.9247</v>
      </c>
      <c r="E535" t="n">
        <v>37898.9247</v>
      </c>
      <c r="F535" t="n">
        <v>0.6564</v>
      </c>
      <c r="G535" t="n">
        <v>0</v>
      </c>
      <c r="H535" t="n">
        <v>2.487685</v>
      </c>
      <c r="I535" t="n">
        <v>2.502466</v>
      </c>
      <c r="J535" t="n">
        <v>-0.014781</v>
      </c>
      <c r="K535" s="4">
        <f>IFERROR(J535/I535,"")</f>
        <v/>
      </c>
      <c r="L535" s="4">
        <f>IFERROR((D535-E535)/E535,"")</f>
        <v/>
      </c>
    </row>
    <row r="536">
      <c r="A536" t="inlineStr">
        <is>
          <t>2026-06-19</t>
        </is>
      </c>
      <c r="B536" t="inlineStr">
        <is>
          <t>159798</t>
        </is>
      </c>
      <c r="C536" t="inlineStr">
        <is>
          <t>消费ETF易方达</t>
        </is>
      </c>
      <c r="D536" t="n">
        <v>15824.539</v>
      </c>
      <c r="E536" t="n">
        <v>15524.539</v>
      </c>
      <c r="F536" t="n">
        <v>0.7939000000000001</v>
      </c>
      <c r="G536" t="n">
        <v>300</v>
      </c>
      <c r="H536" t="n">
        <v>1.25631</v>
      </c>
      <c r="I536" t="n">
        <v>1.243205</v>
      </c>
      <c r="J536" t="n">
        <v>0.013105</v>
      </c>
      <c r="K536" s="4">
        <f>IFERROR(J536/I536,"")</f>
        <v/>
      </c>
      <c r="L536" s="4">
        <f>IFERROR((D536-E536)/E536,"")</f>
        <v/>
      </c>
    </row>
    <row r="537">
      <c r="A537" t="inlineStr">
        <is>
          <t>2026-06-19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1.5217</v>
      </c>
      <c r="G537" t="n">
        <v>0</v>
      </c>
      <c r="H537" t="n">
        <v>0.406854</v>
      </c>
      <c r="I537" t="n">
        <v>0.40271</v>
      </c>
      <c r="J537" t="n">
        <v>0.004144</v>
      </c>
      <c r="K537" s="4">
        <f>IFERROR(J537/I537,"")</f>
        <v/>
      </c>
      <c r="L537" s="4">
        <f>IFERROR((D537-E537)/E537,"")</f>
        <v/>
      </c>
    </row>
    <row r="538">
      <c r="A538" t="inlineStr">
        <is>
          <t>2026-06-19</t>
        </is>
      </c>
      <c r="B538" t="inlineStr">
        <is>
          <t>159801</t>
        </is>
      </c>
      <c r="C538" t="inlineStr">
        <is>
          <t>芯片ETF广发</t>
        </is>
      </c>
      <c r="D538" t="n">
        <v>354512.0172</v>
      </c>
      <c r="E538" t="n">
        <v>359012.0172</v>
      </c>
      <c r="F538" t="n">
        <v>1.331</v>
      </c>
      <c r="G538" t="n">
        <v>-4500</v>
      </c>
      <c r="H538" t="n">
        <v>47.185549</v>
      </c>
      <c r="I538" t="n">
        <v>45.073959</v>
      </c>
      <c r="J538" t="n">
        <v>2.11159</v>
      </c>
      <c r="K538" s="4">
        <f>IFERROR(J538/I538,"")</f>
        <v/>
      </c>
      <c r="L538" s="4">
        <f>IFERROR((D538-E538)/E538,"")</f>
        <v/>
      </c>
    </row>
    <row r="539">
      <c r="A539" t="inlineStr">
        <is>
          <t>2026-06-19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1.8787</v>
      </c>
      <c r="G539" t="n">
        <v>0</v>
      </c>
      <c r="H539" t="n">
        <v>0.449003</v>
      </c>
      <c r="I539" t="n">
        <v>0.444964</v>
      </c>
      <c r="J539" t="n">
        <v>0.004039</v>
      </c>
      <c r="K539" s="4">
        <f>IFERROR(J539/I539,"")</f>
        <v/>
      </c>
      <c r="L539" s="4">
        <f>IFERROR((D539-E539)/E539,"")</f>
        <v/>
      </c>
    </row>
    <row r="540">
      <c r="A540" t="inlineStr">
        <is>
          <t>2026-06-19</t>
        </is>
      </c>
      <c r="B540" t="inlineStr">
        <is>
          <t>159805</t>
        </is>
      </c>
      <c r="C540" t="inlineStr">
        <is>
          <t>传媒ETF鹏华</t>
        </is>
      </c>
      <c r="D540" t="n">
        <v>26145.248</v>
      </c>
      <c r="E540" t="n">
        <v>26295.248</v>
      </c>
      <c r="F540" t="n">
        <v>1.1499</v>
      </c>
      <c r="G540" t="n">
        <v>-150</v>
      </c>
      <c r="H540" t="n">
        <v>3.006442</v>
      </c>
      <c r="I540" t="n">
        <v>3.068655</v>
      </c>
      <c r="J540" t="n">
        <v>-0.062213</v>
      </c>
      <c r="K540" s="4">
        <f>IFERROR(J540/I540,"")</f>
        <v/>
      </c>
      <c r="L540" s="4">
        <f>IFERROR((D540-E540)/E540,"")</f>
        <v/>
      </c>
    </row>
    <row r="541">
      <c r="A541" t="inlineStr">
        <is>
          <t>2026-06-19</t>
        </is>
      </c>
      <c r="B541" t="inlineStr">
        <is>
          <t>159806</t>
        </is>
      </c>
      <c r="C541" t="inlineStr">
        <is>
          <t>新能源车ETF国泰</t>
        </is>
      </c>
      <c r="D541" t="n">
        <v>86008.9446</v>
      </c>
      <c r="E541" t="n">
        <v>86508.9446</v>
      </c>
      <c r="F541" t="n">
        <v>0.8539</v>
      </c>
      <c r="G541" t="n">
        <v>-500</v>
      </c>
      <c r="H541" t="n">
        <v>7.344304</v>
      </c>
      <c r="I541" t="n">
        <v>7.425063</v>
      </c>
      <c r="J541" t="n">
        <v>-0.080759</v>
      </c>
      <c r="K541" s="4">
        <f>IFERROR(J541/I541,"")</f>
        <v/>
      </c>
      <c r="L541" s="4">
        <f>IFERROR((D541-E541)/E541,"")</f>
        <v/>
      </c>
    </row>
    <row r="542">
      <c r="A542" t="inlineStr">
        <is>
          <t>2026-06-19</t>
        </is>
      </c>
      <c r="B542" t="inlineStr">
        <is>
          <t>159807</t>
        </is>
      </c>
      <c r="C542" t="inlineStr">
        <is>
          <t>科技ETF易方达</t>
        </is>
      </c>
      <c r="D542" t="n">
        <v>81005.1428</v>
      </c>
      <c r="E542" t="n">
        <v>81905.1428</v>
      </c>
      <c r="F542" t="n">
        <v>1.0379</v>
      </c>
      <c r="G542" t="n">
        <v>-900</v>
      </c>
      <c r="H542" t="n">
        <v>8.407524</v>
      </c>
      <c r="I542" t="n">
        <v>8.209352000000001</v>
      </c>
      <c r="J542" t="n">
        <v>0.198172</v>
      </c>
      <c r="K542" s="4">
        <f>IFERROR(J542/I542,"")</f>
        <v/>
      </c>
      <c r="L542" s="4">
        <f>IFERROR((D542-E542)/E542,"")</f>
        <v/>
      </c>
    </row>
    <row r="543">
      <c r="A543" t="inlineStr">
        <is>
          <t>2026-06-19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1.6088</v>
      </c>
      <c r="G543" t="n">
        <v>0</v>
      </c>
      <c r="H543" t="n">
        <v>0.796111</v>
      </c>
      <c r="I543" t="n">
        <v>0.783988</v>
      </c>
      <c r="J543" t="n">
        <v>0.012123</v>
      </c>
      <c r="K543" s="4">
        <f>IFERROR(J543/I543,"")</f>
        <v/>
      </c>
      <c r="L543" s="4">
        <f>IFERROR((D543-E543)/E543,"")</f>
        <v/>
      </c>
    </row>
    <row r="544">
      <c r="A544" t="inlineStr">
        <is>
          <t>2026-06-19</t>
        </is>
      </c>
      <c r="B544" t="inlineStr">
        <is>
          <t>159810</t>
        </is>
      </c>
      <c r="C544" t="inlineStr">
        <is>
          <t>创业板ETF浦银</t>
        </is>
      </c>
      <c r="D544" t="n">
        <v>4547.5458</v>
      </c>
      <c r="E544" t="n">
        <v>4547.5458</v>
      </c>
      <c r="F544" t="n">
        <v>1.6775</v>
      </c>
      <c r="G544" t="n">
        <v>0</v>
      </c>
      <c r="H544" t="n">
        <v>0.7628509999999999</v>
      </c>
      <c r="I544" t="n">
        <v>0.751255</v>
      </c>
      <c r="J544" t="n">
        <v>0.011596</v>
      </c>
      <c r="K544" s="4">
        <f>IFERROR(J544/I544,"")</f>
        <v/>
      </c>
      <c r="L544" s="4">
        <f>IFERROR((D544-E544)/E544,"")</f>
        <v/>
      </c>
    </row>
    <row r="545">
      <c r="A545" t="inlineStr">
        <is>
          <t>2026-06-19</t>
        </is>
      </c>
      <c r="B545" t="inlineStr">
        <is>
          <t>159811</t>
        </is>
      </c>
      <c r="C545" t="inlineStr">
        <is>
          <t>5GETF博时</t>
        </is>
      </c>
      <c r="D545" t="n">
        <v>6834.3393</v>
      </c>
      <c r="E545" t="n">
        <v>6834.3393</v>
      </c>
      <c r="F545" t="n">
        <v>3.7326</v>
      </c>
      <c r="G545" t="n">
        <v>0</v>
      </c>
      <c r="H545" t="n">
        <v>2.550985</v>
      </c>
      <c r="I545" t="n">
        <v>2.485034</v>
      </c>
      <c r="J545" t="n">
        <v>0.065951</v>
      </c>
      <c r="K545" s="4">
        <f>IFERROR(J545/I545,"")</f>
        <v/>
      </c>
      <c r="L545" s="4">
        <f>IFERROR((D545-E545)/E545,"")</f>
        <v/>
      </c>
    </row>
    <row r="546">
      <c r="A546" t="inlineStr">
        <is>
          <t>2026-06-19</t>
        </is>
      </c>
      <c r="B546" t="inlineStr">
        <is>
          <t>159812</t>
        </is>
      </c>
      <c r="C546" t="inlineStr">
        <is>
          <t>黄金ETF前海开源</t>
        </is>
      </c>
      <c r="D546" t="n">
        <v>18031.3149</v>
      </c>
      <c r="E546" t="n">
        <v>18181.3149</v>
      </c>
      <c r="F546" t="n">
        <v>8.912699999999999</v>
      </c>
      <c r="G546" t="n">
        <v>-150</v>
      </c>
      <c r="H546" t="n">
        <v>16.07077</v>
      </c>
      <c r="I546" t="n">
        <v>16.227005</v>
      </c>
      <c r="J546" t="n">
        <v>-0.156235</v>
      </c>
      <c r="K546" s="4">
        <f>IFERROR(J546/I546,"")</f>
        <v/>
      </c>
      <c r="L546" s="4">
        <f>IFERROR((D546-E546)/E546,"")</f>
        <v/>
      </c>
    </row>
    <row r="547">
      <c r="A547" t="inlineStr">
        <is>
          <t>2026-06-19</t>
        </is>
      </c>
      <c r="B547" t="inlineStr">
        <is>
          <t>159813</t>
        </is>
      </c>
      <c r="C547" t="inlineStr">
        <is>
          <t>半导体ETF鹏华</t>
        </is>
      </c>
      <c r="D547" t="n">
        <v>316986.241</v>
      </c>
      <c r="E547" t="n">
        <v>324586.241</v>
      </c>
      <c r="F547" t="n">
        <v>1.72</v>
      </c>
      <c r="G547" t="n">
        <v>-7600</v>
      </c>
      <c r="H547" t="n">
        <v>54.521633</v>
      </c>
      <c r="I547" t="n">
        <v>52.673855</v>
      </c>
      <c r="J547" t="n">
        <v>1.847778</v>
      </c>
      <c r="K547" s="4">
        <f>IFERROR(J547/I547,"")</f>
        <v/>
      </c>
      <c r="L547" s="4">
        <f>IFERROR((D547-E547)/E547,"")</f>
        <v/>
      </c>
    </row>
    <row r="548">
      <c r="A548" t="inlineStr">
        <is>
          <t>2026-06-19</t>
        </is>
      </c>
      <c r="B548" t="inlineStr">
        <is>
          <t>159814</t>
        </is>
      </c>
      <c r="C548" t="inlineStr">
        <is>
          <t>创业大盘ETF西部利得</t>
        </is>
      </c>
      <c r="D548" t="n">
        <v>44624.652</v>
      </c>
      <c r="E548" t="n">
        <v>45224.652</v>
      </c>
      <c r="F548" t="n">
        <v>0.8762</v>
      </c>
      <c r="G548" t="n">
        <v>-600</v>
      </c>
      <c r="H548" t="n">
        <v>3.910012</v>
      </c>
      <c r="I548" t="n">
        <v>3.906053</v>
      </c>
      <c r="J548" t="n">
        <v>0.003959</v>
      </c>
      <c r="K548" s="4">
        <f>IFERROR(J548/I548,"")</f>
        <v/>
      </c>
      <c r="L548" s="4">
        <f>IFERROR((D548-E548)/E548,"")</f>
        <v/>
      </c>
    </row>
    <row r="549">
      <c r="A549" t="inlineStr">
        <is>
          <t>2026-06-19</t>
        </is>
      </c>
      <c r="B549" t="inlineStr">
        <is>
          <t>159816</t>
        </is>
      </c>
      <c r="C549" t="inlineStr">
        <is>
          <t>0-4年地方债ETF鹏华</t>
        </is>
      </c>
      <c r="D549" t="n">
        <v>9301.7484</v>
      </c>
      <c r="E549" t="n">
        <v>9291.7484</v>
      </c>
      <c r="F549" t="n">
        <v>114.3309</v>
      </c>
      <c r="G549" t="n">
        <v>10</v>
      </c>
      <c r="H549" t="n">
        <v>106.347727</v>
      </c>
      <c r="I549" t="n">
        <v>106.218901</v>
      </c>
      <c r="J549" t="n">
        <v>0.128826</v>
      </c>
      <c r="K549" s="4">
        <f>IFERROR(J549/I549,"")</f>
        <v/>
      </c>
      <c r="L549" s="4">
        <f>IFERROR((D549-E549)/E549,"")</f>
        <v/>
      </c>
    </row>
    <row r="550">
      <c r="A550" t="inlineStr">
        <is>
          <t>2026-06-19</t>
        </is>
      </c>
      <c r="B550" t="inlineStr">
        <is>
          <t>159819</t>
        </is>
      </c>
      <c r="C550" t="inlineStr">
        <is>
          <t>人工智能ETF易方达</t>
        </is>
      </c>
      <c r="D550" t="n">
        <v>1103122.9669</v>
      </c>
      <c r="E550" t="n">
        <v>1120522.9669</v>
      </c>
      <c r="F550" t="n">
        <v>2.0109</v>
      </c>
      <c r="G550" t="n">
        <v>-17400</v>
      </c>
      <c r="H550" t="n">
        <v>221.826997</v>
      </c>
      <c r="I550" t="n">
        <v>219.633707</v>
      </c>
      <c r="J550" t="n">
        <v>2.19329</v>
      </c>
      <c r="K550" s="4">
        <f>IFERROR(J550/I550,"")</f>
        <v/>
      </c>
      <c r="L550" s="4">
        <f>IFERROR((D550-E550)/E550,"")</f>
        <v/>
      </c>
    </row>
    <row r="551">
      <c r="A551" t="inlineStr">
        <is>
          <t>2026-06-19</t>
        </is>
      </c>
      <c r="B551" t="inlineStr">
        <is>
          <t>159820</t>
        </is>
      </c>
      <c r="C551" t="inlineStr">
        <is>
          <t>中证500ETF天弘</t>
        </is>
      </c>
      <c r="D551" t="n">
        <v>129140.847</v>
      </c>
      <c r="E551" t="n">
        <v>129140.847</v>
      </c>
      <c r="F551" t="n">
        <v>1.4827</v>
      </c>
      <c r="G551" t="n">
        <v>0</v>
      </c>
      <c r="H551" t="n">
        <v>19.147713</v>
      </c>
      <c r="I551" t="n">
        <v>18.881683</v>
      </c>
      <c r="J551" t="n">
        <v>0.26603</v>
      </c>
      <c r="K551" s="4">
        <f>IFERROR(J551/I551,"")</f>
        <v/>
      </c>
      <c r="L551" s="4">
        <f>IFERROR((D551-E551)/E551,"")</f>
        <v/>
      </c>
    </row>
    <row r="552">
      <c r="A552" t="inlineStr">
        <is>
          <t>2026-06-19</t>
        </is>
      </c>
      <c r="B552" t="inlineStr">
        <is>
          <t>159821</t>
        </is>
      </c>
      <c r="C552" t="inlineStr">
        <is>
          <t>创业板ETF中银证券</t>
        </is>
      </c>
      <c r="D552" t="n">
        <v>5162</v>
      </c>
      <c r="E552" t="n">
        <v>5292</v>
      </c>
      <c r="F552" t="n">
        <v>1.568</v>
      </c>
      <c r="G552" t="n">
        <v>-130</v>
      </c>
      <c r="H552" t="n">
        <v>0.809402</v>
      </c>
      <c r="I552" t="n">
        <v>0.817032</v>
      </c>
      <c r="J552" t="n">
        <v>-0.00763</v>
      </c>
      <c r="K552" s="4">
        <f>IFERROR(J552/I552,"")</f>
        <v/>
      </c>
      <c r="L552" s="4">
        <f>IFERROR((D552-E552)/E552,"")</f>
        <v/>
      </c>
    </row>
    <row r="553">
      <c r="A553" t="inlineStr">
        <is>
          <t>2026-06-19</t>
        </is>
      </c>
      <c r="B553" t="inlineStr">
        <is>
          <t>159822</t>
        </is>
      </c>
      <c r="C553" t="inlineStr">
        <is>
          <t>新经济ETF银华</t>
        </is>
      </c>
      <c r="D553" t="n">
        <v>32753.4315</v>
      </c>
      <c r="E553" t="n">
        <v>32753.4315</v>
      </c>
      <c r="F553" t="n">
        <v>0.5928</v>
      </c>
      <c r="G553" t="n">
        <v>0</v>
      </c>
      <c r="H553" t="n">
        <v>1.941623</v>
      </c>
      <c r="I553" t="n">
        <v>1.976342</v>
      </c>
      <c r="J553" t="n">
        <v>-0.034719</v>
      </c>
      <c r="K553" s="4">
        <f>IFERROR(J553/I553,"")</f>
        <v/>
      </c>
      <c r="L553" s="4">
        <f>IFERROR((D553-E553)/E553,"")</f>
        <v/>
      </c>
    </row>
    <row r="554">
      <c r="A554" t="inlineStr">
        <is>
          <t>2026-06-19</t>
        </is>
      </c>
      <c r="B554" t="inlineStr">
        <is>
          <t>159824</t>
        </is>
      </c>
      <c r="C554" t="inlineStr">
        <is>
          <t>新能源车ETF博时</t>
        </is>
      </c>
      <c r="D554" t="n">
        <v>8513.507</v>
      </c>
      <c r="E554" t="n">
        <v>8513.507</v>
      </c>
      <c r="F554" t="n">
        <v>1.2996</v>
      </c>
      <c r="G554" t="n">
        <v>0</v>
      </c>
      <c r="H554" t="n">
        <v>1.106415</v>
      </c>
      <c r="I554" t="n">
        <v>1.11246</v>
      </c>
      <c r="J554" t="n">
        <v>-0.006045</v>
      </c>
      <c r="K554" s="4">
        <f>IFERROR(J554/I554,"")</f>
        <v/>
      </c>
      <c r="L554" s="4">
        <f>IFERROR((D554-E554)/E554,"")</f>
        <v/>
      </c>
    </row>
    <row r="555">
      <c r="A555" t="inlineStr">
        <is>
          <t>2026-06-19</t>
        </is>
      </c>
      <c r="B555" t="inlineStr">
        <is>
          <t>159825</t>
        </is>
      </c>
      <c r="C555" t="inlineStr">
        <is>
          <t>农业ETF富国</t>
        </is>
      </c>
      <c r="D555" t="n">
        <v>248207.7407</v>
      </c>
      <c r="E555" t="n">
        <v>248007.7407</v>
      </c>
      <c r="F555" t="n">
        <v>0.6847</v>
      </c>
      <c r="G555" t="n">
        <v>200</v>
      </c>
      <c r="H555" t="n">
        <v>16.994784</v>
      </c>
      <c r="I555" t="n">
        <v>17.214217</v>
      </c>
      <c r="J555" t="n">
        <v>-0.219433</v>
      </c>
      <c r="K555" s="4">
        <f>IFERROR(J555/I555,"")</f>
        <v/>
      </c>
      <c r="L555" s="4">
        <f>IFERROR((D555-E555)/E555,"")</f>
        <v/>
      </c>
    </row>
    <row r="556">
      <c r="A556" t="inlineStr">
        <is>
          <t>2026-06-19</t>
        </is>
      </c>
      <c r="B556" t="inlineStr">
        <is>
          <t>159827</t>
        </is>
      </c>
      <c r="C556" t="inlineStr">
        <is>
          <t>农业ETF银华</t>
        </is>
      </c>
      <c r="D556" t="n">
        <v>9271.6463</v>
      </c>
      <c r="E556" t="n">
        <v>9271.6463</v>
      </c>
      <c r="F556" t="n">
        <v>0.7392</v>
      </c>
      <c r="G556" t="n">
        <v>0</v>
      </c>
      <c r="H556" t="n">
        <v>0.68536</v>
      </c>
      <c r="I556" t="n">
        <v>0.694724</v>
      </c>
      <c r="J556" t="n">
        <v>-0.009364000000000001</v>
      </c>
      <c r="K556" s="4">
        <f>IFERROR(J556/I556,"")</f>
        <v/>
      </c>
      <c r="L556" s="4">
        <f>IFERROR((D556-E556)/E556,"")</f>
        <v/>
      </c>
    </row>
    <row r="557">
      <c r="A557" t="inlineStr">
        <is>
          <t>2026-06-19</t>
        </is>
      </c>
      <c r="B557" t="inlineStr">
        <is>
          <t>159828</t>
        </is>
      </c>
      <c r="C557" t="inlineStr">
        <is>
          <t>医疗ETF国泰</t>
        </is>
      </c>
      <c r="D557" t="n">
        <v>576943.9464</v>
      </c>
      <c r="E557" t="n">
        <v>582643.9464</v>
      </c>
      <c r="F557" t="n">
        <v>0.3651</v>
      </c>
      <c r="G557" t="n">
        <v>-5700</v>
      </c>
      <c r="H557" t="n">
        <v>21.064223</v>
      </c>
      <c r="I557" t="n">
        <v>21.295636</v>
      </c>
      <c r="J557" t="n">
        <v>-0.231413</v>
      </c>
      <c r="K557" s="4">
        <f>IFERROR(J557/I557,"")</f>
        <v/>
      </c>
      <c r="L557" s="4">
        <f>IFERROR((D557-E557)/E557,"")</f>
        <v/>
      </c>
    </row>
    <row r="558">
      <c r="A558" t="inlineStr">
        <is>
          <t>2026-06-19</t>
        </is>
      </c>
      <c r="B558" t="inlineStr">
        <is>
          <t>159830</t>
        </is>
      </c>
      <c r="C558" t="inlineStr">
        <is>
          <t>金ETF天弘</t>
        </is>
      </c>
      <c r="D558" t="n">
        <v>38061.4066</v>
      </c>
      <c r="E558" t="n">
        <v>38361.4066</v>
      </c>
      <c r="F558" t="n">
        <v>9.3505</v>
      </c>
      <c r="G558" t="n">
        <v>-300</v>
      </c>
      <c r="H558" t="n">
        <v>35.589318</v>
      </c>
      <c r="I558" t="n">
        <v>35.8706</v>
      </c>
      <c r="J558" t="n">
        <v>-0.281282</v>
      </c>
      <c r="K558" s="4">
        <f>IFERROR(J558/I558,"")</f>
        <v/>
      </c>
      <c r="L558" s="4">
        <f>IFERROR((D558-E558)/E558,"")</f>
        <v/>
      </c>
    </row>
    <row r="559">
      <c r="A559" t="inlineStr">
        <is>
          <t>2026-06-19</t>
        </is>
      </c>
      <c r="B559" t="inlineStr">
        <is>
          <t>159831</t>
        </is>
      </c>
      <c r="C559" t="inlineStr">
        <is>
          <t>金ETF嘉实</t>
        </is>
      </c>
      <c r="D559" t="n">
        <v>20825.6243</v>
      </c>
      <c r="E559" t="n">
        <v>20885.6243</v>
      </c>
      <c r="F559" t="n">
        <v>9.0443</v>
      </c>
      <c r="G559" t="n">
        <v>-60</v>
      </c>
      <c r="H559" t="n">
        <v>18.835319</v>
      </c>
      <c r="I559" t="n">
        <v>18.890003</v>
      </c>
      <c r="J559" t="n">
        <v>-0.054684</v>
      </c>
      <c r="K559" s="4">
        <f>IFERROR(J559/I559,"")</f>
        <v/>
      </c>
      <c r="L559" s="4">
        <f>IFERROR((D559-E559)/E559,"")</f>
        <v/>
      </c>
    </row>
    <row r="560">
      <c r="A560" t="inlineStr">
        <is>
          <t>2026-06-19</t>
        </is>
      </c>
      <c r="B560" t="inlineStr">
        <is>
          <t>159834</t>
        </is>
      </c>
      <c r="C560" t="inlineStr">
        <is>
          <t>金ETF南方</t>
        </is>
      </c>
      <c r="D560" t="n">
        <v>19416.1376</v>
      </c>
      <c r="E560" t="n">
        <v>19676.1376</v>
      </c>
      <c r="F560" t="n">
        <v>9.351900000000001</v>
      </c>
      <c r="G560" t="n">
        <v>-260</v>
      </c>
      <c r="H560" t="n">
        <v>18.157778</v>
      </c>
      <c r="I560" t="n">
        <v>18.401321</v>
      </c>
      <c r="J560" t="n">
        <v>-0.243543</v>
      </c>
      <c r="K560" s="4">
        <f>IFERROR(J560/I560,"")</f>
        <v/>
      </c>
      <c r="L560" s="4">
        <f>IFERROR((D560-E560)/E560,"")</f>
        <v/>
      </c>
    </row>
    <row r="561">
      <c r="A561" t="inlineStr">
        <is>
          <t>2026-06-19</t>
        </is>
      </c>
      <c r="B561" t="inlineStr">
        <is>
          <t>159835</t>
        </is>
      </c>
      <c r="C561" t="inlineStr">
        <is>
          <t>创新药ETF建信</t>
        </is>
      </c>
      <c r="D561" t="n">
        <v>50350.4143</v>
      </c>
      <c r="E561" t="n">
        <v>50650.4143</v>
      </c>
      <c r="F561" t="n">
        <v>0.5570000000000001</v>
      </c>
      <c r="G561" t="n">
        <v>-300</v>
      </c>
      <c r="H561" t="n">
        <v>2.804518</v>
      </c>
      <c r="I561" t="n">
        <v>2.839462</v>
      </c>
      <c r="J561" t="n">
        <v>-0.034944</v>
      </c>
      <c r="K561" s="4">
        <f>IFERROR(J561/I561,"")</f>
        <v/>
      </c>
      <c r="L561" s="4">
        <f>IFERROR((D561-E561)/E561,"")</f>
        <v/>
      </c>
    </row>
    <row r="562">
      <c r="A562" t="inlineStr">
        <is>
          <t>2026-06-19</t>
        </is>
      </c>
      <c r="B562" t="inlineStr">
        <is>
          <t>159836</t>
        </is>
      </c>
      <c r="C562" t="inlineStr">
        <is>
          <t>创业板300ETF天弘</t>
        </is>
      </c>
      <c r="D562" t="n">
        <v>9374.711300000001</v>
      </c>
      <c r="E562" t="n">
        <v>9574.711300000001</v>
      </c>
      <c r="F562" t="n">
        <v>1.5163</v>
      </c>
      <c r="G562" t="n">
        <v>-200</v>
      </c>
      <c r="H562" t="n">
        <v>1.421487</v>
      </c>
      <c r="I562" t="n">
        <v>1.431611</v>
      </c>
      <c r="J562" t="n">
        <v>-0.010124</v>
      </c>
      <c r="K562" s="4">
        <f>IFERROR(J562/I562,"")</f>
        <v/>
      </c>
      <c r="L562" s="4">
        <f>IFERROR((D562-E562)/E562,"")</f>
        <v/>
      </c>
    </row>
    <row r="563">
      <c r="A563" t="inlineStr">
        <is>
          <t>2026-06-19</t>
        </is>
      </c>
      <c r="B563" t="inlineStr">
        <is>
          <t>159837</t>
        </is>
      </c>
      <c r="C563" t="inlineStr">
        <is>
          <t>生物科技ETF易方达</t>
        </is>
      </c>
      <c r="D563" t="n">
        <v>317215.2837</v>
      </c>
      <c r="E563" t="n">
        <v>316815.2837</v>
      </c>
      <c r="F563" t="n">
        <v>0.4184</v>
      </c>
      <c r="G563" t="n">
        <v>400</v>
      </c>
      <c r="H563" t="n">
        <v>13.272287</v>
      </c>
      <c r="I563" t="n">
        <v>13.315746</v>
      </c>
      <c r="J563" t="n">
        <v>-0.043459</v>
      </c>
      <c r="K563" s="4">
        <f>IFERROR(J563/I563,"")</f>
        <v/>
      </c>
      <c r="L563" s="4">
        <f>IFERROR((D563-E563)/E563,"")</f>
        <v/>
      </c>
    </row>
    <row r="564">
      <c r="A564" t="inlineStr">
        <is>
          <t>2026-06-19</t>
        </is>
      </c>
      <c r="B564" t="inlineStr">
        <is>
          <t>159838</t>
        </is>
      </c>
      <c r="C564" t="inlineStr">
        <is>
          <t>医药50ETF博时</t>
        </is>
      </c>
      <c r="D564" t="n">
        <v>29476.3462</v>
      </c>
      <c r="E564" t="n">
        <v>29476.3462</v>
      </c>
      <c r="F564" t="n">
        <v>0.5039</v>
      </c>
      <c r="G564" t="n">
        <v>0</v>
      </c>
      <c r="H564" t="n">
        <v>1.485313</v>
      </c>
      <c r="I564" t="n">
        <v>1.491208</v>
      </c>
      <c r="J564" t="n">
        <v>-0.005895</v>
      </c>
      <c r="K564" s="4">
        <f>IFERROR(J564/I564,"")</f>
        <v/>
      </c>
      <c r="L564" s="4">
        <f>IFERROR((D564-E564)/E564,"")</f>
        <v/>
      </c>
    </row>
    <row r="565">
      <c r="A565" t="inlineStr">
        <is>
          <t>2026-06-19</t>
        </is>
      </c>
      <c r="B565" t="inlineStr">
        <is>
          <t>159839</t>
        </is>
      </c>
      <c r="C565" t="inlineStr">
        <is>
          <t>生物医药ETF汇添富</t>
        </is>
      </c>
      <c r="D565" t="n">
        <v>330673.5165</v>
      </c>
      <c r="E565" t="n">
        <v>339523.5165</v>
      </c>
      <c r="F565" t="n">
        <v>0.2998</v>
      </c>
      <c r="G565" t="n">
        <v>-8850</v>
      </c>
      <c r="H565" t="n">
        <v>9.913592</v>
      </c>
      <c r="I565" t="n">
        <v>10.229844</v>
      </c>
      <c r="J565" t="n">
        <v>-0.316252</v>
      </c>
      <c r="K565" s="4">
        <f>IFERROR(J565/I565,"")</f>
        <v/>
      </c>
      <c r="L565" s="4">
        <f>IFERROR((D565-E565)/E565,"")</f>
        <v/>
      </c>
    </row>
    <row r="566">
      <c r="A566" t="inlineStr">
        <is>
          <t>2026-06-19</t>
        </is>
      </c>
      <c r="B566" t="inlineStr">
        <is>
          <t>159840</t>
        </is>
      </c>
      <c r="C566" t="inlineStr">
        <is>
          <t>锂电池ETF工银</t>
        </is>
      </c>
      <c r="D566" t="n">
        <v>213257.4851</v>
      </c>
      <c r="E566" t="n">
        <v>213357.4851</v>
      </c>
      <c r="F566" t="n">
        <v>0.9082</v>
      </c>
      <c r="G566" t="n">
        <v>-100</v>
      </c>
      <c r="H566" t="n">
        <v>19.368045</v>
      </c>
      <c r="I566" t="n">
        <v>19.398463</v>
      </c>
      <c r="J566" t="n">
        <v>-0.030418</v>
      </c>
      <c r="K566" s="4">
        <f>IFERROR(J566/I566,"")</f>
        <v/>
      </c>
      <c r="L566" s="4">
        <f>IFERROR((D566-E566)/E566,"")</f>
        <v/>
      </c>
    </row>
    <row r="567">
      <c r="A567" t="inlineStr">
        <is>
          <t>2026-06-19</t>
        </is>
      </c>
      <c r="B567" t="inlineStr">
        <is>
          <t>159841</t>
        </is>
      </c>
      <c r="C567" t="inlineStr">
        <is>
          <t>证券ETF天弘</t>
        </is>
      </c>
      <c r="D567" t="n">
        <v>1082323.8465</v>
      </c>
      <c r="E567" t="n">
        <v>1080283.8465</v>
      </c>
      <c r="F567" t="n">
        <v>0.9798</v>
      </c>
      <c r="G567" t="n">
        <v>2040</v>
      </c>
      <c r="H567" t="n">
        <v>106.04609</v>
      </c>
      <c r="I567" t="n">
        <v>105.997451</v>
      </c>
      <c r="J567" t="n">
        <v>0.048639</v>
      </c>
      <c r="K567" s="4">
        <f>IFERROR(J567/I567,"")</f>
        <v/>
      </c>
      <c r="L567" s="4">
        <f>IFERROR((D567-E567)/E567,"")</f>
        <v/>
      </c>
    </row>
    <row r="568">
      <c r="A568" t="inlineStr">
        <is>
          <t>2026-06-19</t>
        </is>
      </c>
      <c r="B568" t="inlineStr">
        <is>
          <t>159842</t>
        </is>
      </c>
      <c r="C568" t="inlineStr">
        <is>
          <t>券商ETF银华</t>
        </is>
      </c>
      <c r="D568" t="n">
        <v>971725.0631</v>
      </c>
      <c r="E568" t="n">
        <v>958025.0631</v>
      </c>
      <c r="F568" t="n">
        <v>1.0284</v>
      </c>
      <c r="G568" t="n">
        <v>13700</v>
      </c>
      <c r="H568" t="n">
        <v>99.932205</v>
      </c>
      <c r="I568" t="n">
        <v>98.647841</v>
      </c>
      <c r="J568" t="n">
        <v>1.284364</v>
      </c>
      <c r="K568" s="4">
        <f>IFERROR(J568/I568,"")</f>
        <v/>
      </c>
      <c r="L568" s="4">
        <f>IFERROR((D568-E568)/E568,"")</f>
        <v/>
      </c>
    </row>
    <row r="569">
      <c r="A569" t="inlineStr">
        <is>
          <t>2026-06-19</t>
        </is>
      </c>
      <c r="B569" t="inlineStr">
        <is>
          <t>159843</t>
        </is>
      </c>
      <c r="C569" t="inlineStr">
        <is>
          <t>食品饮料ETF招商</t>
        </is>
      </c>
      <c r="D569" t="n">
        <v>67045.5141</v>
      </c>
      <c r="E569" t="n">
        <v>66895.5141</v>
      </c>
      <c r="F569" t="n">
        <v>0.5232</v>
      </c>
      <c r="G569" t="n">
        <v>150</v>
      </c>
      <c r="H569" t="n">
        <v>3.507821</v>
      </c>
      <c r="I569" t="n">
        <v>3.524725</v>
      </c>
      <c r="J569" t="n">
        <v>-0.016904</v>
      </c>
      <c r="K569" s="4">
        <f>IFERROR(J569/I569,"")</f>
        <v/>
      </c>
      <c r="L569" s="4">
        <f>IFERROR((D569-E569)/E569,"")</f>
        <v/>
      </c>
    </row>
    <row r="570">
      <c r="A570" t="inlineStr">
        <is>
          <t>2026-06-19</t>
        </is>
      </c>
      <c r="B570" t="inlineStr">
        <is>
          <t>159845</t>
        </is>
      </c>
      <c r="C570" t="inlineStr">
        <is>
          <t>中证1000ETF华夏</t>
        </is>
      </c>
      <c r="D570" t="n">
        <v>128642.5606</v>
      </c>
      <c r="E570" t="n">
        <v>126242.5606</v>
      </c>
      <c r="F570" t="n">
        <v>3.6062</v>
      </c>
      <c r="G570" t="n">
        <v>2400</v>
      </c>
      <c r="H570" t="n">
        <v>46.39108</v>
      </c>
      <c r="I570" t="n">
        <v>45.218823</v>
      </c>
      <c r="J570" t="n">
        <v>1.172257</v>
      </c>
      <c r="K570" s="4">
        <f>IFERROR(J570/I570,"")</f>
        <v/>
      </c>
      <c r="L570" s="4">
        <f>IFERROR((D570-E570)/E570,"")</f>
        <v/>
      </c>
    </row>
    <row r="571">
      <c r="A571" t="inlineStr">
        <is>
          <t>2026-06-19</t>
        </is>
      </c>
      <c r="B571" t="inlineStr">
        <is>
          <t>159847</t>
        </is>
      </c>
      <c r="C571" t="inlineStr">
        <is>
          <t>医疗ETF易方达</t>
        </is>
      </c>
      <c r="D571" t="n">
        <v>427182.5354</v>
      </c>
      <c r="E571" t="n">
        <v>430682.5354</v>
      </c>
      <c r="F571" t="n">
        <v>0.3476</v>
      </c>
      <c r="G571" t="n">
        <v>-3500</v>
      </c>
      <c r="H571" t="n">
        <v>14.848865</v>
      </c>
      <c r="I571" t="n">
        <v>14.987752</v>
      </c>
      <c r="J571" t="n">
        <v>-0.138887</v>
      </c>
      <c r="K571" s="4">
        <f>IFERROR(J571/I571,"")</f>
        <v/>
      </c>
      <c r="L571" s="4">
        <f>IFERROR((D571-E571)/E571,"")</f>
        <v/>
      </c>
    </row>
    <row r="572">
      <c r="A572" t="inlineStr">
        <is>
          <t>2026-06-19</t>
        </is>
      </c>
      <c r="B572" t="inlineStr">
        <is>
          <t>159848</t>
        </is>
      </c>
      <c r="C572" t="inlineStr">
        <is>
          <t>证券ETF国联安</t>
        </is>
      </c>
      <c r="D572" t="n">
        <v>16231.1239</v>
      </c>
      <c r="E572" t="n">
        <v>16281.1239</v>
      </c>
      <c r="F572" t="n">
        <v>0.8612</v>
      </c>
      <c r="G572" t="n">
        <v>-50</v>
      </c>
      <c r="H572" t="n">
        <v>1.397824</v>
      </c>
      <c r="I572" t="n">
        <v>1.404084</v>
      </c>
      <c r="J572" t="n">
        <v>-0.00626</v>
      </c>
      <c r="K572" s="4">
        <f>IFERROR(J572/I572,"")</f>
        <v/>
      </c>
      <c r="L572" s="4">
        <f>IFERROR((D572-E572)/E572,"")</f>
        <v/>
      </c>
    </row>
    <row r="573">
      <c r="A573" t="inlineStr">
        <is>
          <t>2026-06-19</t>
        </is>
      </c>
      <c r="B573" t="inlineStr">
        <is>
          <t>159849</t>
        </is>
      </c>
      <c r="C573" t="inlineStr">
        <is>
          <t>生物科技ETF招商</t>
        </is>
      </c>
      <c r="D573" t="n">
        <v>17537.2396</v>
      </c>
      <c r="E573" t="n">
        <v>17437.2396</v>
      </c>
      <c r="F573" t="n">
        <v>0.4272</v>
      </c>
      <c r="G573" t="n">
        <v>100</v>
      </c>
      <c r="H573" t="n">
        <v>0.7491910000000001</v>
      </c>
      <c r="I573" t="n">
        <v>0.7485810000000001</v>
      </c>
      <c r="J573" t="n">
        <v>0.00061</v>
      </c>
      <c r="K573" s="4">
        <f>IFERROR(J573/I573,"")</f>
        <v/>
      </c>
      <c r="L573" s="4">
        <f>IFERROR((D573-E573)/E573,"")</f>
        <v/>
      </c>
    </row>
    <row r="574">
      <c r="A574" t="inlineStr">
        <is>
          <t>2026-06-19</t>
        </is>
      </c>
      <c r="B574" t="inlineStr">
        <is>
          <t>159850</t>
        </is>
      </c>
      <c r="C574" t="inlineStr">
        <is>
          <t>恒生国企ETF华夏</t>
        </is>
      </c>
      <c r="D574" t="n">
        <v>57070.6498</v>
      </c>
      <c r="E574" t="n">
        <v>57070.6498</v>
      </c>
      <c r="F574" t="n">
        <v>0.7948</v>
      </c>
      <c r="G574" t="n">
        <v>0</v>
      </c>
      <c r="H574" t="n">
        <v>4.535975</v>
      </c>
      <c r="I574" t="n">
        <v>4.591334</v>
      </c>
      <c r="J574" t="n">
        <v>-0.055359</v>
      </c>
      <c r="K574" s="4">
        <f>IFERROR(J574/I574,"")</f>
        <v/>
      </c>
      <c r="L574" s="4">
        <f>IFERROR((D574-E574)/E574,"")</f>
        <v/>
      </c>
    </row>
    <row r="575">
      <c r="A575" t="inlineStr">
        <is>
          <t>2026-06-19</t>
        </is>
      </c>
      <c r="B575" t="inlineStr">
        <is>
          <t>159851</t>
        </is>
      </c>
      <c r="C575" t="inlineStr">
        <is>
          <t>金融科技ETF华宝</t>
        </is>
      </c>
      <c r="D575" t="n">
        <v>989290.4148</v>
      </c>
      <c r="E575" t="n">
        <v>994590.4148</v>
      </c>
      <c r="F575" t="n">
        <v>0.6474</v>
      </c>
      <c r="G575" t="n">
        <v>-5300</v>
      </c>
      <c r="H575" t="n">
        <v>64.046661</v>
      </c>
      <c r="I575" t="n">
        <v>64.628485</v>
      </c>
      <c r="J575" t="n">
        <v>-0.581824</v>
      </c>
      <c r="K575" s="4">
        <f>IFERROR(J575/I575,"")</f>
        <v/>
      </c>
      <c r="L575" s="4">
        <f>IFERROR((D575-E575)/E575,"")</f>
        <v/>
      </c>
    </row>
    <row r="576">
      <c r="A576" t="inlineStr">
        <is>
          <t>2026-06-19</t>
        </is>
      </c>
      <c r="B576" t="inlineStr">
        <is>
          <t>159852</t>
        </is>
      </c>
      <c r="C576" t="inlineStr">
        <is>
          <t>软件ETF嘉实</t>
        </is>
      </c>
      <c r="D576" t="n">
        <v>1150462.3921</v>
      </c>
      <c r="E576" t="n">
        <v>1156962.3921</v>
      </c>
      <c r="F576" t="n">
        <v>0.7014</v>
      </c>
      <c r="G576" t="n">
        <v>-6500</v>
      </c>
      <c r="H576" t="n">
        <v>80.693432</v>
      </c>
      <c r="I576" t="n">
        <v>81.46172199999999</v>
      </c>
      <c r="J576" t="n">
        <v>-0.76829</v>
      </c>
      <c r="K576" s="4">
        <f>IFERROR(J576/I576,"")</f>
        <v/>
      </c>
      <c r="L576" s="4">
        <f>IFERROR((D576-E576)/E576,"")</f>
        <v/>
      </c>
    </row>
    <row r="577">
      <c r="A577" t="inlineStr">
        <is>
          <t>2026-06-19</t>
        </is>
      </c>
      <c r="B577" t="inlineStr">
        <is>
          <t>159855</t>
        </is>
      </c>
      <c r="C577" t="inlineStr">
        <is>
          <t>影视ETF银华</t>
        </is>
      </c>
      <c r="D577" t="n">
        <v>16492.5236</v>
      </c>
      <c r="E577" t="n">
        <v>16642.5236</v>
      </c>
      <c r="F577" t="n">
        <v>0.7625</v>
      </c>
      <c r="G577" t="n">
        <v>-150</v>
      </c>
      <c r="H577" t="n">
        <v>1.257555</v>
      </c>
      <c r="I577" t="n">
        <v>1.302777</v>
      </c>
      <c r="J577" t="n">
        <v>-0.045222</v>
      </c>
      <c r="K577" s="4">
        <f>IFERROR(J577/I577,"")</f>
        <v/>
      </c>
      <c r="L577" s="4">
        <f>IFERROR((D577-E577)/E577,"")</f>
        <v/>
      </c>
    </row>
    <row r="578">
      <c r="A578" t="inlineStr">
        <is>
          <t>2026-06-19</t>
        </is>
      </c>
      <c r="B578" t="inlineStr">
        <is>
          <t>159856</t>
        </is>
      </c>
      <c r="C578" t="inlineStr">
        <is>
          <t>互联网龙头ETF工银</t>
        </is>
      </c>
      <c r="D578" t="n">
        <v>35537.2474</v>
      </c>
      <c r="E578" t="n">
        <v>35537.2474</v>
      </c>
      <c r="F578" t="n">
        <v>0.5682</v>
      </c>
      <c r="G578" t="n">
        <v>0</v>
      </c>
      <c r="H578" t="n">
        <v>2.019226</v>
      </c>
      <c r="I578" t="n">
        <v>2.0274</v>
      </c>
      <c r="J578" t="n">
        <v>-0.008174000000000001</v>
      </c>
      <c r="K578" s="4">
        <f>IFERROR(J578/I578,"")</f>
        <v/>
      </c>
      <c r="L578" s="4">
        <f>IFERROR((D578-E578)/E578,"")</f>
        <v/>
      </c>
    </row>
    <row r="579">
      <c r="A579" t="inlineStr">
        <is>
          <t>2026-06-19</t>
        </is>
      </c>
      <c r="B579" t="inlineStr">
        <is>
          <t>159857</t>
        </is>
      </c>
      <c r="C579" t="inlineStr">
        <is>
          <t>光伏ETF天弘</t>
        </is>
      </c>
      <c r="D579" t="n">
        <v>227951.5725</v>
      </c>
      <c r="E579" t="n">
        <v>229451.5725</v>
      </c>
      <c r="F579" t="n">
        <v>0.8766</v>
      </c>
      <c r="G579" t="n">
        <v>-1500</v>
      </c>
      <c r="H579" t="n">
        <v>19.982235</v>
      </c>
      <c r="I579" t="n">
        <v>20.212389</v>
      </c>
      <c r="J579" t="n">
        <v>-0.230154</v>
      </c>
      <c r="K579" s="4">
        <f>IFERROR(J579/I579,"")</f>
        <v/>
      </c>
      <c r="L579" s="4">
        <f>IFERROR((D579-E579)/E579,"")</f>
        <v/>
      </c>
    </row>
    <row r="580">
      <c r="A580" t="inlineStr">
        <is>
          <t>2026-06-19</t>
        </is>
      </c>
      <c r="B580" t="inlineStr">
        <is>
          <t>159858</t>
        </is>
      </c>
      <c r="C580" t="inlineStr">
        <is>
          <t>创新药ETF南方</t>
        </is>
      </c>
      <c r="D580" t="n">
        <v>77209.8318</v>
      </c>
      <c r="E580" t="n">
        <v>77609.8318</v>
      </c>
      <c r="F580" t="n">
        <v>0.5719</v>
      </c>
      <c r="G580" t="n">
        <v>-400</v>
      </c>
      <c r="H580" t="n">
        <v>4.41563</v>
      </c>
      <c r="I580" t="n">
        <v>4.467222</v>
      </c>
      <c r="J580" t="n">
        <v>-0.051592</v>
      </c>
      <c r="K580" s="4">
        <f>IFERROR(J580/I580,"")</f>
        <v/>
      </c>
      <c r="L580" s="4">
        <f>IFERROR((D580-E580)/E580,"")</f>
        <v/>
      </c>
    </row>
    <row r="581">
      <c r="A581" t="inlineStr">
        <is>
          <t>2026-06-19</t>
        </is>
      </c>
      <c r="B581" t="inlineStr">
        <is>
          <t>159859</t>
        </is>
      </c>
      <c r="C581" t="inlineStr">
        <is>
          <t>生物医药ETF天弘</t>
        </is>
      </c>
      <c r="D581" t="n">
        <v>1272284.0054</v>
      </c>
      <c r="E581" t="n">
        <v>1282004.0054</v>
      </c>
      <c r="F581" t="n">
        <v>0.3226</v>
      </c>
      <c r="G581" t="n">
        <v>-9720</v>
      </c>
      <c r="H581" t="n">
        <v>41.043882</v>
      </c>
      <c r="I581" t="n">
        <v>41.54975</v>
      </c>
      <c r="J581" t="n">
        <v>-0.505868</v>
      </c>
      <c r="K581" s="4">
        <f>IFERROR(J581/I581,"")</f>
        <v/>
      </c>
      <c r="L581" s="4">
        <f>IFERROR((D581-E581)/E581,"")</f>
        <v/>
      </c>
    </row>
    <row r="582">
      <c r="A582" t="inlineStr">
        <is>
          <t>2026-06-19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9811.753500000001</v>
      </c>
      <c r="F582" t="n">
        <v>1.1952</v>
      </c>
      <c r="G582" t="n">
        <v>0</v>
      </c>
      <c r="H582" t="n">
        <v>1.172701</v>
      </c>
      <c r="I582" t="n">
        <v>1.174761</v>
      </c>
      <c r="J582" t="n">
        <v>-0.00206</v>
      </c>
      <c r="K582" s="4">
        <f>IFERROR(J582/I582,"")</f>
        <v/>
      </c>
      <c r="L582" s="4">
        <f>IFERROR((D582-E582)/E582,"")</f>
        <v/>
      </c>
    </row>
    <row r="583">
      <c r="A583" t="inlineStr">
        <is>
          <t>2026-06-19</t>
        </is>
      </c>
      <c r="B583" t="inlineStr">
        <is>
          <t>159862</t>
        </is>
      </c>
      <c r="C583" t="inlineStr">
        <is>
          <t>食品饮料ETF银华</t>
        </is>
      </c>
      <c r="D583" t="n">
        <v>35400.0623</v>
      </c>
      <c r="E583" t="n">
        <v>35400.0623</v>
      </c>
      <c r="F583" t="n">
        <v>0.5281</v>
      </c>
      <c r="G583" t="n">
        <v>0</v>
      </c>
      <c r="H583" t="n">
        <v>1.869477</v>
      </c>
      <c r="I583" t="n">
        <v>1.881867</v>
      </c>
      <c r="J583" t="n">
        <v>-0.01239</v>
      </c>
      <c r="K583" s="4">
        <f>IFERROR(J583/I583,"")</f>
        <v/>
      </c>
      <c r="L583" s="4">
        <f>IFERROR((D583-E583)/E583,"")</f>
        <v/>
      </c>
    </row>
    <row r="584">
      <c r="A584" t="inlineStr">
        <is>
          <t>2026-06-19</t>
        </is>
      </c>
      <c r="B584" t="inlineStr">
        <is>
          <t>159863</t>
        </is>
      </c>
      <c r="C584" t="inlineStr">
        <is>
          <t>光伏ETF鹏华</t>
        </is>
      </c>
      <c r="D584" t="n">
        <v>29672.9352</v>
      </c>
      <c r="E584" t="n">
        <v>29772.9352</v>
      </c>
      <c r="F584" t="n">
        <v>0.6844</v>
      </c>
      <c r="G584" t="n">
        <v>-100</v>
      </c>
      <c r="H584" t="n">
        <v>2.030816</v>
      </c>
      <c r="I584" t="n">
        <v>2.047485</v>
      </c>
      <c r="J584" t="n">
        <v>-0.016669</v>
      </c>
      <c r="K584" s="4">
        <f>IFERROR(J584/I584,"")</f>
        <v/>
      </c>
      <c r="L584" s="4">
        <f>IFERROR((D584-E584)/E584,"")</f>
        <v/>
      </c>
    </row>
    <row r="585">
      <c r="A585" t="inlineStr">
        <is>
          <t>2026-06-19</t>
        </is>
      </c>
      <c r="B585" t="inlineStr">
        <is>
          <t>159864</t>
        </is>
      </c>
      <c r="C585" t="inlineStr">
        <is>
          <t>光伏ETF国泰</t>
        </is>
      </c>
      <c r="D585" t="n">
        <v>67652.6827</v>
      </c>
      <c r="E585" t="n">
        <v>67552.6827</v>
      </c>
      <c r="F585" t="n">
        <v>0.6737</v>
      </c>
      <c r="G585" t="n">
        <v>100</v>
      </c>
      <c r="H585" t="n">
        <v>4.557761</v>
      </c>
      <c r="I585" t="n">
        <v>4.570615</v>
      </c>
      <c r="J585" t="n">
        <v>-0.012854</v>
      </c>
      <c r="K585" s="4">
        <f>IFERROR(J585/I585,"")</f>
        <v/>
      </c>
      <c r="L585" s="4">
        <f>IFERROR((D585-E585)/E585,"")</f>
        <v/>
      </c>
    </row>
    <row r="586">
      <c r="A586" t="inlineStr">
        <is>
          <t>2026-06-19</t>
        </is>
      </c>
      <c r="B586" t="inlineStr">
        <is>
          <t>159865</t>
        </is>
      </c>
      <c r="C586" t="inlineStr">
        <is>
          <t>养殖ETF国泰</t>
        </is>
      </c>
      <c r="D586" t="n">
        <v>1107845.5659</v>
      </c>
      <c r="E586" t="n">
        <v>1108145.5659</v>
      </c>
      <c r="F586" t="n">
        <v>0.5026</v>
      </c>
      <c r="G586" t="n">
        <v>-300</v>
      </c>
      <c r="H586" t="n">
        <v>55.680318</v>
      </c>
      <c r="I586" t="n">
        <v>56.581913</v>
      </c>
      <c r="J586" t="n">
        <v>-0.901595</v>
      </c>
      <c r="K586" s="4">
        <f>IFERROR(J586/I586,"")</f>
        <v/>
      </c>
      <c r="L586" s="4">
        <f>IFERROR((D586-E586)/E586,"")</f>
        <v/>
      </c>
    </row>
    <row r="587">
      <c r="A587" t="inlineStr">
        <is>
          <t>2026-06-19</t>
        </is>
      </c>
      <c r="B587" t="inlineStr">
        <is>
          <t>159866</t>
        </is>
      </c>
      <c r="C587" t="inlineStr">
        <is>
          <t>日经ETF工银</t>
        </is>
      </c>
      <c r="D587" t="n">
        <v>76797.93769999999</v>
      </c>
      <c r="E587" t="n">
        <v>76597.93769999999</v>
      </c>
      <c r="F587" t="n">
        <v>1.735</v>
      </c>
      <c r="G587" t="n">
        <v>200</v>
      </c>
      <c r="H587" t="n">
        <v>13.324442</v>
      </c>
      <c r="I587" t="n">
        <v>13.177143</v>
      </c>
      <c r="J587" t="n">
        <v>0.147299</v>
      </c>
      <c r="K587" s="4">
        <f>IFERROR(J587/I587,"")</f>
        <v/>
      </c>
      <c r="L587" s="4">
        <f>IFERROR((D587-E587)/E587,"")</f>
        <v/>
      </c>
    </row>
    <row r="588">
      <c r="A588" t="inlineStr">
        <is>
          <t>2026-06-19</t>
        </is>
      </c>
      <c r="B588" t="inlineStr">
        <is>
          <t>159867</t>
        </is>
      </c>
      <c r="C588" t="inlineStr">
        <is>
          <t>养殖ETF鹏华</t>
        </is>
      </c>
      <c r="D588" t="n">
        <v>169064.3594</v>
      </c>
      <c r="E588" t="n">
        <v>169414.3594</v>
      </c>
      <c r="F588" t="n">
        <v>0.5107</v>
      </c>
      <c r="G588" t="n">
        <v>-350</v>
      </c>
      <c r="H588" t="n">
        <v>8.634117</v>
      </c>
      <c r="I588" t="n">
        <v>8.780746000000001</v>
      </c>
      <c r="J588" t="n">
        <v>-0.146629</v>
      </c>
      <c r="K588" s="4">
        <f>IFERROR(J588/I588,"")</f>
        <v/>
      </c>
      <c r="L588" s="4">
        <f>IFERROR((D588-E588)/E588,"")</f>
        <v/>
      </c>
    </row>
    <row r="589">
      <c r="A589" t="inlineStr">
        <is>
          <t>2026-06-19</t>
        </is>
      </c>
      <c r="B589" t="inlineStr">
        <is>
          <t>159869</t>
        </is>
      </c>
      <c r="C589" t="inlineStr">
        <is>
          <t>游戏ETF华夏</t>
        </is>
      </c>
      <c r="D589" t="n">
        <v>679608.2127</v>
      </c>
      <c r="E589" t="n">
        <v>682608.2127</v>
      </c>
      <c r="F589" t="n">
        <v>1.0452</v>
      </c>
      <c r="G589" t="n">
        <v>-3000</v>
      </c>
      <c r="H589" t="n">
        <v>71.03265</v>
      </c>
      <c r="I589" t="n">
        <v>72.67046999999999</v>
      </c>
      <c r="J589" t="n">
        <v>-1.63782</v>
      </c>
      <c r="K589" s="4">
        <f>IFERROR(J589/I589,"")</f>
        <v/>
      </c>
      <c r="L589" s="4">
        <f>IFERROR((D589-E589)/E589,"")</f>
        <v/>
      </c>
    </row>
    <row r="590">
      <c r="A590" t="inlineStr">
        <is>
          <t>2026-06-19</t>
        </is>
      </c>
      <c r="B590" t="inlineStr">
        <is>
          <t>159870</t>
        </is>
      </c>
      <c r="C590" t="inlineStr">
        <is>
          <t>化工ETF鹏华</t>
        </is>
      </c>
      <c r="D590" t="n">
        <v>1941310.7019</v>
      </c>
      <c r="E590" t="n">
        <v>2044560.7019</v>
      </c>
      <c r="F590" t="n">
        <v>0.8579</v>
      </c>
      <c r="G590" t="n">
        <v>-103250</v>
      </c>
      <c r="H590" t="n">
        <v>166.545045</v>
      </c>
      <c r="I590" t="n">
        <v>175.382417</v>
      </c>
      <c r="J590" t="n">
        <v>-8.837372</v>
      </c>
      <c r="K590" s="4">
        <f>IFERROR(J590/I590,"")</f>
        <v/>
      </c>
      <c r="L590" s="4">
        <f>IFERROR((D590-E590)/E590,"")</f>
        <v/>
      </c>
    </row>
    <row r="591">
      <c r="A591" t="inlineStr">
        <is>
          <t>2026-06-19</t>
        </is>
      </c>
      <c r="B591" t="inlineStr">
        <is>
          <t>159871</t>
        </is>
      </c>
      <c r="C591" t="inlineStr">
        <is>
          <t>有色ETF银华</t>
        </is>
      </c>
      <c r="D591" t="n">
        <v>120773.2506</v>
      </c>
      <c r="E591" t="n">
        <v>121173.2506</v>
      </c>
      <c r="F591" t="n">
        <v>1.021</v>
      </c>
      <c r="G591" t="n">
        <v>-400</v>
      </c>
      <c r="H591" t="n">
        <v>12.330949</v>
      </c>
      <c r="I591" t="n">
        <v>12.403294</v>
      </c>
      <c r="J591" t="n">
        <v>-0.07234500000000001</v>
      </c>
      <c r="K591" s="4">
        <f>IFERROR(J591/I591,"")</f>
        <v/>
      </c>
      <c r="L591" s="4">
        <f>IFERROR((D591-E591)/E591,"")</f>
        <v/>
      </c>
    </row>
    <row r="592">
      <c r="A592" t="inlineStr">
        <is>
          <t>2026-06-19</t>
        </is>
      </c>
      <c r="B592" t="inlineStr">
        <is>
          <t>159872</t>
        </is>
      </c>
      <c r="C592" t="inlineStr">
        <is>
          <t>智能网联汽车ETF鹏华</t>
        </is>
      </c>
      <c r="D592" t="n">
        <v>5929.9732</v>
      </c>
      <c r="E592" t="n">
        <v>6029.9732</v>
      </c>
      <c r="F592" t="n">
        <v>0.9067</v>
      </c>
      <c r="G592" t="n">
        <v>-100</v>
      </c>
      <c r="H592" t="n">
        <v>0.537671</v>
      </c>
      <c r="I592" t="n">
        <v>0.549331</v>
      </c>
      <c r="J592" t="n">
        <v>-0.01166</v>
      </c>
      <c r="K592" s="4">
        <f>IFERROR(J592/I592,"")</f>
        <v/>
      </c>
      <c r="L592" s="4">
        <f>IFERROR((D592-E592)/E592,"")</f>
        <v/>
      </c>
    </row>
    <row r="593">
      <c r="A593" t="inlineStr">
        <is>
          <t>2026-06-19</t>
        </is>
      </c>
      <c r="B593" t="inlineStr">
        <is>
          <t>159873</t>
        </is>
      </c>
      <c r="C593" t="inlineStr">
        <is>
          <t>医疗设备ETF天弘</t>
        </is>
      </c>
      <c r="D593" t="n">
        <v>52992</v>
      </c>
      <c r="E593" t="n">
        <v>53392</v>
      </c>
      <c r="F593" t="n">
        <v>0.5061</v>
      </c>
      <c r="G593" t="n">
        <v>-400</v>
      </c>
      <c r="H593" t="n">
        <v>2.681925</v>
      </c>
      <c r="I593" t="n">
        <v>2.714983</v>
      </c>
      <c r="J593" t="n">
        <v>-0.033058</v>
      </c>
      <c r="K593" s="4">
        <f>IFERROR(J593/I593,"")</f>
        <v/>
      </c>
      <c r="L593" s="4">
        <f>IFERROR((D593-E593)/E593,"")</f>
        <v/>
      </c>
    </row>
    <row r="594">
      <c r="A594" t="inlineStr">
        <is>
          <t>2026-06-19</t>
        </is>
      </c>
      <c r="B594" t="inlineStr">
        <is>
          <t>159875</t>
        </is>
      </c>
      <c r="C594" t="inlineStr">
        <is>
          <t>新能源ETF嘉实</t>
        </is>
      </c>
      <c r="D594" t="n">
        <v>195916.2899</v>
      </c>
      <c r="E594" t="n">
        <v>191716.2899</v>
      </c>
      <c r="F594" t="n">
        <v>0.7164</v>
      </c>
      <c r="G594" t="n">
        <v>4200</v>
      </c>
      <c r="H594" t="n">
        <v>14.035443</v>
      </c>
      <c r="I594" t="n">
        <v>13.753727</v>
      </c>
      <c r="J594" t="n">
        <v>0.281716</v>
      </c>
      <c r="K594" s="4">
        <f>IFERROR(J594/I594,"")</f>
        <v/>
      </c>
      <c r="L594" s="4">
        <f>IFERROR((D594-E594)/E594,"")</f>
        <v/>
      </c>
    </row>
    <row r="595">
      <c r="A595" t="inlineStr">
        <is>
          <t>2026-06-19</t>
        </is>
      </c>
      <c r="B595" t="inlineStr">
        <is>
          <t>159876</t>
        </is>
      </c>
      <c r="C595" t="inlineStr">
        <is>
          <t>有色ETF华宝</t>
        </is>
      </c>
      <c r="D595" t="n">
        <v>146757.7018</v>
      </c>
      <c r="E595" t="n">
        <v>147777.7018</v>
      </c>
      <c r="F595" t="n">
        <v>1.0493</v>
      </c>
      <c r="G595" t="n">
        <v>-1020</v>
      </c>
      <c r="H595" t="n">
        <v>15.399286</v>
      </c>
      <c r="I595" t="n">
        <v>15.544736</v>
      </c>
      <c r="J595" t="n">
        <v>-0.14545</v>
      </c>
      <c r="K595" s="4">
        <f>IFERROR(J595/I595,"")</f>
        <v/>
      </c>
      <c r="L595" s="4">
        <f>IFERROR((D595-E595)/E595,"")</f>
        <v/>
      </c>
    </row>
    <row r="596">
      <c r="A596" t="inlineStr">
        <is>
          <t>2026-06-19</t>
        </is>
      </c>
      <c r="B596" t="inlineStr">
        <is>
          <t>159877</t>
        </is>
      </c>
      <c r="C596" t="inlineStr">
        <is>
          <t>医疗ETF南方</t>
        </is>
      </c>
      <c r="D596" t="n">
        <v>20779.2292</v>
      </c>
      <c r="E596" t="n">
        <v>20979.2292</v>
      </c>
      <c r="F596" t="n">
        <v>0.4977</v>
      </c>
      <c r="G596" t="n">
        <v>-200</v>
      </c>
      <c r="H596" t="n">
        <v>1.034182</v>
      </c>
      <c r="I596" t="n">
        <v>1.048961</v>
      </c>
      <c r="J596" t="n">
        <v>-0.014779</v>
      </c>
      <c r="K596" s="4">
        <f>IFERROR(J596/I596,"")</f>
        <v/>
      </c>
      <c r="L596" s="4">
        <f>IFERROR((D596-E596)/E596,"")</f>
        <v/>
      </c>
    </row>
    <row r="597">
      <c r="A597" t="inlineStr">
        <is>
          <t>2026-06-19</t>
        </is>
      </c>
      <c r="B597" t="inlineStr">
        <is>
          <t>159880</t>
        </is>
      </c>
      <c r="C597" t="inlineStr">
        <is>
          <t>有色ETF鹏华</t>
        </is>
      </c>
      <c r="D597" t="n">
        <v>68755.15180000001</v>
      </c>
      <c r="E597" t="n">
        <v>69055.15180000001</v>
      </c>
      <c r="F597" t="n">
        <v>2.0575</v>
      </c>
      <c r="G597" t="n">
        <v>-300</v>
      </c>
      <c r="H597" t="n">
        <v>14.146372</v>
      </c>
      <c r="I597" t="n">
        <v>14.239863</v>
      </c>
      <c r="J597" t="n">
        <v>-0.093491</v>
      </c>
      <c r="K597" s="4">
        <f>IFERROR(J597/I597,"")</f>
        <v/>
      </c>
      <c r="L597" s="4">
        <f>IFERROR((D597-E597)/E597,"")</f>
        <v/>
      </c>
    </row>
    <row r="598">
      <c r="A598" t="inlineStr">
        <is>
          <t>2026-06-19</t>
        </is>
      </c>
      <c r="B598" t="inlineStr">
        <is>
          <t>159881</t>
        </is>
      </c>
      <c r="C598" t="inlineStr">
        <is>
          <t>有色金属ETF国泰</t>
        </is>
      </c>
      <c r="D598" t="n">
        <v>8524.9583</v>
      </c>
      <c r="E598" t="n">
        <v>8524.9583</v>
      </c>
      <c r="F598" t="n">
        <v>1.9577</v>
      </c>
      <c r="G598" t="n">
        <v>0</v>
      </c>
      <c r="H598" t="n">
        <v>1.668931</v>
      </c>
      <c r="I598" t="n">
        <v>1.673194</v>
      </c>
      <c r="J598" t="n">
        <v>-0.004263</v>
      </c>
      <c r="K598" s="4">
        <f>IFERROR(J598/I598,"")</f>
        <v/>
      </c>
      <c r="L598" s="4">
        <f>IFERROR((D598-E598)/E598,"")</f>
        <v/>
      </c>
    </row>
    <row r="599">
      <c r="A599" t="inlineStr">
        <is>
          <t>2026-06-19</t>
        </is>
      </c>
      <c r="B599" t="inlineStr">
        <is>
          <t>159883</t>
        </is>
      </c>
      <c r="C599" t="inlineStr">
        <is>
          <t>医疗器械ETF永赢</t>
        </is>
      </c>
      <c r="D599" t="n">
        <v>932003.7843000001</v>
      </c>
      <c r="E599" t="n">
        <v>942003.7843000001</v>
      </c>
      <c r="F599" t="n">
        <v>0.4266</v>
      </c>
      <c r="G599" t="n">
        <v>-10000</v>
      </c>
      <c r="H599" t="n">
        <v>39.759281</v>
      </c>
      <c r="I599" t="n">
        <v>40.430802</v>
      </c>
      <c r="J599" t="n">
        <v>-0.671521</v>
      </c>
      <c r="K599" s="4">
        <f>IFERROR(J599/I599,"")</f>
        <v/>
      </c>
      <c r="L599" s="4">
        <f>IFERROR((D599-E599)/E599,"")</f>
        <v/>
      </c>
    </row>
    <row r="600">
      <c r="A600" t="inlineStr">
        <is>
          <t>2026-06-19</t>
        </is>
      </c>
      <c r="B600" t="inlineStr">
        <is>
          <t>159885</t>
        </is>
      </c>
      <c r="C600" t="inlineStr">
        <is>
          <t>碳中和ETF鹏华</t>
        </is>
      </c>
      <c r="D600" t="n">
        <v>24846.7316</v>
      </c>
      <c r="E600" t="n">
        <v>24846.7316</v>
      </c>
      <c r="F600" t="n">
        <v>0.8087</v>
      </c>
      <c r="G600" t="n">
        <v>0</v>
      </c>
      <c r="H600" t="n">
        <v>2.009355</v>
      </c>
      <c r="I600" t="n">
        <v>2.018797</v>
      </c>
      <c r="J600" t="n">
        <v>-0.009442000000000001</v>
      </c>
      <c r="K600" s="4">
        <f>IFERROR(J600/I600,"")</f>
        <v/>
      </c>
      <c r="L600" s="4">
        <f>IFERROR((D600-E600)/E600,"")</f>
        <v/>
      </c>
    </row>
    <row r="601">
      <c r="A601" t="inlineStr">
        <is>
          <t>2026-06-19</t>
        </is>
      </c>
      <c r="B601" t="inlineStr">
        <is>
          <t>159886</t>
        </is>
      </c>
      <c r="C601" t="inlineStr">
        <is>
          <t>机械ETF富国</t>
        </is>
      </c>
      <c r="D601" t="n">
        <v>6664.2555</v>
      </c>
      <c r="E601" t="n">
        <v>6664.2555</v>
      </c>
      <c r="F601" t="n">
        <v>1.039</v>
      </c>
      <c r="G601" t="n">
        <v>0</v>
      </c>
      <c r="H601" t="n">
        <v>0.692416</v>
      </c>
      <c r="I601" t="n">
        <v>0.689617</v>
      </c>
      <c r="J601" t="n">
        <v>0.002799</v>
      </c>
      <c r="K601" s="4">
        <f>IFERROR(J601/I601,"")</f>
        <v/>
      </c>
      <c r="L601" s="4">
        <f>IFERROR((D601-E601)/E601,"")</f>
        <v/>
      </c>
    </row>
    <row r="602">
      <c r="A602" t="inlineStr">
        <is>
          <t>2026-06-19</t>
        </is>
      </c>
      <c r="B602" t="inlineStr">
        <is>
          <t>159887</t>
        </is>
      </c>
      <c r="C602" t="inlineStr">
        <is>
          <t>银行ETF富国</t>
        </is>
      </c>
      <c r="D602" t="n">
        <v>77011.595</v>
      </c>
      <c r="E602" t="n">
        <v>76951.595</v>
      </c>
      <c r="F602" t="n">
        <v>1.2807</v>
      </c>
      <c r="G602" t="n">
        <v>60</v>
      </c>
      <c r="H602" t="n">
        <v>9.862875000000001</v>
      </c>
      <c r="I602" t="n">
        <v>9.947533</v>
      </c>
      <c r="J602" t="n">
        <v>-0.084658</v>
      </c>
      <c r="K602" s="4">
        <f>IFERROR(J602/I602,"")</f>
        <v/>
      </c>
      <c r="L602" s="4">
        <f>IFERROR((D602-E602)/E602,"")</f>
        <v/>
      </c>
    </row>
    <row r="603">
      <c r="A603" t="inlineStr">
        <is>
          <t>2026-06-19</t>
        </is>
      </c>
      <c r="B603" t="inlineStr">
        <is>
          <t>159888</t>
        </is>
      </c>
      <c r="C603" t="inlineStr">
        <is>
          <t>智能汽车ETF华夏</t>
        </is>
      </c>
      <c r="D603" t="n">
        <v>8544.6068</v>
      </c>
      <c r="E603" t="n">
        <v>8144.6068</v>
      </c>
      <c r="F603" t="n">
        <v>1.1745</v>
      </c>
      <c r="G603" t="n">
        <v>400</v>
      </c>
      <c r="H603" t="n">
        <v>1.003564</v>
      </c>
      <c r="I603" t="n">
        <v>0.944286</v>
      </c>
      <c r="J603" t="n">
        <v>0.059278</v>
      </c>
      <c r="K603" s="4">
        <f>IFERROR(J603/I603,"")</f>
        <v/>
      </c>
      <c r="L603" s="4">
        <f>IFERROR((D603-E603)/E603,"")</f>
        <v/>
      </c>
    </row>
    <row r="604">
      <c r="A604" t="inlineStr">
        <is>
          <t>2026-06-19</t>
        </is>
      </c>
      <c r="B604" t="inlineStr">
        <is>
          <t>159889</t>
        </is>
      </c>
      <c r="C604" t="inlineStr">
        <is>
          <t>智能汽车ETF国泰</t>
        </is>
      </c>
      <c r="D604" t="n">
        <v>3140.0796</v>
      </c>
      <c r="E604" t="n">
        <v>3140.0796</v>
      </c>
      <c r="F604" t="n">
        <v>1.0106</v>
      </c>
      <c r="G604" t="n">
        <v>0</v>
      </c>
      <c r="H604" t="n">
        <v>0.317336</v>
      </c>
      <c r="I604" t="n">
        <v>0.313286</v>
      </c>
      <c r="J604" t="n">
        <v>0.00405</v>
      </c>
      <c r="K604" s="4">
        <f>IFERROR(J604/I604,"")</f>
        <v/>
      </c>
      <c r="L604" s="4">
        <f>IFERROR((D604-E604)/E604,"")</f>
        <v/>
      </c>
    </row>
    <row r="605">
      <c r="A605" t="inlineStr">
        <is>
          <t>2026-06-19</t>
        </is>
      </c>
      <c r="B605" t="inlineStr">
        <is>
          <t>159890</t>
        </is>
      </c>
      <c r="C605" t="inlineStr">
        <is>
          <t>云计算ETF招商</t>
        </is>
      </c>
      <c r="D605" t="n">
        <v>24959.0688</v>
      </c>
      <c r="E605" t="n">
        <v>25159.0688</v>
      </c>
      <c r="F605" t="n">
        <v>1.7459</v>
      </c>
      <c r="G605" t="n">
        <v>-200</v>
      </c>
      <c r="H605" t="n">
        <v>4.357604</v>
      </c>
      <c r="I605" t="n">
        <v>4.35277</v>
      </c>
      <c r="J605" t="n">
        <v>0.004834</v>
      </c>
      <c r="K605" s="4">
        <f>IFERROR(J605/I605,"")</f>
        <v/>
      </c>
      <c r="L605" s="4">
        <f>IFERROR((D605-E605)/E605,"")</f>
        <v/>
      </c>
    </row>
    <row r="606">
      <c r="A606" t="inlineStr">
        <is>
          <t>2026-06-19</t>
        </is>
      </c>
      <c r="B606" t="inlineStr">
        <is>
          <t>159891</t>
        </is>
      </c>
      <c r="C606" t="inlineStr">
        <is>
          <t>医疗ETF建信</t>
        </is>
      </c>
      <c r="D606" t="n">
        <v>33302.4837</v>
      </c>
      <c r="E606" t="n">
        <v>33302.4837</v>
      </c>
      <c r="F606" t="n">
        <v>0.3738</v>
      </c>
      <c r="G606" t="n">
        <v>0</v>
      </c>
      <c r="H606" t="n">
        <v>1.244847</v>
      </c>
      <c r="I606" t="n">
        <v>1.250508</v>
      </c>
      <c r="J606" t="n">
        <v>-0.005661</v>
      </c>
      <c r="K606" s="4">
        <f>IFERROR(J606/I606,"")</f>
        <v/>
      </c>
      <c r="L606" s="4">
        <f>IFERROR((D606-E606)/E606,"")</f>
        <v/>
      </c>
    </row>
    <row r="607">
      <c r="A607" t="inlineStr">
        <is>
          <t>2026-06-19</t>
        </is>
      </c>
      <c r="B607" t="inlineStr">
        <is>
          <t>159892</t>
        </is>
      </c>
      <c r="C607" t="inlineStr">
        <is>
          <t>恒生医药ETF华夏</t>
        </is>
      </c>
      <c r="D607" t="n">
        <v>715426.6022</v>
      </c>
      <c r="E607" t="n">
        <v>724326.6022</v>
      </c>
      <c r="F607" t="n">
        <v>0.6159</v>
      </c>
      <c r="G607" t="n">
        <v>-8900</v>
      </c>
      <c r="H607" t="n">
        <v>44.063124</v>
      </c>
      <c r="I607" t="n">
        <v>45.234196</v>
      </c>
      <c r="J607" t="n">
        <v>-1.171072</v>
      </c>
      <c r="K607" s="4">
        <f>IFERROR(J607/I607,"")</f>
        <v/>
      </c>
      <c r="L607" s="4">
        <f>IFERROR((D607-E607)/E607,"")</f>
        <v/>
      </c>
    </row>
    <row r="608">
      <c r="A608" t="inlineStr">
        <is>
          <t>2026-06-19</t>
        </is>
      </c>
      <c r="B608" t="inlineStr">
        <is>
          <t>159895</t>
        </is>
      </c>
      <c r="C608" t="inlineStr">
        <is>
          <t>物联网ETF易方达</t>
        </is>
      </c>
      <c r="D608" t="n">
        <v>7224.1864</v>
      </c>
      <c r="E608" t="n">
        <v>7224.1864</v>
      </c>
      <c r="F608" t="n">
        <v>1.5953</v>
      </c>
      <c r="G608" t="n">
        <v>0</v>
      </c>
      <c r="H608" t="n">
        <v>1.152474</v>
      </c>
      <c r="I608" t="n">
        <v>1.122639</v>
      </c>
      <c r="J608" t="n">
        <v>0.029835</v>
      </c>
      <c r="K608" s="4">
        <f>IFERROR(J608/I608,"")</f>
        <v/>
      </c>
      <c r="L608" s="4">
        <f>IFERROR((D608-E608)/E608,"")</f>
        <v/>
      </c>
    </row>
    <row r="609">
      <c r="A609" t="inlineStr">
        <is>
          <t>2026-06-19</t>
        </is>
      </c>
      <c r="B609" t="inlineStr">
        <is>
          <t>159896</t>
        </is>
      </c>
      <c r="C609" t="inlineStr">
        <is>
          <t>物联网ETF南方</t>
        </is>
      </c>
      <c r="D609" t="n">
        <v>3605.596</v>
      </c>
      <c r="E609" t="n">
        <v>3605.596</v>
      </c>
      <c r="F609" t="n">
        <v>1.4802</v>
      </c>
      <c r="G609" t="n">
        <v>0</v>
      </c>
      <c r="H609" t="n">
        <v>0.5337</v>
      </c>
      <c r="I609" t="n">
        <v>0.519711</v>
      </c>
      <c r="J609" t="n">
        <v>0.013989</v>
      </c>
      <c r="K609" s="4">
        <f>IFERROR(J609/I609,"")</f>
        <v/>
      </c>
      <c r="L609" s="4">
        <f>IFERROR((D609-E609)/E609,"")</f>
        <v/>
      </c>
    </row>
    <row r="610">
      <c r="A610" t="inlineStr">
        <is>
          <t>2026-06-19</t>
        </is>
      </c>
      <c r="B610" t="inlineStr">
        <is>
          <t>159898</t>
        </is>
      </c>
      <c r="C610" t="inlineStr">
        <is>
          <t>医疗器械ETF招商</t>
        </is>
      </c>
      <c r="D610" t="n">
        <v>96709.88250000001</v>
      </c>
      <c r="E610" t="n">
        <v>91909.88250000001</v>
      </c>
      <c r="F610" t="n">
        <v>0.473</v>
      </c>
      <c r="G610" t="n">
        <v>4800</v>
      </c>
      <c r="H610" t="n">
        <v>4.574377</v>
      </c>
      <c r="I610" t="n">
        <v>4.372153</v>
      </c>
      <c r="J610" t="n">
        <v>0.202224</v>
      </c>
      <c r="K610" s="4">
        <f>IFERROR(J610/I610,"")</f>
        <v/>
      </c>
      <c r="L610" s="4">
        <f>IFERROR((D610-E610)/E610,"")</f>
        <v/>
      </c>
    </row>
    <row r="611">
      <c r="A611" t="inlineStr">
        <is>
          <t>2026-06-19</t>
        </is>
      </c>
      <c r="B611" t="inlineStr">
        <is>
          <t>159899</t>
        </is>
      </c>
      <c r="C611" t="inlineStr">
        <is>
          <t>软件ETF招商</t>
        </is>
      </c>
      <c r="D611" t="n">
        <v>83297.7729</v>
      </c>
      <c r="E611" t="n">
        <v>83497.7729</v>
      </c>
      <c r="F611" t="n">
        <v>0.7267</v>
      </c>
      <c r="G611" t="n">
        <v>-200</v>
      </c>
      <c r="H611" t="n">
        <v>6.053249</v>
      </c>
      <c r="I611" t="n">
        <v>6.086988</v>
      </c>
      <c r="J611" t="n">
        <v>-0.033739</v>
      </c>
      <c r="K611" s="4">
        <f>IFERROR(J611/I611,"")</f>
        <v/>
      </c>
      <c r="L611" s="4">
        <f>IFERROR((D611-E611)/E611,"")</f>
        <v/>
      </c>
    </row>
    <row r="612">
      <c r="A612" t="inlineStr">
        <is>
          <t>2026-06-19</t>
        </is>
      </c>
      <c r="B612" t="inlineStr">
        <is>
          <t>159901</t>
        </is>
      </c>
      <c r="C612" t="inlineStr">
        <is>
          <t>深证100ETF易方达</t>
        </is>
      </c>
      <c r="D612" t="n">
        <v>93163.493</v>
      </c>
      <c r="E612" t="n">
        <v>92323.493</v>
      </c>
      <c r="F612" t="n">
        <v>4.0745</v>
      </c>
      <c r="G612" t="n">
        <v>840</v>
      </c>
      <c r="H612" t="n">
        <v>37.959465</v>
      </c>
      <c r="I612" t="n">
        <v>37.15282</v>
      </c>
      <c r="J612" t="n">
        <v>0.8066449999999999</v>
      </c>
      <c r="K612" s="4">
        <f>IFERROR(J612/I612,"")</f>
        <v/>
      </c>
      <c r="L612" s="4">
        <f>IFERROR((D612-E612)/E612,"")</f>
        <v/>
      </c>
    </row>
    <row r="613">
      <c r="A613" t="inlineStr">
        <is>
          <t>2026-06-19</t>
        </is>
      </c>
      <c r="B613" t="inlineStr">
        <is>
          <t>159902</t>
        </is>
      </c>
      <c r="C613" t="inlineStr">
        <is>
          <t>中小100ETF华夏</t>
        </is>
      </c>
      <c r="D613" t="n">
        <v>7196.0849</v>
      </c>
      <c r="E613" t="n">
        <v>7346.0849</v>
      </c>
      <c r="F613" t="n">
        <v>5.0606</v>
      </c>
      <c r="G613" t="n">
        <v>-150</v>
      </c>
      <c r="H613" t="n">
        <v>3.641651</v>
      </c>
      <c r="I613" t="n">
        <v>3.660628</v>
      </c>
      <c r="J613" t="n">
        <v>-0.018977</v>
      </c>
      <c r="K613" s="4">
        <f>IFERROR(J613/I613,"")</f>
        <v/>
      </c>
      <c r="L613" s="4">
        <f>IFERROR((D613-E613)/E613,"")</f>
        <v/>
      </c>
    </row>
    <row r="614">
      <c r="A614" t="inlineStr">
        <is>
          <t>2026-06-19</t>
        </is>
      </c>
      <c r="B614" t="inlineStr">
        <is>
          <t>159903</t>
        </is>
      </c>
      <c r="C614" t="inlineStr">
        <is>
          <t>深成ETF南方</t>
        </is>
      </c>
      <c r="D614" t="n">
        <v>29815.4507</v>
      </c>
      <c r="E614" t="n">
        <v>29815.4507</v>
      </c>
      <c r="F614" t="n">
        <v>1.9319</v>
      </c>
      <c r="G614" t="n">
        <v>0</v>
      </c>
      <c r="H614" t="n">
        <v>5.760047</v>
      </c>
      <c r="I614" t="n">
        <v>5.68521</v>
      </c>
      <c r="J614" t="n">
        <v>0.074837</v>
      </c>
      <c r="K614" s="4">
        <f>IFERROR(J614/I614,"")</f>
        <v/>
      </c>
      <c r="L614" s="4">
        <f>IFERROR((D614-E614)/E614,"")</f>
        <v/>
      </c>
    </row>
    <row r="615">
      <c r="A615" t="inlineStr">
        <is>
          <t>2026-06-19</t>
        </is>
      </c>
      <c r="B615" t="inlineStr">
        <is>
          <t>159905</t>
        </is>
      </c>
      <c r="C615" t="inlineStr">
        <is>
          <t>红利ETF工银</t>
        </is>
      </c>
      <c r="D615" t="n">
        <v>115044.3951</v>
      </c>
      <c r="E615" t="n">
        <v>115244.3951</v>
      </c>
      <c r="F615" t="n">
        <v>1.6861</v>
      </c>
      <c r="G615" t="n">
        <v>-200</v>
      </c>
      <c r="H615" t="n">
        <v>19.397635</v>
      </c>
      <c r="I615" t="n">
        <v>19.346077</v>
      </c>
      <c r="J615" t="n">
        <v>0.051558</v>
      </c>
      <c r="K615" s="4">
        <f>IFERROR(J615/I615,"")</f>
        <v/>
      </c>
      <c r="L615" s="4">
        <f>IFERROR((D615-E615)/E615,"")</f>
        <v/>
      </c>
    </row>
    <row r="616">
      <c r="A616" t="inlineStr">
        <is>
          <t>2026-06-19</t>
        </is>
      </c>
      <c r="B616" t="inlineStr">
        <is>
          <t>159906</t>
        </is>
      </c>
      <c r="C616" t="inlineStr">
        <is>
          <t>深成长ETF大成</t>
        </is>
      </c>
      <c r="D616" t="n">
        <v>17963.9725</v>
      </c>
      <c r="E616" t="n">
        <v>17563.9725</v>
      </c>
      <c r="F616" t="n">
        <v>2.1283</v>
      </c>
      <c r="G616" t="n">
        <v>400</v>
      </c>
      <c r="H616" t="n">
        <v>3.823272</v>
      </c>
      <c r="I616" t="n">
        <v>3.62415</v>
      </c>
      <c r="J616" t="n">
        <v>0.199122</v>
      </c>
      <c r="K616" s="4">
        <f>IFERROR(J616/I616,"")</f>
        <v/>
      </c>
      <c r="L616" s="4">
        <f>IFERROR((D616-E616)/E616,"")</f>
        <v/>
      </c>
    </row>
    <row r="617">
      <c r="A617" t="inlineStr">
        <is>
          <t>2026-06-19</t>
        </is>
      </c>
      <c r="B617" t="inlineStr">
        <is>
          <t>159907</t>
        </is>
      </c>
      <c r="C617" t="inlineStr">
        <is>
          <t>国证2000ETF广发</t>
        </is>
      </c>
      <c r="D617" t="n">
        <v>16719.7694</v>
      </c>
      <c r="E617" t="n">
        <v>16719.7694</v>
      </c>
      <c r="F617" t="n">
        <v>1.1743</v>
      </c>
      <c r="G617" t="n">
        <v>0</v>
      </c>
      <c r="H617" t="n">
        <v>1.963403</v>
      </c>
      <c r="I617" t="n">
        <v>1.957885</v>
      </c>
      <c r="J617" t="n">
        <v>0.005518</v>
      </c>
      <c r="K617" s="4">
        <f>IFERROR(J617/I617,"")</f>
        <v/>
      </c>
      <c r="L617" s="4">
        <f>IFERROR((D617-E617)/E617,"")</f>
        <v/>
      </c>
    </row>
    <row r="618">
      <c r="A618" t="inlineStr">
        <is>
          <t>2026-06-19</t>
        </is>
      </c>
      <c r="B618" t="inlineStr">
        <is>
          <t>159908</t>
        </is>
      </c>
      <c r="C618" t="inlineStr">
        <is>
          <t>创业板ETF博时</t>
        </is>
      </c>
      <c r="D618" t="n">
        <v>33122.9029</v>
      </c>
      <c r="E618" t="n">
        <v>33622.9029</v>
      </c>
      <c r="F618" t="n">
        <v>3.8862</v>
      </c>
      <c r="G618" t="n">
        <v>-500</v>
      </c>
      <c r="H618" t="n">
        <v>12.872223</v>
      </c>
      <c r="I618" t="n">
        <v>12.867149</v>
      </c>
      <c r="J618" t="n">
        <v>0.005074</v>
      </c>
      <c r="K618" s="4">
        <f>IFERROR(J618/I618,"")</f>
        <v/>
      </c>
      <c r="L618" s="4">
        <f>IFERROR((D618-E618)/E618,"")</f>
        <v/>
      </c>
    </row>
    <row r="619">
      <c r="A619" t="inlineStr">
        <is>
          <t>2026-06-19</t>
        </is>
      </c>
      <c r="B619" t="inlineStr">
        <is>
          <t>159909</t>
        </is>
      </c>
      <c r="C619" t="inlineStr">
        <is>
          <t>TMT50ETF招商</t>
        </is>
      </c>
      <c r="D619" t="n">
        <v>48156.1992</v>
      </c>
      <c r="E619" t="n">
        <v>48406.1992</v>
      </c>
      <c r="F619" t="n">
        <v>1.5554</v>
      </c>
      <c r="G619" t="n">
        <v>-250</v>
      </c>
      <c r="H619" t="n">
        <v>7.490215</v>
      </c>
      <c r="I619" t="n">
        <v>7.260446</v>
      </c>
      <c r="J619" t="n">
        <v>0.229769</v>
      </c>
      <c r="K619" s="4">
        <f>IFERROR(J619/I619,"")</f>
        <v/>
      </c>
      <c r="L619" s="4">
        <f>IFERROR((D619-E619)/E619,"")</f>
        <v/>
      </c>
    </row>
    <row r="620">
      <c r="A620" t="inlineStr">
        <is>
          <t>2026-06-19</t>
        </is>
      </c>
      <c r="B620" t="inlineStr">
        <is>
          <t>159910</t>
        </is>
      </c>
      <c r="C620" t="inlineStr">
        <is>
          <t>基本面120ETF嘉实</t>
        </is>
      </c>
      <c r="D620" t="n">
        <v>8690.614299999999</v>
      </c>
      <c r="E620" t="n">
        <v>8690.614299999999</v>
      </c>
      <c r="F620" t="n">
        <v>2.3739</v>
      </c>
      <c r="G620" t="n">
        <v>0</v>
      </c>
      <c r="H620" t="n">
        <v>2.063065</v>
      </c>
      <c r="I620" t="n">
        <v>2.056286</v>
      </c>
      <c r="J620" t="n">
        <v>0.006779</v>
      </c>
      <c r="K620" s="4">
        <f>IFERROR(J620/I620,"")</f>
        <v/>
      </c>
      <c r="L620" s="4">
        <f>IFERROR((D620-E620)/E620,"")</f>
        <v/>
      </c>
    </row>
    <row r="621">
      <c r="A621" t="inlineStr">
        <is>
          <t>2026-06-19</t>
        </is>
      </c>
      <c r="B621" t="inlineStr">
        <is>
          <t>159912</t>
        </is>
      </c>
      <c r="C621" t="inlineStr">
        <is>
          <t>深300ETF汇添富</t>
        </is>
      </c>
      <c r="D621" t="n">
        <v>5844.8991</v>
      </c>
      <c r="E621" t="n">
        <v>5844.8991</v>
      </c>
      <c r="F621" t="n">
        <v>2.1761</v>
      </c>
      <c r="G621" t="n">
        <v>0</v>
      </c>
      <c r="H621" t="n">
        <v>1.271908</v>
      </c>
      <c r="I621" t="n">
        <v>1.254023</v>
      </c>
      <c r="J621" t="n">
        <v>0.017885</v>
      </c>
      <c r="K621" s="4">
        <f>IFERROR(J621/I621,"")</f>
        <v/>
      </c>
      <c r="L621" s="4">
        <f>IFERROR((D621-E621)/E621,"")</f>
        <v/>
      </c>
    </row>
    <row r="622">
      <c r="A622" t="inlineStr">
        <is>
          <t>2026-06-19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2.44</v>
      </c>
      <c r="G622" t="n">
        <v>0</v>
      </c>
      <c r="H622" t="n">
        <v>0.544845</v>
      </c>
      <c r="I622" t="n">
        <v>0.541272</v>
      </c>
      <c r="J622" t="n">
        <v>0.003573</v>
      </c>
      <c r="K622" s="4">
        <f>IFERROR(J622/I622,"")</f>
        <v/>
      </c>
      <c r="L622" s="4">
        <f>IFERROR((D622-E622)/E622,"")</f>
        <v/>
      </c>
    </row>
    <row r="623">
      <c r="A623" t="inlineStr">
        <is>
          <t>2026-06-19</t>
        </is>
      </c>
      <c r="B623" t="inlineStr">
        <is>
          <t>159915</t>
        </is>
      </c>
      <c r="C623" t="inlineStr">
        <is>
          <t>创业板ETF易方达</t>
        </is>
      </c>
      <c r="D623" t="n">
        <v>1052245.4936</v>
      </c>
      <c r="E623" t="n">
        <v>1052345.4936</v>
      </c>
      <c r="F623" t="n">
        <v>4.1801</v>
      </c>
      <c r="G623" t="n">
        <v>-100</v>
      </c>
      <c r="H623" t="n">
        <v>439.849139</v>
      </c>
      <c r="I623" t="n">
        <v>433.082264</v>
      </c>
      <c r="J623" t="n">
        <v>6.766875</v>
      </c>
      <c r="K623" s="4">
        <f>IFERROR(J623/I623,"")</f>
        <v/>
      </c>
      <c r="L623" s="4">
        <f>IFERROR((D623-E623)/E623,"")</f>
        <v/>
      </c>
    </row>
    <row r="624">
      <c r="A624" t="inlineStr">
        <is>
          <t>2026-06-19</t>
        </is>
      </c>
      <c r="B624" t="inlineStr">
        <is>
          <t>159916</t>
        </is>
      </c>
      <c r="C624" t="inlineStr">
        <is>
          <t>基本面ETF建信</t>
        </is>
      </c>
      <c r="D624" t="n">
        <v>4706.6039</v>
      </c>
      <c r="E624" t="n">
        <v>4706.6039</v>
      </c>
      <c r="F624" t="n">
        <v>5.0932</v>
      </c>
      <c r="G624" t="n">
        <v>0</v>
      </c>
      <c r="H624" t="n">
        <v>2.397167</v>
      </c>
      <c r="I624" t="n">
        <v>2.384554</v>
      </c>
      <c r="J624" t="n">
        <v>0.012613</v>
      </c>
      <c r="K624" s="4">
        <f>IFERROR(J624/I624,"")</f>
        <v/>
      </c>
      <c r="L624" s="4">
        <f>IFERROR((D624-E624)/E624,"")</f>
        <v/>
      </c>
    </row>
    <row r="625">
      <c r="A625" t="inlineStr">
        <is>
          <t>2026-06-19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2.8731</v>
      </c>
      <c r="G625" t="n">
        <v>0</v>
      </c>
      <c r="H625" t="n">
        <v>0.8780559999999999</v>
      </c>
      <c r="I625" t="n">
        <v>0.8704460000000001</v>
      </c>
      <c r="J625" t="n">
        <v>0.00761</v>
      </c>
      <c r="K625" s="4">
        <f>IFERROR(J625/I625,"")</f>
        <v/>
      </c>
      <c r="L625" s="4">
        <f>IFERROR((D625-E625)/E625,"")</f>
        <v/>
      </c>
    </row>
    <row r="626">
      <c r="A626" t="inlineStr">
        <is>
          <t>2026-06-19</t>
        </is>
      </c>
      <c r="B626" t="inlineStr">
        <is>
          <t>159919</t>
        </is>
      </c>
      <c r="C626" t="inlineStr">
        <is>
          <t>沪深300ETF嘉实</t>
        </is>
      </c>
      <c r="D626" t="n">
        <v>1056441.6676</v>
      </c>
      <c r="E626" t="n">
        <v>1104321.6676</v>
      </c>
      <c r="F626" t="n">
        <v>5.1705</v>
      </c>
      <c r="G626" t="n">
        <v>-47880</v>
      </c>
      <c r="H626" t="n">
        <v>546.233164</v>
      </c>
      <c r="I626" t="n">
        <v>565.523126</v>
      </c>
      <c r="J626" t="n">
        <v>-19.289962</v>
      </c>
      <c r="K626" s="4">
        <f>IFERROR(J626/I626,"")</f>
        <v/>
      </c>
      <c r="L626" s="4">
        <f>IFERROR((D626-E626)/E626,"")</f>
        <v/>
      </c>
    </row>
    <row r="627">
      <c r="A627" t="inlineStr">
        <is>
          <t>2026-06-19</t>
        </is>
      </c>
      <c r="B627" t="inlineStr">
        <is>
          <t>159920</t>
        </is>
      </c>
      <c r="C627" t="inlineStr">
        <is>
          <t>恒生ETF华夏</t>
        </is>
      </c>
      <c r="D627" t="n">
        <v>656355.9219</v>
      </c>
      <c r="E627" t="n">
        <v>656355.9219</v>
      </c>
      <c r="F627" t="n">
        <v>1.4443</v>
      </c>
      <c r="G627" t="n">
        <v>0</v>
      </c>
      <c r="H627" t="n">
        <v>94.79748600000001</v>
      </c>
      <c r="I627" t="n">
        <v>95.50635</v>
      </c>
      <c r="J627" t="n">
        <v>-0.708864</v>
      </c>
      <c r="K627" s="4">
        <f>IFERROR(J627/I627,"")</f>
        <v/>
      </c>
      <c r="L627" s="4">
        <f>IFERROR((D627-E627)/E627,"")</f>
        <v/>
      </c>
    </row>
    <row r="628">
      <c r="A628" t="inlineStr">
        <is>
          <t>2026-06-19</t>
        </is>
      </c>
      <c r="B628" t="inlineStr">
        <is>
          <t>159922</t>
        </is>
      </c>
      <c r="C628" t="inlineStr">
        <is>
          <t>中证500ETF嘉实</t>
        </is>
      </c>
      <c r="D628" t="n">
        <v>220167.6765</v>
      </c>
      <c r="E628" t="n">
        <v>216467.6765</v>
      </c>
      <c r="F628" t="n">
        <v>3.4841</v>
      </c>
      <c r="G628" t="n">
        <v>3700</v>
      </c>
      <c r="H628" t="n">
        <v>76.70862</v>
      </c>
      <c r="I628" t="n">
        <v>74.373964</v>
      </c>
      <c r="J628" t="n">
        <v>2.334656</v>
      </c>
      <c r="K628" s="4">
        <f>IFERROR(J628/I628,"")</f>
        <v/>
      </c>
      <c r="L628" s="4">
        <f>IFERROR((D628-E628)/E628,"")</f>
        <v/>
      </c>
    </row>
    <row r="629">
      <c r="A629" t="inlineStr">
        <is>
          <t>2026-06-19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2.3008</v>
      </c>
      <c r="G629" t="n">
        <v>0</v>
      </c>
      <c r="H629" t="n">
        <v>0.19064</v>
      </c>
      <c r="I629" t="n">
        <v>0.188743</v>
      </c>
      <c r="J629" t="n">
        <v>0.001897</v>
      </c>
      <c r="K629" s="4">
        <f>IFERROR(J629/I629,"")</f>
        <v/>
      </c>
      <c r="L629" s="4">
        <f>IFERROR((D629-E629)/E629,"")</f>
        <v/>
      </c>
    </row>
    <row r="630">
      <c r="A630" t="inlineStr">
        <is>
          <t>2026-06-19</t>
        </is>
      </c>
      <c r="B630" t="inlineStr">
        <is>
          <t>159925</t>
        </is>
      </c>
      <c r="C630" t="inlineStr">
        <is>
          <t>沪深300ETF南方</t>
        </is>
      </c>
      <c r="D630" t="n">
        <v>53402.0856</v>
      </c>
      <c r="E630" t="n">
        <v>52862.0856</v>
      </c>
      <c r="F630" t="n">
        <v>5.001</v>
      </c>
      <c r="G630" t="n">
        <v>540</v>
      </c>
      <c r="H630" t="n">
        <v>26.706383</v>
      </c>
      <c r="I630" t="n">
        <v>26.184705</v>
      </c>
      <c r="J630" t="n">
        <v>0.521678</v>
      </c>
      <c r="K630" s="4">
        <f>IFERROR(J630/I630,"")</f>
        <v/>
      </c>
      <c r="L630" s="4">
        <f>IFERROR((D630-E630)/E630,"")</f>
        <v/>
      </c>
    </row>
    <row r="631">
      <c r="A631" t="inlineStr">
        <is>
          <t>2026-06-19</t>
        </is>
      </c>
      <c r="B631" t="inlineStr">
        <is>
          <t>159928</t>
        </is>
      </c>
      <c r="C631" t="inlineStr">
        <is>
          <t>消费ETF汇添富</t>
        </is>
      </c>
      <c r="D631" t="n">
        <v>2336062.904</v>
      </c>
      <c r="E631" t="n">
        <v>2339862.904</v>
      </c>
      <c r="F631" t="n">
        <v>0.6359</v>
      </c>
      <c r="G631" t="n">
        <v>-3800</v>
      </c>
      <c r="H631" t="n">
        <v>148.55024</v>
      </c>
      <c r="I631" t="n">
        <v>150.172401</v>
      </c>
      <c r="J631" t="n">
        <v>-1.622161</v>
      </c>
      <c r="K631" s="4">
        <f>IFERROR(J631/I631,"")</f>
        <v/>
      </c>
      <c r="L631" s="4">
        <f>IFERROR((D631-E631)/E631,"")</f>
        <v/>
      </c>
    </row>
    <row r="632">
      <c r="A632" t="inlineStr">
        <is>
          <t>2026-06-19</t>
        </is>
      </c>
      <c r="B632" t="inlineStr">
        <is>
          <t>159929</t>
        </is>
      </c>
      <c r="C632" t="inlineStr">
        <is>
          <t>医药ETF汇添富</t>
        </is>
      </c>
      <c r="D632" t="n">
        <v>178520.4203</v>
      </c>
      <c r="E632" t="n">
        <v>179570.4203</v>
      </c>
      <c r="F632" t="n">
        <v>1.157</v>
      </c>
      <c r="G632" t="n">
        <v>-1050</v>
      </c>
      <c r="H632" t="n">
        <v>20.654813</v>
      </c>
      <c r="I632" t="n">
        <v>20.891223</v>
      </c>
      <c r="J632" t="n">
        <v>-0.23641</v>
      </c>
      <c r="K632" s="4">
        <f>IFERROR(J632/I632,"")</f>
        <v/>
      </c>
      <c r="L632" s="4">
        <f>IFERROR((D632-E632)/E632,"")</f>
        <v/>
      </c>
    </row>
    <row r="633">
      <c r="A633" t="inlineStr">
        <is>
          <t>2026-06-19</t>
        </is>
      </c>
      <c r="B633" t="inlineStr">
        <is>
          <t>159930</t>
        </is>
      </c>
      <c r="C633" t="inlineStr">
        <is>
          <t>能源ETF汇添富</t>
        </is>
      </c>
      <c r="D633" t="n">
        <v>65439.815</v>
      </c>
      <c r="E633" t="n">
        <v>68639.815</v>
      </c>
      <c r="F633" t="n">
        <v>1.6116</v>
      </c>
      <c r="G633" t="n">
        <v>-3200</v>
      </c>
      <c r="H633" t="n">
        <v>10.546281</v>
      </c>
      <c r="I633" t="n">
        <v>11.186917</v>
      </c>
      <c r="J633" t="n">
        <v>-0.640636</v>
      </c>
      <c r="K633" s="4">
        <f>IFERROR(J633/I633,"")</f>
        <v/>
      </c>
      <c r="L633" s="4">
        <f>IFERROR((D633-E633)/E633,"")</f>
        <v/>
      </c>
    </row>
    <row r="634">
      <c r="A634" t="inlineStr">
        <is>
          <t>2026-06-19</t>
        </is>
      </c>
      <c r="B634" t="inlineStr">
        <is>
          <t>159931</t>
        </is>
      </c>
      <c r="C634" t="inlineStr">
        <is>
          <t>金融地产ETF汇添富</t>
        </is>
      </c>
      <c r="D634" t="n">
        <v>2032.8511</v>
      </c>
      <c r="E634" t="n">
        <v>2032.8511</v>
      </c>
      <c r="F634" t="n">
        <v>1.8087</v>
      </c>
      <c r="G634" t="n">
        <v>0</v>
      </c>
      <c r="H634" t="n">
        <v>0.367682</v>
      </c>
      <c r="I634" t="n">
        <v>0.369877</v>
      </c>
      <c r="J634" t="n">
        <v>-0.002195</v>
      </c>
      <c r="K634" s="4">
        <f>IFERROR(J634/I634,"")</f>
        <v/>
      </c>
      <c r="L634" s="4">
        <f>IFERROR((D634-E634)/E634,"")</f>
        <v/>
      </c>
    </row>
    <row r="635">
      <c r="A635" t="inlineStr">
        <is>
          <t>2026-06-19</t>
        </is>
      </c>
      <c r="B635" t="inlineStr">
        <is>
          <t>159933</t>
        </is>
      </c>
      <c r="C635" t="inlineStr">
        <is>
          <t>金融地产ETF国投瑞银</t>
        </is>
      </c>
      <c r="D635" t="n">
        <v>3737.8943</v>
      </c>
      <c r="E635" t="n">
        <v>3737.8943</v>
      </c>
      <c r="F635" t="n">
        <v>2.7998</v>
      </c>
      <c r="G635" t="n">
        <v>0</v>
      </c>
      <c r="H635" t="n">
        <v>1.046536</v>
      </c>
      <c r="I635" t="n">
        <v>1.053077</v>
      </c>
      <c r="J635" t="n">
        <v>-0.006541</v>
      </c>
      <c r="K635" s="4">
        <f>IFERROR(J635/I635,"")</f>
        <v/>
      </c>
      <c r="L635" s="4">
        <f>IFERROR((D635-E635)/E635,"")</f>
        <v/>
      </c>
    </row>
    <row r="636">
      <c r="A636" t="inlineStr">
        <is>
          <t>2026-06-19</t>
        </is>
      </c>
      <c r="B636" t="inlineStr">
        <is>
          <t>159934</t>
        </is>
      </c>
      <c r="C636" t="inlineStr">
        <is>
          <t>黄金ETF易方达</t>
        </is>
      </c>
      <c r="D636" t="n">
        <v>393700.8998</v>
      </c>
      <c r="E636" t="n">
        <v>394990.8998</v>
      </c>
      <c r="F636" t="n">
        <v>9.3475</v>
      </c>
      <c r="G636" t="n">
        <v>-1290</v>
      </c>
      <c r="H636" t="n">
        <v>368.011916</v>
      </c>
      <c r="I636" t="n">
        <v>369.735182</v>
      </c>
      <c r="J636" t="n">
        <v>-1.723266</v>
      </c>
      <c r="K636" s="4">
        <f>IFERROR(J636/I636,"")</f>
        <v/>
      </c>
      <c r="L636" s="4">
        <f>IFERROR((D636-E636)/E636,"")</f>
        <v/>
      </c>
    </row>
    <row r="637">
      <c r="A637" t="inlineStr">
        <is>
          <t>2026-06-19</t>
        </is>
      </c>
      <c r="B637" t="inlineStr">
        <is>
          <t>159935</t>
        </is>
      </c>
      <c r="C637" t="inlineStr">
        <is>
          <t>中证500ETF景顺</t>
        </is>
      </c>
      <c r="D637" t="n">
        <v>2357.2956</v>
      </c>
      <c r="E637" t="n">
        <v>2357.2956</v>
      </c>
      <c r="F637" t="n">
        <v>2.7109</v>
      </c>
      <c r="G637" t="n">
        <v>0</v>
      </c>
      <c r="H637" t="n">
        <v>0.639039</v>
      </c>
      <c r="I637" t="n">
        <v>0.630364</v>
      </c>
      <c r="J637" t="n">
        <v>0.008675</v>
      </c>
      <c r="K637" s="4">
        <f>IFERROR(J637/I637,"")</f>
        <v/>
      </c>
      <c r="L637" s="4">
        <f>IFERROR((D637-E637)/E637,"")</f>
        <v/>
      </c>
    </row>
    <row r="638">
      <c r="A638" t="inlineStr">
        <is>
          <t>2026-06-19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1.9523</v>
      </c>
      <c r="G638" t="n">
        <v>0</v>
      </c>
      <c r="H638" t="n">
        <v>2.150577</v>
      </c>
      <c r="I638" t="n">
        <v>2.16666</v>
      </c>
      <c r="J638" t="n">
        <v>-0.016083</v>
      </c>
      <c r="K638" s="4">
        <f>IFERROR(J638/I638,"")</f>
        <v/>
      </c>
      <c r="L638" s="4">
        <f>IFERROR((D638-E638)/E638,"")</f>
        <v/>
      </c>
    </row>
    <row r="639">
      <c r="A639" t="inlineStr">
        <is>
          <t>2026-06-19</t>
        </is>
      </c>
      <c r="B639" t="inlineStr">
        <is>
          <t>159937</t>
        </is>
      </c>
      <c r="C639" t="inlineStr">
        <is>
          <t>黄金ETF博时</t>
        </is>
      </c>
      <c r="D639" t="n">
        <v>486562.1977</v>
      </c>
      <c r="E639" t="n">
        <v>487532.1977</v>
      </c>
      <c r="F639" t="n">
        <v>8.926299999999999</v>
      </c>
      <c r="G639" t="n">
        <v>-970</v>
      </c>
      <c r="H639" t="n">
        <v>434.320015</v>
      </c>
      <c r="I639" t="n">
        <v>435.795281</v>
      </c>
      <c r="J639" t="n">
        <v>-1.475266</v>
      </c>
      <c r="K639" s="4">
        <f>IFERROR(J639/I639,"")</f>
        <v/>
      </c>
      <c r="L639" s="4">
        <f>IFERROR((D639-E639)/E639,"")</f>
        <v/>
      </c>
    </row>
    <row r="640">
      <c r="A640" t="inlineStr">
        <is>
          <t>2026-06-19</t>
        </is>
      </c>
      <c r="B640" t="inlineStr">
        <is>
          <t>159938</t>
        </is>
      </c>
      <c r="C640" t="inlineStr">
        <is>
          <t>医药ETF广发</t>
        </is>
      </c>
      <c r="D640" t="n">
        <v>739456.7236</v>
      </c>
      <c r="E640" t="n">
        <v>740956.7236</v>
      </c>
      <c r="F640" t="n">
        <v>0.5633</v>
      </c>
      <c r="G640" t="n">
        <v>-1500</v>
      </c>
      <c r="H640" t="n">
        <v>41.653597</v>
      </c>
      <c r="I640" t="n">
        <v>41.967789</v>
      </c>
      <c r="J640" t="n">
        <v>-0.314192</v>
      </c>
      <c r="K640" s="4">
        <f>IFERROR(J640/I640,"")</f>
        <v/>
      </c>
      <c r="L640" s="4">
        <f>IFERROR((D640-E640)/E640,"")</f>
        <v/>
      </c>
    </row>
    <row r="641">
      <c r="A641" t="inlineStr">
        <is>
          <t>2026-06-19</t>
        </is>
      </c>
      <c r="B641" t="inlineStr">
        <is>
          <t>159939</t>
        </is>
      </c>
      <c r="C641" t="inlineStr">
        <is>
          <t>信息技术ETF广发</t>
        </is>
      </c>
      <c r="D641" t="n">
        <v>82965.6106</v>
      </c>
      <c r="E641" t="n">
        <v>82565.6106</v>
      </c>
      <c r="F641" t="n">
        <v>1.2795</v>
      </c>
      <c r="G641" t="n">
        <v>400</v>
      </c>
      <c r="H641" t="n">
        <v>10.61545</v>
      </c>
      <c r="I641" t="n">
        <v>10.110159</v>
      </c>
      <c r="J641" t="n">
        <v>0.505291</v>
      </c>
      <c r="K641" s="4">
        <f>IFERROR(J641/I641,"")</f>
        <v/>
      </c>
      <c r="L641" s="4">
        <f>IFERROR((D641-E641)/E641,"")</f>
        <v/>
      </c>
    </row>
    <row r="642">
      <c r="A642" t="inlineStr">
        <is>
          <t>2026-06-19</t>
        </is>
      </c>
      <c r="B642" t="inlineStr">
        <is>
          <t>159940</t>
        </is>
      </c>
      <c r="C642" t="inlineStr">
        <is>
          <t>金融地产ETF广发</t>
        </is>
      </c>
      <c r="D642" t="n">
        <v>44305.9983</v>
      </c>
      <c r="E642" t="n">
        <v>44405.9983</v>
      </c>
      <c r="F642" t="n">
        <v>1.177</v>
      </c>
      <c r="G642" t="n">
        <v>-100</v>
      </c>
      <c r="H642" t="n">
        <v>5.214816</v>
      </c>
      <c r="I642" t="n">
        <v>5.255894</v>
      </c>
      <c r="J642" t="n">
        <v>-0.041078</v>
      </c>
      <c r="K642" s="4">
        <f>IFERROR(J642/I642,"")</f>
        <v/>
      </c>
      <c r="L642" s="4">
        <f>IFERROR((D642-E642)/E642,"")</f>
        <v/>
      </c>
    </row>
    <row r="643">
      <c r="A643" t="inlineStr">
        <is>
          <t>2026-06-19</t>
        </is>
      </c>
      <c r="B643" t="inlineStr">
        <is>
          <t>159941</t>
        </is>
      </c>
      <c r="C643" t="inlineStr">
        <is>
          <t>纳指ETF广发</t>
        </is>
      </c>
      <c r="D643" t="n">
        <v>2247601.0164</v>
      </c>
      <c r="E643" t="n">
        <v>2247471.0164</v>
      </c>
      <c r="F643" t="n">
        <v>1.5271</v>
      </c>
      <c r="G643" t="n">
        <v>130</v>
      </c>
      <c r="H643" t="n">
        <v>343.231151</v>
      </c>
      <c r="I643" t="n">
        <v>349.75144</v>
      </c>
      <c r="J643" t="n">
        <v>-6.520289</v>
      </c>
      <c r="K643" s="4">
        <f>IFERROR(J643/I643,"")</f>
        <v/>
      </c>
      <c r="L643" s="4">
        <f>IFERROR((D643-E643)/E643,"")</f>
        <v/>
      </c>
    </row>
    <row r="644">
      <c r="A644" t="inlineStr">
        <is>
          <t>2026-06-19</t>
        </is>
      </c>
      <c r="B644" t="inlineStr">
        <is>
          <t>159943</t>
        </is>
      </c>
      <c r="C644" t="inlineStr">
        <is>
          <t>深证成指ETF大成</t>
        </is>
      </c>
      <c r="D644" t="n">
        <v>11922.9922</v>
      </c>
      <c r="E644" t="n">
        <v>11922.9922</v>
      </c>
      <c r="F644" t="n">
        <v>1.7436</v>
      </c>
      <c r="G644" t="n">
        <v>0</v>
      </c>
      <c r="H644" t="n">
        <v>2.078893</v>
      </c>
      <c r="I644" t="n">
        <v>2.052066</v>
      </c>
      <c r="J644" t="n">
        <v>0.026827</v>
      </c>
      <c r="K644" s="4">
        <f>IFERROR(J644/I644,"")</f>
        <v/>
      </c>
      <c r="L644" s="4">
        <f>IFERROR((D644-E644)/E644,"")</f>
        <v/>
      </c>
    </row>
    <row r="645">
      <c r="A645" t="inlineStr">
        <is>
          <t>2026-06-19</t>
        </is>
      </c>
      <c r="B645" t="inlineStr">
        <is>
          <t>159944</t>
        </is>
      </c>
      <c r="C645" t="inlineStr">
        <is>
          <t>材料ETF广发</t>
        </is>
      </c>
      <c r="D645" t="n">
        <v>3960.8342</v>
      </c>
      <c r="E645" t="n">
        <v>3960.8342</v>
      </c>
      <c r="F645" t="n">
        <v>1.595</v>
      </c>
      <c r="G645" t="n">
        <v>0</v>
      </c>
      <c r="H645" t="n">
        <v>0.631753</v>
      </c>
      <c r="I645" t="n">
        <v>0.6308820000000001</v>
      </c>
      <c r="J645" t="n">
        <v>0.000871</v>
      </c>
      <c r="K645" s="4">
        <f>IFERROR(J645/I645,"")</f>
        <v/>
      </c>
      <c r="L645" s="4">
        <f>IFERROR((D645-E645)/E645,"")</f>
        <v/>
      </c>
    </row>
    <row r="646">
      <c r="A646" t="inlineStr">
        <is>
          <t>2026-06-19</t>
        </is>
      </c>
      <c r="B646" t="inlineStr">
        <is>
          <t>159945</t>
        </is>
      </c>
      <c r="C646" t="inlineStr">
        <is>
          <t>能源ETF广发</t>
        </is>
      </c>
      <c r="D646" t="n">
        <v>6907.2327</v>
      </c>
      <c r="E646" t="n">
        <v>7907.2327</v>
      </c>
      <c r="F646" t="n">
        <v>1.2856</v>
      </c>
      <c r="G646" t="n">
        <v>-1000</v>
      </c>
      <c r="H646" t="n">
        <v>0.887994</v>
      </c>
      <c r="I646" t="n">
        <v>1.029917</v>
      </c>
      <c r="J646" t="n">
        <v>-0.141923</v>
      </c>
      <c r="K646" s="4">
        <f>IFERROR(J646/I646,"")</f>
        <v/>
      </c>
      <c r="L646" s="4">
        <f>IFERROR((D646-E646)/E646,"")</f>
        <v/>
      </c>
    </row>
    <row r="647">
      <c r="A647" t="inlineStr">
        <is>
          <t>2026-06-19</t>
        </is>
      </c>
      <c r="B647" t="inlineStr">
        <is>
          <t>159948</t>
        </is>
      </c>
      <c r="C647" t="inlineStr">
        <is>
          <t>创业板ETF南方</t>
        </is>
      </c>
      <c r="D647" t="n">
        <v>99369.772</v>
      </c>
      <c r="E647" t="n">
        <v>100969.772</v>
      </c>
      <c r="F647" t="n">
        <v>4.617</v>
      </c>
      <c r="G647" t="n">
        <v>-1600</v>
      </c>
      <c r="H647" t="n">
        <v>45.879024</v>
      </c>
      <c r="I647" t="n">
        <v>45.899849</v>
      </c>
      <c r="J647" t="n">
        <v>-0.020825</v>
      </c>
      <c r="K647" s="4">
        <f>IFERROR(J647/I647,"")</f>
        <v/>
      </c>
      <c r="L647" s="4">
        <f>IFERROR((D647-E647)/E647,"")</f>
        <v/>
      </c>
    </row>
    <row r="648">
      <c r="A648" t="inlineStr">
        <is>
          <t>2026-06-19</t>
        </is>
      </c>
      <c r="B648" t="inlineStr">
        <is>
          <t>159949</t>
        </is>
      </c>
      <c r="C648" t="inlineStr">
        <is>
          <t>创业板50ETF华安</t>
        </is>
      </c>
      <c r="D648" t="n">
        <v>1208178.5113</v>
      </c>
      <c r="E648" t="n">
        <v>1201478.5113</v>
      </c>
      <c r="F648" t="n">
        <v>2.0129</v>
      </c>
      <c r="G648" t="n">
        <v>6700</v>
      </c>
      <c r="H648" t="n">
        <v>243.194253</v>
      </c>
      <c r="I648" t="n">
        <v>238.553558</v>
      </c>
      <c r="J648" t="n">
        <v>4.640695</v>
      </c>
      <c r="K648" s="4">
        <f>IFERROR(J648/I648,"")</f>
        <v/>
      </c>
      <c r="L648" s="4">
        <f>IFERROR((D648-E648)/E648,"")</f>
        <v/>
      </c>
    </row>
    <row r="649">
      <c r="A649" t="inlineStr">
        <is>
          <t>2026-06-19</t>
        </is>
      </c>
      <c r="B649" t="inlineStr">
        <is>
          <t>159952</t>
        </is>
      </c>
      <c r="C649" t="inlineStr">
        <is>
          <t>创业板ETF广发</t>
        </is>
      </c>
      <c r="D649" t="n">
        <v>342158.4929</v>
      </c>
      <c r="E649" t="n">
        <v>338418.4929</v>
      </c>
      <c r="F649" t="n">
        <v>2.5384</v>
      </c>
      <c r="G649" t="n">
        <v>3740</v>
      </c>
      <c r="H649" t="n">
        <v>86.85351199999999</v>
      </c>
      <c r="I649" t="n">
        <v>84.58770199999999</v>
      </c>
      <c r="J649" t="n">
        <v>2.26581</v>
      </c>
      <c r="K649" s="4">
        <f>IFERROR(J649/I649,"")</f>
        <v/>
      </c>
      <c r="L649" s="4">
        <f>IFERROR((D649-E649)/E649,"")</f>
        <v/>
      </c>
    </row>
    <row r="650">
      <c r="A650" t="inlineStr">
        <is>
          <t>2026-06-19</t>
        </is>
      </c>
      <c r="B650" t="inlineStr">
        <is>
          <t>159954</t>
        </is>
      </c>
      <c r="C650" t="inlineStr">
        <is>
          <t>恒生中国企业ETF南方</t>
        </is>
      </c>
      <c r="D650" t="n">
        <v>22860.5083</v>
      </c>
      <c r="E650" t="n">
        <v>22860.5083</v>
      </c>
      <c r="F650" t="n">
        <v>0.8956</v>
      </c>
      <c r="G650" t="n">
        <v>0</v>
      </c>
      <c r="H650" t="n">
        <v>2.047387</v>
      </c>
      <c r="I650" t="n">
        <v>2.071391</v>
      </c>
      <c r="J650" t="n">
        <v>-0.024004</v>
      </c>
      <c r="K650" s="4">
        <f>IFERROR(J650/I650,"")</f>
        <v/>
      </c>
      <c r="L650" s="4">
        <f>IFERROR((D650-E650)/E650,"")</f>
        <v/>
      </c>
    </row>
    <row r="651">
      <c r="A651" t="inlineStr">
        <is>
          <t>2026-06-19</t>
        </is>
      </c>
      <c r="B651" t="inlineStr">
        <is>
          <t>159956</t>
        </is>
      </c>
      <c r="C651" t="inlineStr">
        <is>
          <t>创业板ETF建信</t>
        </is>
      </c>
      <c r="D651" t="n">
        <v>4497.8674</v>
      </c>
      <c r="E651" t="n">
        <v>4497.8674</v>
      </c>
      <c r="F651" t="n">
        <v>2.6467</v>
      </c>
      <c r="G651" t="n">
        <v>0</v>
      </c>
      <c r="H651" t="n">
        <v>1.190451</v>
      </c>
      <c r="I651" t="n">
        <v>1.172189</v>
      </c>
      <c r="J651" t="n">
        <v>0.018262</v>
      </c>
      <c r="K651" s="4">
        <f>IFERROR(J651/I651,"")</f>
        <v/>
      </c>
      <c r="L651" s="4">
        <f>IFERROR((D651-E651)/E651,"")</f>
        <v/>
      </c>
    </row>
    <row r="652">
      <c r="A652" t="inlineStr">
        <is>
          <t>2026-06-19</t>
        </is>
      </c>
      <c r="B652" t="inlineStr">
        <is>
          <t>159957</t>
        </is>
      </c>
      <c r="C652" t="inlineStr">
        <is>
          <t>创业板ETF华夏</t>
        </is>
      </c>
      <c r="D652" t="n">
        <v>77578.45600000001</v>
      </c>
      <c r="E652" t="n">
        <v>76978.45600000001</v>
      </c>
      <c r="F652" t="n">
        <v>2.7408</v>
      </c>
      <c r="G652" t="n">
        <v>600</v>
      </c>
      <c r="H652" t="n">
        <v>21.262703</v>
      </c>
      <c r="I652" t="n">
        <v>20.774176</v>
      </c>
      <c r="J652" t="n">
        <v>0.488527</v>
      </c>
      <c r="K652" s="4">
        <f>IFERROR(J652/I652,"")</f>
        <v/>
      </c>
      <c r="L652" s="4">
        <f>IFERROR((D652-E652)/E652,"")</f>
        <v/>
      </c>
    </row>
    <row r="653">
      <c r="A653" t="inlineStr">
        <is>
          <t>2026-06-19</t>
        </is>
      </c>
      <c r="B653" t="inlineStr">
        <is>
          <t>159958</t>
        </is>
      </c>
      <c r="C653" t="inlineStr">
        <is>
          <t>创业板ETF工银</t>
        </is>
      </c>
      <c r="D653" t="n">
        <v>21541.1448</v>
      </c>
      <c r="E653" t="n">
        <v>21751.1448</v>
      </c>
      <c r="F653" t="n">
        <v>2.5222</v>
      </c>
      <c r="G653" t="n">
        <v>-210</v>
      </c>
      <c r="H653" t="n">
        <v>5.433108</v>
      </c>
      <c r="I653" t="n">
        <v>5.401897</v>
      </c>
      <c r="J653" t="n">
        <v>0.031211</v>
      </c>
      <c r="K653" s="4">
        <f>IFERROR(J653/I653,"")</f>
        <v/>
      </c>
      <c r="L653" s="4">
        <f>IFERROR((D653-E653)/E653,"")</f>
        <v/>
      </c>
    </row>
    <row r="654">
      <c r="A654" t="inlineStr">
        <is>
          <t>2026-06-19</t>
        </is>
      </c>
      <c r="B654" t="inlineStr">
        <is>
          <t>159959</t>
        </is>
      </c>
      <c r="C654" t="inlineStr">
        <is>
          <t>央企ETF银华</t>
        </is>
      </c>
      <c r="D654" t="n">
        <v>182389.178</v>
      </c>
      <c r="E654" t="n">
        <v>182389.178</v>
      </c>
      <c r="F654" t="n">
        <v>1.6942</v>
      </c>
      <c r="G654" t="n">
        <v>0</v>
      </c>
      <c r="H654" t="n">
        <v>30.900375</v>
      </c>
      <c r="I654" t="n">
        <v>30.426163</v>
      </c>
      <c r="J654" t="n">
        <v>0.474212</v>
      </c>
      <c r="K654" s="4">
        <f>IFERROR(J654/I654,"")</f>
        <v/>
      </c>
      <c r="L654" s="4">
        <f>IFERROR((D654-E654)/E654,"")</f>
        <v/>
      </c>
    </row>
    <row r="655">
      <c r="A655" t="inlineStr">
        <is>
          <t>2026-06-19</t>
        </is>
      </c>
      <c r="B655" t="inlineStr">
        <is>
          <t>159960</t>
        </is>
      </c>
      <c r="C655" t="inlineStr">
        <is>
          <t>恒生中国企业ETF平安</t>
        </is>
      </c>
      <c r="D655" t="n">
        <v>16357.396</v>
      </c>
      <c r="E655" t="n">
        <v>16357.396</v>
      </c>
      <c r="F655" t="n">
        <v>0.8278</v>
      </c>
      <c r="G655" t="n">
        <v>0</v>
      </c>
      <c r="H655" t="n">
        <v>1.354065</v>
      </c>
      <c r="I655" t="n">
        <v>1.37075</v>
      </c>
      <c r="J655" t="n">
        <v>-0.016685</v>
      </c>
      <c r="K655" s="4">
        <f>IFERROR(J655/I655,"")</f>
        <v/>
      </c>
      <c r="L655" s="4">
        <f>IFERROR((D655-E655)/E655,"")</f>
        <v/>
      </c>
    </row>
    <row r="656">
      <c r="A656" t="inlineStr">
        <is>
          <t>2026-06-19</t>
        </is>
      </c>
      <c r="B656" t="inlineStr">
        <is>
          <t>159961</t>
        </is>
      </c>
      <c r="C656" t="inlineStr">
        <is>
          <t>深100ETF方正富邦</t>
        </is>
      </c>
      <c r="D656" t="n">
        <v>10624.5196</v>
      </c>
      <c r="E656" t="n">
        <v>10624.5196</v>
      </c>
      <c r="F656" t="n">
        <v>2.4912</v>
      </c>
      <c r="G656" t="n">
        <v>0</v>
      </c>
      <c r="H656" t="n">
        <v>2.64678</v>
      </c>
      <c r="I656" t="n">
        <v>2.614588</v>
      </c>
      <c r="J656" t="n">
        <v>0.032192</v>
      </c>
      <c r="K656" s="4">
        <f>IFERROR(J656/I656,"")</f>
        <v/>
      </c>
      <c r="L656" s="4">
        <f>IFERROR((D656-E656)/E656,"")</f>
        <v/>
      </c>
    </row>
    <row r="657">
      <c r="A657" t="inlineStr">
        <is>
          <t>2026-06-19</t>
        </is>
      </c>
      <c r="B657" t="inlineStr">
        <is>
          <t>159964</t>
        </is>
      </c>
      <c r="C657" t="inlineStr">
        <is>
          <t>创业板ETF平安</t>
        </is>
      </c>
      <c r="D657" t="n">
        <v>18348.1881</v>
      </c>
      <c r="E657" t="n">
        <v>18548.1881</v>
      </c>
      <c r="F657" t="n">
        <v>2.7255</v>
      </c>
      <c r="G657" t="n">
        <v>-200</v>
      </c>
      <c r="H657" t="n">
        <v>5.000799</v>
      </c>
      <c r="I657" t="n">
        <v>4.974253</v>
      </c>
      <c r="J657" t="n">
        <v>0.026546</v>
      </c>
      <c r="K657" s="4">
        <f>IFERROR(J657/I657,"")</f>
        <v/>
      </c>
      <c r="L657" s="4">
        <f>IFERROR((D657-E657)/E657,"")</f>
        <v/>
      </c>
    </row>
    <row r="658">
      <c r="A658" t="inlineStr">
        <is>
          <t>2026-06-19</t>
        </is>
      </c>
      <c r="B658" t="inlineStr">
        <is>
          <t>159965</t>
        </is>
      </c>
      <c r="C658" t="inlineStr">
        <is>
          <t>央视50ETF国联</t>
        </is>
      </c>
      <c r="D658" t="n">
        <v>2342.6953</v>
      </c>
      <c r="E658" t="n">
        <v>2342.6953</v>
      </c>
      <c r="F658" t="n">
        <v>1.7067</v>
      </c>
      <c r="G658" t="n">
        <v>0</v>
      </c>
      <c r="H658" t="n">
        <v>0.399828</v>
      </c>
      <c r="I658" t="n">
        <v>0.397415</v>
      </c>
      <c r="J658" t="n">
        <v>0.002413</v>
      </c>
      <c r="K658" s="4">
        <f>IFERROR(J658/I658,"")</f>
        <v/>
      </c>
      <c r="L658" s="4">
        <f>IFERROR((D658-E658)/E658,"")</f>
        <v/>
      </c>
    </row>
    <row r="659">
      <c r="A659" t="inlineStr">
        <is>
          <t>2026-06-19</t>
        </is>
      </c>
      <c r="B659" t="inlineStr">
        <is>
          <t>159966</t>
        </is>
      </c>
      <c r="C659" t="inlineStr">
        <is>
          <t>创业板价值ETF华夏</t>
        </is>
      </c>
      <c r="D659" t="n">
        <v>56279.9521</v>
      </c>
      <c r="E659" t="n">
        <v>56939.9521</v>
      </c>
      <c r="F659" t="n">
        <v>0.625</v>
      </c>
      <c r="G659" t="n">
        <v>-660</v>
      </c>
      <c r="H659" t="n">
        <v>3.517497</v>
      </c>
      <c r="I659" t="n">
        <v>3.543943</v>
      </c>
      <c r="J659" t="n">
        <v>-0.026446</v>
      </c>
      <c r="K659" s="4">
        <f>IFERROR(J659/I659,"")</f>
        <v/>
      </c>
      <c r="L659" s="4">
        <f>IFERROR((D659-E659)/E659,"")</f>
        <v/>
      </c>
    </row>
    <row r="660">
      <c r="A660" t="inlineStr">
        <is>
          <t>2026-06-19</t>
        </is>
      </c>
      <c r="B660" t="inlineStr">
        <is>
          <t>159967</t>
        </is>
      </c>
      <c r="C660" t="inlineStr">
        <is>
          <t>创业板成长ETF华夏</t>
        </is>
      </c>
      <c r="D660" t="n">
        <v>582090.5811</v>
      </c>
      <c r="E660" t="n">
        <v>568150.5811</v>
      </c>
      <c r="F660" t="n">
        <v>1.0096</v>
      </c>
      <c r="G660" t="n">
        <v>13940</v>
      </c>
      <c r="H660" t="n">
        <v>58.767865</v>
      </c>
      <c r="I660" t="n">
        <v>55.746935</v>
      </c>
      <c r="J660" t="n">
        <v>3.02093</v>
      </c>
      <c r="K660" s="4">
        <f>IFERROR(J660/I660,"")</f>
        <v/>
      </c>
      <c r="L660" s="4">
        <f>IFERROR((D660-E660)/E660,"")</f>
        <v/>
      </c>
    </row>
    <row r="661">
      <c r="A661" t="inlineStr">
        <is>
          <t>2026-06-19</t>
        </is>
      </c>
      <c r="B661" t="inlineStr">
        <is>
          <t>159968</t>
        </is>
      </c>
      <c r="C661" t="inlineStr">
        <is>
          <t>中证500ETF博时</t>
        </is>
      </c>
      <c r="D661" t="n">
        <v>5969.5098</v>
      </c>
      <c r="E661" t="n">
        <v>5969.5098</v>
      </c>
      <c r="F661" t="n">
        <v>11.1811</v>
      </c>
      <c r="G661" t="n">
        <v>0</v>
      </c>
      <c r="H661" t="n">
        <v>6.674569</v>
      </c>
      <c r="I661" t="n">
        <v>6.581862</v>
      </c>
      <c r="J661" t="n">
        <v>0.092707</v>
      </c>
      <c r="K661" s="4">
        <f>IFERROR(J661/I661,"")</f>
        <v/>
      </c>
      <c r="L661" s="4">
        <f>IFERROR((D661-E661)/E661,"")</f>
        <v/>
      </c>
    </row>
    <row r="662">
      <c r="A662" t="inlineStr">
        <is>
          <t>2026-06-19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1.1675</v>
      </c>
      <c r="G662" t="n">
        <v>0</v>
      </c>
      <c r="H662" t="n">
        <v>0.122222</v>
      </c>
      <c r="I662" t="n">
        <v>0.120715</v>
      </c>
      <c r="J662" t="n">
        <v>0.001507</v>
      </c>
      <c r="K662" s="4">
        <f>IFERROR(J662/I662,"")</f>
        <v/>
      </c>
      <c r="L662" s="4">
        <f>IFERROR((D662-E662)/E662,"")</f>
        <v/>
      </c>
    </row>
    <row r="663">
      <c r="A663" t="inlineStr">
        <is>
          <t>2026-06-19</t>
        </is>
      </c>
      <c r="B663" t="inlineStr">
        <is>
          <t>159971</t>
        </is>
      </c>
      <c r="C663" t="inlineStr">
        <is>
          <t>创业板ETF富国</t>
        </is>
      </c>
      <c r="D663" t="n">
        <v>125802.0288</v>
      </c>
      <c r="E663" t="n">
        <v>126402.0288</v>
      </c>
      <c r="F663" t="n">
        <v>1.4539</v>
      </c>
      <c r="G663" t="n">
        <v>-600</v>
      </c>
      <c r="H663" t="n">
        <v>18.290357</v>
      </c>
      <c r="I663" t="n">
        <v>18.09445</v>
      </c>
      <c r="J663" t="n">
        <v>0.195907</v>
      </c>
      <c r="K663" s="4">
        <f>IFERROR(J663/I663,"")</f>
        <v/>
      </c>
      <c r="L663" s="4">
        <f>IFERROR((D663-E663)/E663,"")</f>
        <v/>
      </c>
    </row>
    <row r="664">
      <c r="A664" t="inlineStr">
        <is>
          <t>2026-06-19</t>
        </is>
      </c>
      <c r="B664" t="inlineStr">
        <is>
          <t>159972</t>
        </is>
      </c>
      <c r="C664" t="inlineStr">
        <is>
          <t>5年地方债ETF鹏华</t>
        </is>
      </c>
      <c r="D664" t="n">
        <v>4784.591</v>
      </c>
      <c r="E664" t="n">
        <v>4626.591</v>
      </c>
      <c r="F664" t="n">
        <v>119.1732</v>
      </c>
      <c r="G664" t="n">
        <v>158</v>
      </c>
      <c r="H664" t="n">
        <v>57.019502</v>
      </c>
      <c r="I664" t="n">
        <v>55.132309</v>
      </c>
      <c r="J664" t="n">
        <v>1.887193</v>
      </c>
      <c r="K664" s="4">
        <f>IFERROR(J664/I664,"")</f>
        <v/>
      </c>
      <c r="L664" s="4">
        <f>IFERROR((D664-E664)/E664,"")</f>
        <v/>
      </c>
    </row>
    <row r="665">
      <c r="A665" t="inlineStr">
        <is>
          <t>2026-06-19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2.1734</v>
      </c>
      <c r="G665" t="n">
        <v>0</v>
      </c>
      <c r="H665" t="n">
        <v>4.346288</v>
      </c>
      <c r="I665" t="n">
        <v>4.315091</v>
      </c>
      <c r="J665" t="n">
        <v>0.031197</v>
      </c>
      <c r="K665" s="4">
        <f>IFERROR(J665/I665,"")</f>
        <v/>
      </c>
      <c r="L665" s="4">
        <f>IFERROR((D665-E665)/E665,"")</f>
        <v/>
      </c>
    </row>
    <row r="666">
      <c r="A666" t="inlineStr">
        <is>
          <t>2026-06-19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1.8839</v>
      </c>
      <c r="G666" t="n">
        <v>0</v>
      </c>
      <c r="H666" t="n">
        <v>0.761706</v>
      </c>
      <c r="I666" t="n">
        <v>0.750507</v>
      </c>
      <c r="J666" t="n">
        <v>0.011199</v>
      </c>
      <c r="K666" s="4">
        <f>IFERROR(J666/I666,"")</f>
        <v/>
      </c>
      <c r="L666" s="4">
        <f>IFERROR((D666-E666)/E666,"")</f>
        <v/>
      </c>
    </row>
    <row r="667">
      <c r="A667" t="inlineStr">
        <is>
          <t>2026-06-19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5693.776</v>
      </c>
      <c r="F667" t="n">
        <v>0.8565</v>
      </c>
      <c r="G667" t="n">
        <v>0</v>
      </c>
      <c r="H667" t="n">
        <v>0.487672</v>
      </c>
      <c r="I667" t="n">
        <v>0.481693</v>
      </c>
      <c r="J667" t="n">
        <v>0.005979</v>
      </c>
      <c r="K667" s="4">
        <f>IFERROR(J667/I667,"")</f>
        <v/>
      </c>
      <c r="L667" s="4">
        <f>IFERROR((D667-E667)/E667,"")</f>
        <v/>
      </c>
    </row>
    <row r="668">
      <c r="A668" t="inlineStr">
        <is>
          <t>2026-06-19</t>
        </is>
      </c>
      <c r="B668" t="inlineStr">
        <is>
          <t>159976</t>
        </is>
      </c>
      <c r="C668" t="inlineStr">
        <is>
          <t>湾创ETF工银</t>
        </is>
      </c>
      <c r="D668" t="n">
        <v>6588.5872</v>
      </c>
      <c r="E668" t="n">
        <v>6588.5872</v>
      </c>
      <c r="F668" t="n">
        <v>1.3569</v>
      </c>
      <c r="G668" t="n">
        <v>0</v>
      </c>
      <c r="H668" t="n">
        <v>0.894005</v>
      </c>
      <c r="I668" t="n">
        <v>0.888998</v>
      </c>
      <c r="J668" t="n">
        <v>0.005007</v>
      </c>
      <c r="K668" s="4">
        <f>IFERROR(J668/I668,"")</f>
        <v/>
      </c>
      <c r="L668" s="4">
        <f>IFERROR((D668-E668)/E668,"")</f>
        <v/>
      </c>
    </row>
    <row r="669">
      <c r="A669" t="inlineStr">
        <is>
          <t>2026-06-19</t>
        </is>
      </c>
      <c r="B669" t="inlineStr">
        <is>
          <t>159977</t>
        </is>
      </c>
      <c r="C669" t="inlineStr">
        <is>
          <t>创业板ETF天弘</t>
        </is>
      </c>
      <c r="D669" t="n">
        <v>283787.282</v>
      </c>
      <c r="E669" t="n">
        <v>287587.282</v>
      </c>
      <c r="F669" t="n">
        <v>2.1704</v>
      </c>
      <c r="G669" t="n">
        <v>-3800</v>
      </c>
      <c r="H669" t="n">
        <v>61.593192</v>
      </c>
      <c r="I669" t="n">
        <v>61.480409</v>
      </c>
      <c r="J669" t="n">
        <v>0.112783</v>
      </c>
      <c r="K669" s="4">
        <f>IFERROR(J669/I669,"")</f>
        <v/>
      </c>
      <c r="L669" s="4">
        <f>IFERROR((D669-E669)/E669,"")</f>
        <v/>
      </c>
    </row>
    <row r="670">
      <c r="A670" t="inlineStr">
        <is>
          <t>2026-06-19</t>
        </is>
      </c>
      <c r="B670" t="inlineStr">
        <is>
          <t>159980</t>
        </is>
      </c>
      <c r="C670" t="inlineStr">
        <is>
          <t>有色ETF大成</t>
        </is>
      </c>
      <c r="D670" t="n">
        <v>284682.4777</v>
      </c>
      <c r="E670" t="n">
        <v>286282.4777</v>
      </c>
      <c r="F670" t="n">
        <v>2.1332</v>
      </c>
      <c r="G670" t="n">
        <v>-1600</v>
      </c>
      <c r="H670" t="n">
        <v>60.728466</v>
      </c>
      <c r="I670" t="n">
        <v>60.952402</v>
      </c>
      <c r="J670" t="n">
        <v>-0.223936</v>
      </c>
      <c r="K670" s="4">
        <f>IFERROR(J670/I670,"")</f>
        <v/>
      </c>
      <c r="L670" s="4">
        <f>IFERROR((D670-E670)/E670,"")</f>
        <v/>
      </c>
    </row>
    <row r="671">
      <c r="A671" t="inlineStr">
        <is>
          <t>2026-06-19</t>
        </is>
      </c>
      <c r="B671" t="inlineStr">
        <is>
          <t>159981</t>
        </is>
      </c>
      <c r="C671" t="inlineStr">
        <is>
          <t>能源化工ETF建信</t>
        </is>
      </c>
      <c r="D671" t="n">
        <v>199353.6957</v>
      </c>
      <c r="E671" t="n">
        <v>201253.6957</v>
      </c>
      <c r="F671" t="n">
        <v>1.5066</v>
      </c>
      <c r="G671" t="n">
        <v>-1900</v>
      </c>
      <c r="H671" t="n">
        <v>30.034628</v>
      </c>
      <c r="I671" t="n">
        <v>30.842129</v>
      </c>
      <c r="J671" t="n">
        <v>-0.807501</v>
      </c>
      <c r="K671" s="4">
        <f>IFERROR(J671/I671,"")</f>
        <v/>
      </c>
      <c r="L671" s="4">
        <f>IFERROR((D671-E671)/E671,"")</f>
        <v/>
      </c>
    </row>
    <row r="672">
      <c r="A672" t="inlineStr">
        <is>
          <t>2026-06-19</t>
        </is>
      </c>
      <c r="B672" t="inlineStr">
        <is>
          <t>159982</t>
        </is>
      </c>
      <c r="C672" t="inlineStr">
        <is>
          <t>中证500ETF鹏华</t>
        </is>
      </c>
      <c r="D672" t="n">
        <v>13621.1253</v>
      </c>
      <c r="E672" t="n">
        <v>13621.1253</v>
      </c>
      <c r="F672" t="n">
        <v>2.2922</v>
      </c>
      <c r="G672" t="n">
        <v>0</v>
      </c>
      <c r="H672" t="n">
        <v>3.122234</v>
      </c>
      <c r="I672" t="n">
        <v>3.079055</v>
      </c>
      <c r="J672" t="n">
        <v>0.043179</v>
      </c>
      <c r="K672" s="4">
        <f>IFERROR(J672/I672,"")</f>
        <v/>
      </c>
      <c r="L672" s="4">
        <f>IFERROR((D672-E672)/E672,"")</f>
        <v/>
      </c>
    </row>
    <row r="673">
      <c r="A673" t="inlineStr">
        <is>
          <t>2026-06-19</t>
        </is>
      </c>
      <c r="B673" t="inlineStr">
        <is>
          <t>159985</t>
        </is>
      </c>
      <c r="C673" t="inlineStr">
        <is>
          <t>豆粕ETF华夏</t>
        </is>
      </c>
      <c r="D673" t="n">
        <v>150072.4066</v>
      </c>
      <c r="E673" t="n">
        <v>149952.4066</v>
      </c>
      <c r="F673" t="n">
        <v>1.9793</v>
      </c>
      <c r="G673" t="n">
        <v>120</v>
      </c>
      <c r="H673" t="n">
        <v>29.703831</v>
      </c>
      <c r="I673" t="n">
        <v>29.479144</v>
      </c>
      <c r="J673" t="n">
        <v>0.224687</v>
      </c>
      <c r="K673" s="4">
        <f>IFERROR(J673/I673,"")</f>
        <v/>
      </c>
      <c r="L673" s="4">
        <f>IFERROR((D673-E673)/E673,"")</f>
        <v/>
      </c>
    </row>
    <row r="674">
      <c r="A674" t="inlineStr">
        <is>
          <t>2026-06-19</t>
        </is>
      </c>
      <c r="B674" t="inlineStr">
        <is>
          <t>159991</t>
        </is>
      </c>
      <c r="C674" t="inlineStr">
        <is>
          <t>创业板大盘ETF招商</t>
        </is>
      </c>
      <c r="D674" t="n">
        <v>9426.3172</v>
      </c>
      <c r="E674" t="n">
        <v>9706.3172</v>
      </c>
      <c r="F674" t="n">
        <v>0.9977</v>
      </c>
      <c r="G674" t="n">
        <v>-280</v>
      </c>
      <c r="H674" t="n">
        <v>0.940464</v>
      </c>
      <c r="I674" t="n">
        <v>0.954519</v>
      </c>
      <c r="J674" t="n">
        <v>-0.014055</v>
      </c>
      <c r="K674" s="4">
        <f>IFERROR(J674/I674,"")</f>
        <v/>
      </c>
      <c r="L674" s="4">
        <f>IFERROR((D674-E674)/E674,"")</f>
        <v/>
      </c>
    </row>
    <row r="675">
      <c r="A675" t="inlineStr">
        <is>
          <t>2026-06-19</t>
        </is>
      </c>
      <c r="B675" t="inlineStr">
        <is>
          <t>159992</t>
        </is>
      </c>
      <c r="C675" t="inlineStr">
        <is>
          <t>创新药ETF银华</t>
        </is>
      </c>
      <c r="D675" t="n">
        <v>1906738.1217</v>
      </c>
      <c r="E675" t="n">
        <v>1933378.1217</v>
      </c>
      <c r="F675" t="n">
        <v>0.716</v>
      </c>
      <c r="G675" t="n">
        <v>-26640</v>
      </c>
      <c r="H675" t="n">
        <v>136.52245</v>
      </c>
      <c r="I675" t="n">
        <v>139.319227</v>
      </c>
      <c r="J675" t="n">
        <v>-2.796777</v>
      </c>
      <c r="K675" s="4">
        <f>IFERROR(J675/I675,"")</f>
        <v/>
      </c>
      <c r="L675" s="4">
        <f>IFERROR((D675-E675)/E675,"")</f>
        <v/>
      </c>
    </row>
    <row r="676">
      <c r="A676" t="inlineStr">
        <is>
          <t>2026-06-19</t>
        </is>
      </c>
      <c r="B676" t="inlineStr">
        <is>
          <t>159993</t>
        </is>
      </c>
      <c r="C676" t="inlineStr">
        <is>
          <t>证券ETF鹏华</t>
        </is>
      </c>
      <c r="D676" t="n">
        <v>310269.7982</v>
      </c>
      <c r="E676" t="n">
        <v>309419.7982</v>
      </c>
      <c r="F676" t="n">
        <v>1.1755</v>
      </c>
      <c r="G676" t="n">
        <v>850</v>
      </c>
      <c r="H676" t="n">
        <v>36.472215</v>
      </c>
      <c r="I676" t="n">
        <v>36.452746</v>
      </c>
      <c r="J676" t="n">
        <v>0.019469</v>
      </c>
      <c r="K676" s="4">
        <f>IFERROR(J676/I676,"")</f>
        <v/>
      </c>
      <c r="L676" s="4">
        <f>IFERROR((D676-E676)/E676,"")</f>
        <v/>
      </c>
    </row>
    <row r="677">
      <c r="A677" t="inlineStr">
        <is>
          <t>2026-06-19</t>
        </is>
      </c>
      <c r="B677" t="inlineStr">
        <is>
          <t>159994</t>
        </is>
      </c>
      <c r="C677" t="inlineStr">
        <is>
          <t>通信ETF银华</t>
        </is>
      </c>
      <c r="D677" t="n">
        <v>244300.3358</v>
      </c>
      <c r="E677" t="n">
        <v>247500.3358</v>
      </c>
      <c r="F677" t="n">
        <v>1.6237</v>
      </c>
      <c r="G677" t="n">
        <v>-3200</v>
      </c>
      <c r="H677" t="n">
        <v>39.667046</v>
      </c>
      <c r="I677" t="n">
        <v>39.206528</v>
      </c>
      <c r="J677" t="n">
        <v>0.460518</v>
      </c>
      <c r="K677" s="4">
        <f>IFERROR(J677/I677,"")</f>
        <v/>
      </c>
      <c r="L677" s="4">
        <f>IFERROR((D677-E677)/E677,"")</f>
        <v/>
      </c>
    </row>
    <row r="678">
      <c r="A678" t="inlineStr">
        <is>
          <t>2026-06-19</t>
        </is>
      </c>
      <c r="B678" t="inlineStr">
        <is>
          <t>159995</t>
        </is>
      </c>
      <c r="C678" t="inlineStr">
        <is>
          <t>芯片ETF华夏</t>
        </is>
      </c>
      <c r="D678" t="n">
        <v>1013576.3006</v>
      </c>
      <c r="E678" t="n">
        <v>1034156.3006</v>
      </c>
      <c r="F678" t="n">
        <v>2.691</v>
      </c>
      <c r="G678" t="n">
        <v>-20580</v>
      </c>
      <c r="H678" t="n">
        <v>272.753382</v>
      </c>
      <c r="I678" t="n">
        <v>262.458528</v>
      </c>
      <c r="J678" t="n">
        <v>10.294854</v>
      </c>
      <c r="K678" s="4">
        <f>IFERROR(J678/I678,"")</f>
        <v/>
      </c>
      <c r="L678" s="4">
        <f>IFERROR((D678-E678)/E678,"")</f>
        <v/>
      </c>
    </row>
    <row r="679">
      <c r="A679" t="inlineStr">
        <is>
          <t>2026-06-19</t>
        </is>
      </c>
      <c r="B679" t="inlineStr">
        <is>
          <t>159996</t>
        </is>
      </c>
      <c r="C679" t="inlineStr">
        <is>
          <t>家电ETF国泰</t>
        </is>
      </c>
      <c r="D679" t="n">
        <v>52055.4846</v>
      </c>
      <c r="E679" t="n">
        <v>54055.4846</v>
      </c>
      <c r="F679" t="n">
        <v>1.4697</v>
      </c>
      <c r="G679" t="n">
        <v>-2000</v>
      </c>
      <c r="H679" t="n">
        <v>7.650595</v>
      </c>
      <c r="I679" t="n">
        <v>7.946156</v>
      </c>
      <c r="J679" t="n">
        <v>-0.295561</v>
      </c>
      <c r="K679" s="4">
        <f>IFERROR(J679/I679,"")</f>
        <v/>
      </c>
      <c r="L679" s="4">
        <f>IFERROR((D679-E679)/E679,"")</f>
        <v/>
      </c>
    </row>
    <row r="680">
      <c r="A680" t="inlineStr">
        <is>
          <t>2026-06-19</t>
        </is>
      </c>
      <c r="B680" t="inlineStr">
        <is>
          <t>159997</t>
        </is>
      </c>
      <c r="C680" t="inlineStr">
        <is>
          <t>电子ETF天弘</t>
        </is>
      </c>
      <c r="D680" t="n">
        <v>69630.6634</v>
      </c>
      <c r="E680" t="n">
        <v>67430.6634</v>
      </c>
      <c r="F680" t="n">
        <v>2.4427</v>
      </c>
      <c r="G680" t="n">
        <v>2200</v>
      </c>
      <c r="H680" t="n">
        <v>17.008682</v>
      </c>
      <c r="I680" t="n">
        <v>15.728877</v>
      </c>
      <c r="J680" t="n">
        <v>1.279805</v>
      </c>
      <c r="K680" s="4">
        <f>IFERROR(J680/I680,"")</f>
        <v/>
      </c>
      <c r="L680" s="4">
        <f>IFERROR((D680-E680)/E680,"")</f>
        <v/>
      </c>
    </row>
    <row r="681">
      <c r="A681" t="inlineStr">
        <is>
          <t>2026-06-19</t>
        </is>
      </c>
      <c r="B681" t="inlineStr">
        <is>
          <t>159998</t>
        </is>
      </c>
      <c r="C681" t="inlineStr">
        <is>
          <t>计算机ETF天弘</t>
        </is>
      </c>
      <c r="D681" t="n">
        <v>164865.5354</v>
      </c>
      <c r="E681" t="n">
        <v>169425.5354</v>
      </c>
      <c r="F681" t="n">
        <v>0.9947</v>
      </c>
      <c r="G681" t="n">
        <v>-4560</v>
      </c>
      <c r="H681" t="n">
        <v>16.399175</v>
      </c>
      <c r="I681" t="n">
        <v>16.547792</v>
      </c>
      <c r="J681" t="n">
        <v>-0.148617</v>
      </c>
      <c r="K681" s="4">
        <f>IFERROR(J681/I681,"")</f>
        <v/>
      </c>
      <c r="L681" s="4">
        <f>IFERROR((D681-E681)/E681,"")</f>
        <v/>
      </c>
    </row>
    <row r="682">
      <c r="A682" t="inlineStr">
        <is>
          <t>2026-06-19</t>
        </is>
      </c>
      <c r="B682" t="inlineStr">
        <is>
          <t>160105</t>
        </is>
      </c>
      <c r="C682" t="inlineStr">
        <is>
          <t>南方积配LOF</t>
        </is>
      </c>
      <c r="D682" t="n">
        <v>1018.2444</v>
      </c>
      <c r="E682" t="n">
        <v>1018.2444</v>
      </c>
      <c r="F682" t="n">
        <v>1.1942</v>
      </c>
      <c r="G682" t="n">
        <v>0</v>
      </c>
      <c r="H682" t="n">
        <v>0.121599</v>
      </c>
      <c r="I682" t="n">
        <v>0.120703</v>
      </c>
      <c r="J682" t="n">
        <v>0.000896</v>
      </c>
      <c r="K682" s="4">
        <f>IFERROR(J682/I682,"")</f>
        <v/>
      </c>
      <c r="L682" s="4">
        <f>IFERROR((D682-E682)/E682,"")</f>
        <v/>
      </c>
    </row>
    <row r="683">
      <c r="A683" t="inlineStr">
        <is>
          <t>2026-06-19</t>
        </is>
      </c>
      <c r="B683" t="inlineStr">
        <is>
          <t>160106</t>
        </is>
      </c>
      <c r="C683" t="inlineStr">
        <is>
          <t>南方高增LOF</t>
        </is>
      </c>
      <c r="D683" t="n">
        <v>3430.6677</v>
      </c>
      <c r="E683" t="n">
        <v>3430.6677</v>
      </c>
      <c r="F683" t="n">
        <v>1.4362</v>
      </c>
      <c r="G683" t="n">
        <v>0</v>
      </c>
      <c r="H683" t="n">
        <v>0.492712</v>
      </c>
      <c r="I683" t="n">
        <v>0.489213</v>
      </c>
      <c r="J683" t="n">
        <v>0.003499</v>
      </c>
      <c r="K683" s="4">
        <f>IFERROR(J683/I683,"")</f>
        <v/>
      </c>
      <c r="L683" s="4">
        <f>IFERROR((D683-E683)/E683,"")</f>
        <v/>
      </c>
    </row>
    <row r="684">
      <c r="A684" t="inlineStr">
        <is>
          <t>2026-06-19</t>
        </is>
      </c>
      <c r="B684" t="inlineStr">
        <is>
          <t>160119</t>
        </is>
      </c>
      <c r="C684" t="inlineStr">
        <is>
          <t>500ETF联接LOF</t>
        </is>
      </c>
      <c r="D684" t="n">
        <v>3391.9373</v>
      </c>
      <c r="E684" t="n">
        <v>3418.9846</v>
      </c>
      <c r="F684" t="n">
        <v>2.4221</v>
      </c>
      <c r="G684" t="n">
        <v>-27.0473</v>
      </c>
      <c r="H684" t="n">
        <v>0.821561</v>
      </c>
      <c r="I684" t="n">
        <v>0.817001</v>
      </c>
      <c r="J684" t="n">
        <v>0.00456</v>
      </c>
      <c r="K684" s="4">
        <f>IFERROR(J684/I684,"")</f>
        <v/>
      </c>
      <c r="L684" s="4">
        <f>IFERROR((D684-E684)/E684,"")</f>
        <v/>
      </c>
    </row>
    <row r="685">
      <c r="A685" t="inlineStr">
        <is>
          <t>2026-06-19</t>
        </is>
      </c>
      <c r="B685" t="inlineStr">
        <is>
          <t>160125</t>
        </is>
      </c>
      <c r="C685" t="inlineStr">
        <is>
          <t>南方香港LOF</t>
        </is>
      </c>
      <c r="D685" t="n">
        <v>1706.0747</v>
      </c>
      <c r="E685" t="n">
        <v>1594.1322</v>
      </c>
      <c r="F685" t="n">
        <v>1.7243</v>
      </c>
      <c r="G685" t="n">
        <v>111.9425</v>
      </c>
      <c r="H685" t="n">
        <v>0.294178</v>
      </c>
      <c r="I685" t="n">
        <v>0.276438</v>
      </c>
      <c r="J685" t="n">
        <v>0.01774</v>
      </c>
      <c r="K685" s="4">
        <f>IFERROR(J685/I685,"")</f>
        <v/>
      </c>
      <c r="L685" s="4">
        <f>IFERROR((D685-E685)/E685,"")</f>
        <v/>
      </c>
    </row>
    <row r="686">
      <c r="A686" t="inlineStr">
        <is>
          <t>2026-06-19</t>
        </is>
      </c>
      <c r="B686" t="inlineStr">
        <is>
          <t>160127</t>
        </is>
      </c>
      <c r="C686" t="inlineStr">
        <is>
          <t>南方消费LOF</t>
        </is>
      </c>
      <c r="D686" t="n">
        <v>3281.4428</v>
      </c>
      <c r="E686" t="n">
        <v>3281.4428</v>
      </c>
      <c r="F686" t="n">
        <v>0.8554</v>
      </c>
      <c r="G686" t="n">
        <v>0</v>
      </c>
      <c r="H686" t="n">
        <v>0.280695</v>
      </c>
      <c r="I686" t="n">
        <v>0.279841</v>
      </c>
      <c r="J686" t="n">
        <v>0.000854</v>
      </c>
      <c r="K686" s="4">
        <f>IFERROR(J686/I686,"")</f>
        <v/>
      </c>
      <c r="L686" s="4">
        <f>IFERROR((D686-E686)/E686,"")</f>
        <v/>
      </c>
    </row>
    <row r="687">
      <c r="A687" t="inlineStr">
        <is>
          <t>2026-06-19</t>
        </is>
      </c>
      <c r="B687" t="inlineStr">
        <is>
          <t>160128</t>
        </is>
      </c>
      <c r="C687" t="inlineStr">
        <is>
          <t>南方金利定开</t>
        </is>
      </c>
      <c r="D687" t="n">
        <v>4428.7409</v>
      </c>
      <c r="E687" t="n">
        <v>4428.7409</v>
      </c>
      <c r="F687" t="n">
        <v>1.029</v>
      </c>
      <c r="G687" t="n">
        <v>0</v>
      </c>
      <c r="H687" t="n">
        <v>0.455717</v>
      </c>
      <c r="I687" t="n">
        <v>0.455717</v>
      </c>
      <c r="J687" t="n">
        <v>0</v>
      </c>
      <c r="K687" s="4">
        <f>IFERROR(J687/I687,"")</f>
        <v/>
      </c>
      <c r="L687" s="4">
        <f>IFERROR((D687-E687)/E687,"")</f>
        <v/>
      </c>
    </row>
    <row r="688">
      <c r="A688" t="inlineStr">
        <is>
          <t>2026-06-19</t>
        </is>
      </c>
      <c r="B688" t="inlineStr">
        <is>
          <t>160133</t>
        </is>
      </c>
      <c r="C688" t="inlineStr">
        <is>
          <t>南方天元LOF</t>
        </is>
      </c>
      <c r="D688" t="n">
        <v>11062.6563</v>
      </c>
      <c r="E688" t="n">
        <v>11421.2917</v>
      </c>
      <c r="F688" t="n">
        <v>4.1687</v>
      </c>
      <c r="G688" t="n">
        <v>-358.6354</v>
      </c>
      <c r="H688" t="n">
        <v>4.61169</v>
      </c>
      <c r="I688" t="n">
        <v>4.72042</v>
      </c>
      <c r="J688" t="n">
        <v>-0.10873</v>
      </c>
      <c r="K688" s="4">
        <f>IFERROR(J688/I688,"")</f>
        <v/>
      </c>
      <c r="L688" s="4">
        <f>IFERROR((D688-E688)/E688,"")</f>
        <v/>
      </c>
    </row>
    <row r="689">
      <c r="A689" t="inlineStr">
        <is>
          <t>2026-06-19</t>
        </is>
      </c>
      <c r="B689" t="inlineStr">
        <is>
          <t>160135</t>
        </is>
      </c>
      <c r="C689" t="inlineStr">
        <is>
          <t>高铁基金LOF</t>
        </is>
      </c>
      <c r="D689" t="n">
        <v>642.4423</v>
      </c>
      <c r="E689" t="n">
        <v>643.1802</v>
      </c>
      <c r="F689" t="n">
        <v>0.9968</v>
      </c>
      <c r="G689" t="n">
        <v>-0.7379</v>
      </c>
      <c r="H689" t="n">
        <v>0.064039</v>
      </c>
      <c r="I689" t="n">
        <v>0.06407400000000001</v>
      </c>
      <c r="J689" t="n">
        <v>-3.5e-05</v>
      </c>
      <c r="K689" s="4">
        <f>IFERROR(J689/I689,"")</f>
        <v/>
      </c>
      <c r="L689" s="4">
        <f>IFERROR((D689-E689)/E689,"")</f>
        <v/>
      </c>
    </row>
    <row r="690">
      <c r="A690" t="inlineStr">
        <is>
          <t>2026-06-19</t>
        </is>
      </c>
      <c r="B690" t="inlineStr">
        <is>
          <t>160140</t>
        </is>
      </c>
      <c r="C690" t="inlineStr">
        <is>
          <t>美国REIT精选LOF</t>
        </is>
      </c>
      <c r="D690" t="n">
        <v>6927.4715</v>
      </c>
      <c r="E690" t="n">
        <v>6848.8713</v>
      </c>
      <c r="F690" t="n">
        <v>1.4383</v>
      </c>
      <c r="G690" t="n">
        <v>78.6002</v>
      </c>
      <c r="H690" t="n">
        <v>0.996378</v>
      </c>
      <c r="I690" t="n">
        <v>0.982745</v>
      </c>
      <c r="J690" t="n">
        <v>0.013633</v>
      </c>
      <c r="K690" s="4">
        <f>IFERROR(J690/I690,"")</f>
        <v/>
      </c>
      <c r="L690" s="4">
        <f>IFERROR((D690-E690)/E690,"")</f>
        <v/>
      </c>
    </row>
    <row r="691">
      <c r="A691" t="inlineStr">
        <is>
          <t>2026-06-19</t>
        </is>
      </c>
      <c r="B691" t="inlineStr">
        <is>
          <t>160142</t>
        </is>
      </c>
      <c r="C691" t="inlineStr">
        <is>
          <t>南方优势产业LOF</t>
        </is>
      </c>
      <c r="D691" t="n">
        <v>3392.8844</v>
      </c>
      <c r="E691" t="n">
        <v>3394.8244</v>
      </c>
      <c r="F691" t="n">
        <v>1.1693</v>
      </c>
      <c r="G691" t="n">
        <v>-1.94</v>
      </c>
      <c r="H691" t="n">
        <v>0.39673</v>
      </c>
      <c r="I691" t="n">
        <v>0.393664</v>
      </c>
      <c r="J691" t="n">
        <v>0.003066</v>
      </c>
      <c r="K691" s="4">
        <f>IFERROR(J691/I691,"")</f>
        <v/>
      </c>
      <c r="L691" s="4">
        <f>IFERROR((D691-E691)/E691,"")</f>
        <v/>
      </c>
    </row>
    <row r="692">
      <c r="A692" t="inlineStr">
        <is>
          <t>2026-06-19</t>
        </is>
      </c>
      <c r="B692" t="inlineStr">
        <is>
          <t>160143</t>
        </is>
      </c>
      <c r="C692" t="inlineStr">
        <is>
          <t>创业板定开南方</t>
        </is>
      </c>
      <c r="D692" t="n">
        <v>2804.2134</v>
      </c>
      <c r="E692" t="n">
        <v>2804.2134</v>
      </c>
      <c r="F692" t="n">
        <v>2.0231</v>
      </c>
      <c r="G692" t="n">
        <v>0</v>
      </c>
      <c r="H692" t="n">
        <v>0.56732</v>
      </c>
      <c r="I692" t="n">
        <v>0.548476</v>
      </c>
      <c r="J692" t="n">
        <v>0.018844</v>
      </c>
      <c r="K692" s="4">
        <f>IFERROR(J692/I692,"")</f>
        <v/>
      </c>
      <c r="L692" s="4">
        <f>IFERROR((D692-E692)/E692,"")</f>
        <v/>
      </c>
    </row>
    <row r="693">
      <c r="A693" t="inlineStr">
        <is>
          <t>2026-06-19</t>
        </is>
      </c>
      <c r="B693" t="inlineStr">
        <is>
          <t>160211</t>
        </is>
      </c>
      <c r="C693" t="inlineStr">
        <is>
          <t>国泰小盘LOF</t>
        </is>
      </c>
      <c r="D693" t="n">
        <v>1518.6297</v>
      </c>
      <c r="E693" t="n">
        <v>1518.6008</v>
      </c>
      <c r="F693" t="n">
        <v>3.404</v>
      </c>
      <c r="G693" t="n">
        <v>0.0289</v>
      </c>
      <c r="H693" t="n">
        <v>0.516942</v>
      </c>
      <c r="I693" t="n">
        <v>0.514046</v>
      </c>
      <c r="J693" t="n">
        <v>0.002896</v>
      </c>
      <c r="K693" s="4">
        <f>IFERROR(J693/I693,"")</f>
        <v/>
      </c>
      <c r="L693" s="4">
        <f>IFERROR((D693-E693)/E693,"")</f>
        <v/>
      </c>
    </row>
    <row r="694">
      <c r="A694" t="inlineStr">
        <is>
          <t>2026-06-19</t>
        </is>
      </c>
      <c r="B694" t="inlineStr">
        <is>
          <t>160212</t>
        </is>
      </c>
      <c r="C694" t="inlineStr">
        <is>
          <t>国泰估值LOF</t>
        </is>
      </c>
      <c r="D694" t="n">
        <v>802.4124</v>
      </c>
      <c r="E694" t="n">
        <v>802.3035</v>
      </c>
      <c r="F694" t="n">
        <v>4.5235</v>
      </c>
      <c r="G694" t="n">
        <v>0.1089</v>
      </c>
      <c r="H694" t="n">
        <v>0.362971</v>
      </c>
      <c r="I694" t="n">
        <v>0.359633</v>
      </c>
      <c r="J694" t="n">
        <v>0.003338</v>
      </c>
      <c r="K694" s="4">
        <f>IFERROR(J694/I694,"")</f>
        <v/>
      </c>
      <c r="L694" s="4">
        <f>IFERROR((D694-E694)/E694,"")</f>
        <v/>
      </c>
    </row>
    <row r="695">
      <c r="A695" t="inlineStr">
        <is>
          <t>2026-06-19</t>
        </is>
      </c>
      <c r="B695" t="inlineStr">
        <is>
          <t>160215</t>
        </is>
      </c>
      <c r="C695" t="inlineStr">
        <is>
          <t>国泰价值LOF</t>
        </is>
      </c>
      <c r="D695" t="n">
        <v>217.5669</v>
      </c>
      <c r="E695" t="n">
        <v>221.9554</v>
      </c>
      <c r="F695" t="n">
        <v>4.534</v>
      </c>
      <c r="G695" t="n">
        <v>-4.3885</v>
      </c>
      <c r="H695" t="n">
        <v>0.098645</v>
      </c>
      <c r="I695" t="n">
        <v>0.09826</v>
      </c>
      <c r="J695" t="n">
        <v>0.000385</v>
      </c>
      <c r="K695" s="4">
        <f>IFERROR(J695/I695,"")</f>
        <v/>
      </c>
      <c r="L695" s="4">
        <f>IFERROR((D695-E695)/E695,"")</f>
        <v/>
      </c>
    </row>
    <row r="696">
      <c r="A696" t="inlineStr">
        <is>
          <t>2026-06-19</t>
        </is>
      </c>
      <c r="B696" t="inlineStr">
        <is>
          <t>160216</t>
        </is>
      </c>
      <c r="C696" t="inlineStr">
        <is>
          <t>国泰商品LOF</t>
        </is>
      </c>
      <c r="D696" t="n">
        <v>24648.8634</v>
      </c>
      <c r="E696" t="n">
        <v>24701.4657</v>
      </c>
      <c r="F696" t="n">
        <v>0.697</v>
      </c>
      <c r="G696" t="n">
        <v>-52.6023</v>
      </c>
      <c r="H696" t="n">
        <v>1.718026</v>
      </c>
      <c r="I696" t="n">
        <v>1.721692</v>
      </c>
      <c r="J696" t="n">
        <v>-0.003666</v>
      </c>
      <c r="K696" s="4">
        <f>IFERROR(J696/I696,"")</f>
        <v/>
      </c>
      <c r="L696" s="4">
        <f>IFERROR((D696-E696)/E696,"")</f>
        <v/>
      </c>
    </row>
    <row r="697">
      <c r="A697" t="inlineStr">
        <is>
          <t>2026-06-19</t>
        </is>
      </c>
      <c r="B697" t="inlineStr">
        <is>
          <t>160218</t>
        </is>
      </c>
      <c r="C697" t="inlineStr">
        <is>
          <t>房地产LOF</t>
        </is>
      </c>
      <c r="D697" t="n">
        <v>3008.6644</v>
      </c>
      <c r="E697" t="n">
        <v>3015.6747</v>
      </c>
      <c r="F697" t="n">
        <v>0.5699</v>
      </c>
      <c r="G697" t="n">
        <v>-7.0103</v>
      </c>
      <c r="H697" t="n">
        <v>0.171464</v>
      </c>
      <c r="I697" t="n">
        <v>0.173341</v>
      </c>
      <c r="J697" t="n">
        <v>-0.001877</v>
      </c>
      <c r="K697" s="4">
        <f>IFERROR(J697/I697,"")</f>
        <v/>
      </c>
      <c r="L697" s="4">
        <f>IFERROR((D697-E697)/E697,"")</f>
        <v/>
      </c>
    </row>
    <row r="698">
      <c r="A698" t="inlineStr">
        <is>
          <t>2026-06-19</t>
        </is>
      </c>
      <c r="B698" t="inlineStr">
        <is>
          <t>160219</t>
        </is>
      </c>
      <c r="C698" t="inlineStr">
        <is>
          <t>医药LOF</t>
        </is>
      </c>
      <c r="D698" t="n">
        <v>15223.0468</v>
      </c>
      <c r="E698" t="n">
        <v>15223.084</v>
      </c>
      <c r="F698" t="n">
        <v>0.493</v>
      </c>
      <c r="G698" t="n">
        <v>-0.0372</v>
      </c>
      <c r="H698" t="n">
        <v>0.7504960000000001</v>
      </c>
      <c r="I698" t="n">
        <v>0.755826</v>
      </c>
      <c r="J698" t="n">
        <v>-0.00533</v>
      </c>
      <c r="K698" s="4">
        <f>IFERROR(J698/I698,"")</f>
        <v/>
      </c>
      <c r="L698" s="4">
        <f>IFERROR((D698-E698)/E698,"")</f>
        <v/>
      </c>
    </row>
    <row r="699">
      <c r="A699" t="inlineStr">
        <is>
          <t>2026-06-19</t>
        </is>
      </c>
      <c r="B699" t="inlineStr">
        <is>
          <t>160220</t>
        </is>
      </c>
      <c r="C699" t="inlineStr">
        <is>
          <t>国泰民益LOF</t>
        </is>
      </c>
      <c r="D699" t="n">
        <v>505.2339</v>
      </c>
      <c r="E699" t="n">
        <v>504.5634</v>
      </c>
      <c r="F699" t="n">
        <v>5.5943</v>
      </c>
      <c r="G699" t="n">
        <v>0.6705</v>
      </c>
      <c r="H699" t="n">
        <v>0.282643</v>
      </c>
      <c r="I699" t="n">
        <v>0.27585</v>
      </c>
      <c r="J699" t="n">
        <v>0.006793</v>
      </c>
      <c r="K699" s="4">
        <f>IFERROR(J699/I699,"")</f>
        <v/>
      </c>
      <c r="L699" s="4">
        <f>IFERROR((D699-E699)/E699,"")</f>
        <v/>
      </c>
    </row>
    <row r="700">
      <c r="A700" t="inlineStr">
        <is>
          <t>2026-06-19</t>
        </is>
      </c>
      <c r="B700" t="inlineStr">
        <is>
          <t>160221</t>
        </is>
      </c>
      <c r="C700" t="inlineStr">
        <is>
          <t>有色金属LOF</t>
        </is>
      </c>
      <c r="D700" t="n">
        <v>4523.6432</v>
      </c>
      <c r="E700" t="n">
        <v>4620.5797</v>
      </c>
      <c r="F700" t="n">
        <v>2.4282</v>
      </c>
      <c r="G700" t="n">
        <v>-96.9365</v>
      </c>
      <c r="H700" t="n">
        <v>1.098431</v>
      </c>
      <c r="I700" t="n">
        <v>1.124326</v>
      </c>
      <c r="J700" t="n">
        <v>-0.025895</v>
      </c>
      <c r="K700" s="4">
        <f>IFERROR(J700/I700,"")</f>
        <v/>
      </c>
      <c r="L700" s="4">
        <f>IFERROR((D700-E700)/E700,"")</f>
        <v/>
      </c>
    </row>
    <row r="701">
      <c r="A701" t="inlineStr">
        <is>
          <t>2026-06-19</t>
        </is>
      </c>
      <c r="B701" t="inlineStr">
        <is>
          <t>160222</t>
        </is>
      </c>
      <c r="C701" t="inlineStr">
        <is>
          <t>食品LOF</t>
        </is>
      </c>
      <c r="D701" t="n">
        <v>8635.5687</v>
      </c>
      <c r="E701" t="n">
        <v>8634.8758</v>
      </c>
      <c r="F701" t="n">
        <v>0.6462</v>
      </c>
      <c r="G701" t="n">
        <v>0.6929</v>
      </c>
      <c r="H701" t="n">
        <v>0.55803</v>
      </c>
      <c r="I701" t="n">
        <v>0.561785</v>
      </c>
      <c r="J701" t="n">
        <v>-0.003755</v>
      </c>
      <c r="K701" s="4">
        <f>IFERROR(J701/I701,"")</f>
        <v/>
      </c>
      <c r="L701" s="4">
        <f>IFERROR((D701-E701)/E701,"")</f>
        <v/>
      </c>
    </row>
    <row r="702">
      <c r="A702" t="inlineStr">
        <is>
          <t>2026-06-19</t>
        </is>
      </c>
      <c r="B702" t="inlineStr">
        <is>
          <t>160223</t>
        </is>
      </c>
      <c r="C702" t="inlineStr">
        <is>
          <t>创业板LOF</t>
        </is>
      </c>
      <c r="D702" t="n">
        <v>849.7169</v>
      </c>
      <c r="E702" t="n">
        <v>852.2069</v>
      </c>
      <c r="F702" t="n">
        <v>2.3015</v>
      </c>
      <c r="G702" t="n">
        <v>-2.49</v>
      </c>
      <c r="H702" t="n">
        <v>0.195562</v>
      </c>
      <c r="I702" t="n">
        <v>0.193221</v>
      </c>
      <c r="J702" t="n">
        <v>0.002341</v>
      </c>
      <c r="K702" s="4">
        <f>IFERROR(J702/I702,"")</f>
        <v/>
      </c>
      <c r="L702" s="4">
        <f>IFERROR((D702-E702)/E702,"")</f>
        <v/>
      </c>
    </row>
    <row r="703">
      <c r="A703" t="inlineStr">
        <is>
          <t>2026-06-19</t>
        </is>
      </c>
      <c r="B703" t="inlineStr">
        <is>
          <t>160225</t>
        </is>
      </c>
      <c r="C703" t="inlineStr">
        <is>
          <t>新能源汽车LOF</t>
        </is>
      </c>
      <c r="D703" t="n">
        <v>874.1901</v>
      </c>
      <c r="E703" t="n">
        <v>891.5501</v>
      </c>
      <c r="F703" t="n">
        <v>2.0574</v>
      </c>
      <c r="G703" t="n">
        <v>-17.36</v>
      </c>
      <c r="H703" t="n">
        <v>0.179856</v>
      </c>
      <c r="I703" t="n">
        <v>0.183392</v>
      </c>
      <c r="J703" t="n">
        <v>-0.003536</v>
      </c>
      <c r="K703" s="4">
        <f>IFERROR(J703/I703,"")</f>
        <v/>
      </c>
      <c r="L703" s="4">
        <f>IFERROR((D703-E703)/E703,"")</f>
        <v/>
      </c>
    </row>
    <row r="704">
      <c r="A704" t="inlineStr">
        <is>
          <t>2026-06-19</t>
        </is>
      </c>
      <c r="B704" t="inlineStr">
        <is>
          <t>160311</t>
        </is>
      </c>
      <c r="C704" t="inlineStr">
        <is>
          <t>华夏蓝筹LOF</t>
        </is>
      </c>
      <c r="D704" t="n">
        <v>6256.8152</v>
      </c>
      <c r="E704" t="n">
        <v>6256.2199</v>
      </c>
      <c r="F704" t="n">
        <v>1.655</v>
      </c>
      <c r="G704" t="n">
        <v>0.5953000000000001</v>
      </c>
      <c r="H704" t="n">
        <v>1.035503</v>
      </c>
      <c r="I704" t="n">
        <v>1.040409</v>
      </c>
      <c r="J704" t="n">
        <v>-0.004906</v>
      </c>
      <c r="K704" s="4">
        <f>IFERROR(J704/I704,"")</f>
        <v/>
      </c>
      <c r="L704" s="4">
        <f>IFERROR((D704-E704)/E704,"")</f>
        <v/>
      </c>
    </row>
    <row r="705">
      <c r="A705" t="inlineStr">
        <is>
          <t>2026-06-19</t>
        </is>
      </c>
      <c r="B705" t="inlineStr">
        <is>
          <t>160314</t>
        </is>
      </c>
      <c r="C705" t="inlineStr">
        <is>
          <t>华夏行业LOF</t>
        </is>
      </c>
      <c r="D705" t="n">
        <v>6188.9962</v>
      </c>
      <c r="E705" t="n">
        <v>6189.0262</v>
      </c>
      <c r="F705" t="n">
        <v>1.588</v>
      </c>
      <c r="G705" t="n">
        <v>-0.03</v>
      </c>
      <c r="H705" t="n">
        <v>0.982813</v>
      </c>
      <c r="I705" t="n">
        <v>0.965488</v>
      </c>
      <c r="J705" t="n">
        <v>0.017325</v>
      </c>
      <c r="K705" s="4">
        <f>IFERROR(J705/I705,"")</f>
        <v/>
      </c>
      <c r="L705" s="4">
        <f>IFERROR((D705-E705)/E705,"")</f>
        <v/>
      </c>
    </row>
    <row r="706">
      <c r="A706" t="inlineStr">
        <is>
          <t>2026-06-19</t>
        </is>
      </c>
      <c r="B706" t="inlineStr">
        <is>
          <t>160322</t>
        </is>
      </c>
      <c r="C706" t="inlineStr">
        <is>
          <t>港股精选LOF</t>
        </is>
      </c>
      <c r="D706" t="n">
        <v>1430.0157</v>
      </c>
      <c r="E706" t="n">
        <v>1430.0157</v>
      </c>
      <c r="F706" t="n">
        <v>1.099</v>
      </c>
      <c r="G706" t="n">
        <v>0</v>
      </c>
      <c r="H706" t="n">
        <v>0.157159</v>
      </c>
      <c r="I706" t="n">
        <v>0.156043</v>
      </c>
      <c r="J706" t="n">
        <v>0.001116</v>
      </c>
      <c r="K706" s="4">
        <f>IFERROR(J706/I706,"")</f>
        <v/>
      </c>
      <c r="L706" s="4">
        <f>IFERROR((D706-E706)/E706,"")</f>
        <v/>
      </c>
    </row>
    <row r="707">
      <c r="A707" t="inlineStr">
        <is>
          <t>2026-06-19</t>
        </is>
      </c>
      <c r="B707" t="inlineStr">
        <is>
          <t>160323</t>
        </is>
      </c>
      <c r="C707" t="inlineStr">
        <is>
          <t>华夏磐泰LOF</t>
        </is>
      </c>
      <c r="D707" t="n">
        <v>6870.2174</v>
      </c>
      <c r="E707" t="n">
        <v>6860.307</v>
      </c>
      <c r="F707" t="n">
        <v>1.77</v>
      </c>
      <c r="G707" t="n">
        <v>9.910399999999999</v>
      </c>
      <c r="H707" t="n">
        <v>1.216028</v>
      </c>
      <c r="I707" t="n">
        <v>1.213588</v>
      </c>
      <c r="J707" t="n">
        <v>0.00244</v>
      </c>
      <c r="K707" s="4">
        <f>IFERROR(J707/I707,"")</f>
        <v/>
      </c>
      <c r="L707" s="4">
        <f>IFERROR((D707-E707)/E707,"")</f>
        <v/>
      </c>
    </row>
    <row r="708">
      <c r="A708" t="inlineStr">
        <is>
          <t>2026-06-19</t>
        </is>
      </c>
      <c r="B708" t="inlineStr">
        <is>
          <t>160324</t>
        </is>
      </c>
      <c r="C708" t="inlineStr">
        <is>
          <t>华夏磐晟LOF</t>
        </is>
      </c>
      <c r="D708" t="n">
        <v>1110.1394</v>
      </c>
      <c r="E708" t="n">
        <v>1127.5442</v>
      </c>
      <c r="F708" t="n">
        <v>3.5252</v>
      </c>
      <c r="G708" t="n">
        <v>-17.4048</v>
      </c>
      <c r="H708" t="n">
        <v>0.391346</v>
      </c>
      <c r="I708" t="n">
        <v>0.382508</v>
      </c>
      <c r="J708" t="n">
        <v>0.008838</v>
      </c>
      <c r="K708" s="4">
        <f>IFERROR(J708/I708,"")</f>
        <v/>
      </c>
      <c r="L708" s="4">
        <f>IFERROR((D708-E708)/E708,"")</f>
        <v/>
      </c>
    </row>
    <row r="709">
      <c r="A709" t="inlineStr">
        <is>
          <t>2026-06-19</t>
        </is>
      </c>
      <c r="B709" t="inlineStr">
        <is>
          <t>160325</t>
        </is>
      </c>
      <c r="C709" t="inlineStr">
        <is>
          <t>华夏创业板定开</t>
        </is>
      </c>
      <c r="D709" t="n">
        <v>11714.2764</v>
      </c>
      <c r="E709" t="n">
        <v>11714.2764</v>
      </c>
      <c r="F709" t="n">
        <v>1.9543</v>
      </c>
      <c r="G709" t="n">
        <v>0</v>
      </c>
      <c r="H709" t="n">
        <v>2.289321</v>
      </c>
      <c r="I709" t="n">
        <v>2.256287</v>
      </c>
      <c r="J709" t="n">
        <v>0.033034</v>
      </c>
      <c r="K709" s="4">
        <f>IFERROR(J709/I709,"")</f>
        <v/>
      </c>
      <c r="L709" s="4">
        <f>IFERROR((D709-E709)/E709,"")</f>
        <v/>
      </c>
    </row>
    <row r="710">
      <c r="A710" t="inlineStr">
        <is>
          <t>2026-06-19</t>
        </is>
      </c>
      <c r="B710" t="inlineStr">
        <is>
          <t>160326</t>
        </is>
      </c>
      <c r="C710" t="inlineStr">
        <is>
          <t>优选配置FOF-LOF</t>
        </is>
      </c>
      <c r="D710" t="n">
        <v>6903.6431</v>
      </c>
      <c r="E710" t="n">
        <v>6908.6431</v>
      </c>
      <c r="F710" t="n">
        <v>0.9661</v>
      </c>
      <c r="G710" t="n">
        <v>-5</v>
      </c>
      <c r="H710" t="n">
        <v>0.666961</v>
      </c>
      <c r="I710" t="n">
        <v>0.66171</v>
      </c>
      <c r="J710" t="n">
        <v>0.005251</v>
      </c>
      <c r="K710" s="4">
        <f>IFERROR(J710/I710,"")</f>
        <v/>
      </c>
      <c r="L710" s="4">
        <f>IFERROR((D710-E710)/E710,"")</f>
        <v/>
      </c>
    </row>
    <row r="711">
      <c r="A711" t="inlineStr">
        <is>
          <t>2026-06-19</t>
        </is>
      </c>
      <c r="B711" t="inlineStr">
        <is>
          <t>160416</t>
        </is>
      </c>
      <c r="C711" t="inlineStr">
        <is>
          <t>石油基金LOF</t>
        </is>
      </c>
      <c r="D711" t="n">
        <v>16481.4291</v>
      </c>
      <c r="E711" t="n">
        <v>16488.7052</v>
      </c>
      <c r="F711" t="n">
        <v>2.0059</v>
      </c>
      <c r="G711" t="n">
        <v>-7.2761</v>
      </c>
      <c r="H711" t="n">
        <v>3.30601</v>
      </c>
      <c r="I711" t="n">
        <v>3.330224</v>
      </c>
      <c r="J711" t="n">
        <v>-0.024214</v>
      </c>
      <c r="K711" s="4">
        <f>IFERROR(J711/I711,"")</f>
        <v/>
      </c>
      <c r="L711" s="4">
        <f>IFERROR((D711-E711)/E711,"")</f>
        <v/>
      </c>
    </row>
    <row r="712">
      <c r="A712" t="inlineStr">
        <is>
          <t>2026-06-19</t>
        </is>
      </c>
      <c r="B712" t="inlineStr">
        <is>
          <t>160421</t>
        </is>
      </c>
      <c r="C712" t="inlineStr">
        <is>
          <t>华安智增LOF</t>
        </is>
      </c>
      <c r="D712" t="n">
        <v>1160.3223</v>
      </c>
      <c r="E712" t="n">
        <v>1160.3223</v>
      </c>
      <c r="F712" t="n">
        <v>2.0962</v>
      </c>
      <c r="G712" t="n">
        <v>0</v>
      </c>
      <c r="H712" t="n">
        <v>0.243227</v>
      </c>
      <c r="I712" t="n">
        <v>0.238585</v>
      </c>
      <c r="J712" t="n">
        <v>0.004642</v>
      </c>
      <c r="K712" s="4">
        <f>IFERROR(J712/I712,"")</f>
        <v/>
      </c>
      <c r="L712" s="4">
        <f>IFERROR((D712-E712)/E712,"")</f>
        <v/>
      </c>
    </row>
    <row r="713">
      <c r="A713" t="inlineStr">
        <is>
          <t>2026-06-19</t>
        </is>
      </c>
      <c r="B713" t="inlineStr">
        <is>
          <t>160505</t>
        </is>
      </c>
      <c r="C713" t="inlineStr">
        <is>
          <t>博时主题LOF</t>
        </is>
      </c>
      <c r="D713" t="n">
        <v>16258.9756</v>
      </c>
      <c r="E713" t="n">
        <v>16258.9756</v>
      </c>
      <c r="F713" t="n">
        <v>1.158</v>
      </c>
      <c r="G713" t="n">
        <v>0</v>
      </c>
      <c r="H713" t="n">
        <v>1.882789</v>
      </c>
      <c r="I713" t="n">
        <v>1.900674</v>
      </c>
      <c r="J713" t="n">
        <v>-0.017885</v>
      </c>
      <c r="K713" s="4">
        <f>IFERROR(J713/I713,"")</f>
        <v/>
      </c>
      <c r="L713" s="4">
        <f>IFERROR((D713-E713)/E713,"")</f>
        <v/>
      </c>
    </row>
    <row r="714">
      <c r="A714" t="inlineStr">
        <is>
          <t>2026-06-19</t>
        </is>
      </c>
      <c r="B714" t="inlineStr">
        <is>
          <t>160512</t>
        </is>
      </c>
      <c r="C714" t="inlineStr">
        <is>
          <t>博时卓越LOF</t>
        </is>
      </c>
      <c r="D714" t="n">
        <v>1040.2115</v>
      </c>
      <c r="E714" t="n">
        <v>1056.2115</v>
      </c>
      <c r="F714" t="n">
        <v>3.491</v>
      </c>
      <c r="G714" t="n">
        <v>-16</v>
      </c>
      <c r="H714" t="n">
        <v>0.363138</v>
      </c>
      <c r="I714" t="n">
        <v>0.362175</v>
      </c>
      <c r="J714" t="n">
        <v>0.000963</v>
      </c>
      <c r="K714" s="4">
        <f>IFERROR(J714/I714,"")</f>
        <v/>
      </c>
      <c r="L714" s="4">
        <f>IFERROR((D714-E714)/E714,"")</f>
        <v/>
      </c>
    </row>
    <row r="715">
      <c r="A715" t="inlineStr">
        <is>
          <t>2026-06-19</t>
        </is>
      </c>
      <c r="B715" t="inlineStr">
        <is>
          <t>160513</t>
        </is>
      </c>
      <c r="C715" t="inlineStr">
        <is>
          <t>稳健债LOF</t>
        </is>
      </c>
      <c r="D715" t="n">
        <v>421.381</v>
      </c>
      <c r="E715" t="n">
        <v>420.801</v>
      </c>
      <c r="F715" t="n">
        <v>2.2129</v>
      </c>
      <c r="G715" t="n">
        <v>0.58</v>
      </c>
      <c r="H715" t="n">
        <v>0.093247</v>
      </c>
      <c r="I715" t="n">
        <v>0.09321599999999999</v>
      </c>
      <c r="J715" t="n">
        <v>3.1e-05</v>
      </c>
      <c r="K715" s="4">
        <f>IFERROR(J715/I715,"")</f>
        <v/>
      </c>
      <c r="L715" s="4">
        <f>IFERROR((D715-E715)/E715,"")</f>
        <v/>
      </c>
    </row>
    <row r="716">
      <c r="A716" t="inlineStr">
        <is>
          <t>2026-06-19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1.0514</v>
      </c>
      <c r="G716" t="n">
        <v>0</v>
      </c>
      <c r="H716" t="n">
        <v>0.032177</v>
      </c>
      <c r="I716" t="n">
        <v>0.032128</v>
      </c>
      <c r="J716" t="n">
        <v>4.9e-05</v>
      </c>
      <c r="K716" s="4">
        <f>IFERROR(J716/I716,"")</f>
        <v/>
      </c>
      <c r="L716" s="4">
        <f>IFERROR((D716-E716)/E716,"")</f>
        <v/>
      </c>
    </row>
    <row r="717">
      <c r="A717" t="inlineStr">
        <is>
          <t>2026-06-19</t>
        </is>
      </c>
      <c r="B717" t="inlineStr">
        <is>
          <t>160518</t>
        </is>
      </c>
      <c r="C717" t="inlineStr">
        <is>
          <t>博时睿远LOF</t>
        </is>
      </c>
      <c r="D717" t="n">
        <v>1583.3947</v>
      </c>
      <c r="E717" t="n">
        <v>1584.1948</v>
      </c>
      <c r="F717" t="n">
        <v>2.903</v>
      </c>
      <c r="G717" t="n">
        <v>-0.8001</v>
      </c>
      <c r="H717" t="n">
        <v>0.459659</v>
      </c>
      <c r="I717" t="n">
        <v>0.45308</v>
      </c>
      <c r="J717" t="n">
        <v>0.006579</v>
      </c>
      <c r="K717" s="4">
        <f>IFERROR(J717/I717,"")</f>
        <v/>
      </c>
      <c r="L717" s="4">
        <f>IFERROR((D717-E717)/E717,"")</f>
        <v/>
      </c>
    </row>
    <row r="718">
      <c r="A718" t="inlineStr">
        <is>
          <t>2026-06-19</t>
        </is>
      </c>
      <c r="B718" t="inlineStr">
        <is>
          <t>160526</t>
        </is>
      </c>
      <c r="C718" t="inlineStr">
        <is>
          <t>博时优势企业</t>
        </is>
      </c>
      <c r="D718" t="n">
        <v>179.6323</v>
      </c>
      <c r="E718" t="n">
        <v>179.6323</v>
      </c>
      <c r="F718" t="n">
        <v>1.3613</v>
      </c>
      <c r="G718" t="n">
        <v>0</v>
      </c>
      <c r="H718" t="n">
        <v>0.024453</v>
      </c>
      <c r="I718" t="n">
        <v>0.024272</v>
      </c>
      <c r="J718" t="n">
        <v>0.000181</v>
      </c>
      <c r="K718" s="4">
        <f>IFERROR(J718/I718,"")</f>
        <v/>
      </c>
      <c r="L718" s="4">
        <f>IFERROR((D718-E718)/E718,"")</f>
        <v/>
      </c>
    </row>
    <row r="719">
      <c r="A719" t="inlineStr">
        <is>
          <t>2026-06-19</t>
        </is>
      </c>
      <c r="B719" t="inlineStr">
        <is>
          <t>160527</t>
        </is>
      </c>
      <c r="C719" t="inlineStr">
        <is>
          <t>博时研究优选LOF</t>
        </is>
      </c>
      <c r="D719" t="n">
        <v>485.9943</v>
      </c>
      <c r="E719" t="n">
        <v>485.9943</v>
      </c>
      <c r="F719" t="n">
        <v>0.8837</v>
      </c>
      <c r="G719" t="n">
        <v>0</v>
      </c>
      <c r="H719" t="n">
        <v>0.042947</v>
      </c>
      <c r="I719" t="n">
        <v>0.043608</v>
      </c>
      <c r="J719" t="n">
        <v>-0.000661</v>
      </c>
      <c r="K719" s="4">
        <f>IFERROR(J719/I719,"")</f>
        <v/>
      </c>
      <c r="L719" s="4">
        <f>IFERROR((D719-E719)/E719,"")</f>
        <v/>
      </c>
    </row>
    <row r="720">
      <c r="A720" t="inlineStr">
        <is>
          <t>2026-06-19</t>
        </is>
      </c>
      <c r="B720" t="inlineStr">
        <is>
          <t>160529</t>
        </is>
      </c>
      <c r="C720" t="inlineStr">
        <is>
          <t>创业板博时定开</t>
        </is>
      </c>
      <c r="D720" t="n">
        <v>3738.6596</v>
      </c>
      <c r="E720" t="n">
        <v>3738.6596</v>
      </c>
      <c r="F720" t="n">
        <v>1.8323</v>
      </c>
      <c r="G720" t="n">
        <v>0</v>
      </c>
      <c r="H720" t="n">
        <v>0.6850349999999999</v>
      </c>
      <c r="I720" t="n">
        <v>0.667201</v>
      </c>
      <c r="J720" t="n">
        <v>0.017834</v>
      </c>
      <c r="K720" s="4">
        <f>IFERROR(J720/I720,"")</f>
        <v/>
      </c>
      <c r="L720" s="4">
        <f>IFERROR((D720-E720)/E720,"")</f>
        <v/>
      </c>
    </row>
    <row r="721">
      <c r="A721" t="inlineStr">
        <is>
          <t>2026-06-19</t>
        </is>
      </c>
      <c r="B721" t="inlineStr">
        <is>
          <t>160607</t>
        </is>
      </c>
      <c r="C721" t="inlineStr">
        <is>
          <t>鹏华价值优势LOF</t>
        </is>
      </c>
      <c r="D721" t="n">
        <v>5430.7707</v>
      </c>
      <c r="E721" t="n">
        <v>5458.9707</v>
      </c>
      <c r="F721" t="n">
        <v>0.984</v>
      </c>
      <c r="G721" t="n">
        <v>-28.2</v>
      </c>
      <c r="H721" t="n">
        <v>0.534388</v>
      </c>
      <c r="I721" t="n">
        <v>0.522969</v>
      </c>
      <c r="J721" t="n">
        <v>0.011419</v>
      </c>
      <c r="K721" s="4">
        <f>IFERROR(J721/I721,"")</f>
        <v/>
      </c>
      <c r="L721" s="4">
        <f>IFERROR((D721-E721)/E721,"")</f>
        <v/>
      </c>
    </row>
    <row r="722">
      <c r="A722" t="inlineStr">
        <is>
          <t>2026-06-19</t>
        </is>
      </c>
      <c r="B722" t="inlineStr">
        <is>
          <t>160610</t>
        </is>
      </c>
      <c r="C722" t="inlineStr">
        <is>
          <t>鹏华动力LOF</t>
        </is>
      </c>
      <c r="D722" t="n">
        <v>2508.2967</v>
      </c>
      <c r="E722" t="n">
        <v>2512.9324</v>
      </c>
      <c r="F722" t="n">
        <v>1.352</v>
      </c>
      <c r="G722" t="n">
        <v>-4.6357</v>
      </c>
      <c r="H722" t="n">
        <v>0.339122</v>
      </c>
      <c r="I722" t="n">
        <v>0.333969</v>
      </c>
      <c r="J722" t="n">
        <v>0.005153</v>
      </c>
      <c r="K722" s="4">
        <f>IFERROR(J722/I722,"")</f>
        <v/>
      </c>
      <c r="L722" s="4">
        <f>IFERROR((D722-E722)/E722,"")</f>
        <v/>
      </c>
    </row>
    <row r="723">
      <c r="A723" t="inlineStr">
        <is>
          <t>2026-06-19</t>
        </is>
      </c>
      <c r="B723" t="inlineStr">
        <is>
          <t>160611</t>
        </is>
      </c>
      <c r="C723" t="inlineStr">
        <is>
          <t>鹏华优质治理LOF</t>
        </is>
      </c>
      <c r="D723" t="n">
        <v>5861.5614</v>
      </c>
      <c r="E723" t="n">
        <v>5862.5844</v>
      </c>
      <c r="F723" t="n">
        <v>1.2663</v>
      </c>
      <c r="G723" t="n">
        <v>-1.023</v>
      </c>
      <c r="H723" t="n">
        <v>0.74225</v>
      </c>
      <c r="I723" t="n">
        <v>0.749004</v>
      </c>
      <c r="J723" t="n">
        <v>-0.006754</v>
      </c>
      <c r="K723" s="4">
        <f>IFERROR(J723/I723,"")</f>
        <v/>
      </c>
      <c r="L723" s="4">
        <f>IFERROR((D723-E723)/E723,"")</f>
        <v/>
      </c>
    </row>
    <row r="724">
      <c r="A724" t="inlineStr">
        <is>
          <t>2026-06-19</t>
        </is>
      </c>
      <c r="B724" t="inlineStr">
        <is>
          <t>160613</t>
        </is>
      </c>
      <c r="C724" t="inlineStr">
        <is>
          <t>鹏华盛世创新LOF</t>
        </is>
      </c>
      <c r="D724" t="n">
        <v>783.1035000000001</v>
      </c>
      <c r="E724" t="n">
        <v>783.1035000000001</v>
      </c>
      <c r="F724" t="n">
        <v>1.1728</v>
      </c>
      <c r="G724" t="n">
        <v>0</v>
      </c>
      <c r="H724" t="n">
        <v>0.09184199999999999</v>
      </c>
      <c r="I724" t="n">
        <v>0.092524</v>
      </c>
      <c r="J724" t="n">
        <v>-0.000682</v>
      </c>
      <c r="K724" s="4">
        <f>IFERROR(J724/I724,"")</f>
        <v/>
      </c>
      <c r="L724" s="4">
        <f>IFERROR((D724-E724)/E724,"")</f>
        <v/>
      </c>
    </row>
    <row r="725">
      <c r="A725" t="inlineStr">
        <is>
          <t>2026-06-19</t>
        </is>
      </c>
      <c r="B725" t="inlineStr">
        <is>
          <t>160615</t>
        </is>
      </c>
      <c r="C725" t="inlineStr">
        <is>
          <t>鹏华300LOF</t>
        </is>
      </c>
      <c r="D725" t="n">
        <v>365.6085</v>
      </c>
      <c r="E725" t="n">
        <v>365.7481</v>
      </c>
      <c r="F725" t="n">
        <v>1.483</v>
      </c>
      <c r="G725" t="n">
        <v>-0.1396</v>
      </c>
      <c r="H725" t="n">
        <v>0.05422</v>
      </c>
      <c r="I725" t="n">
        <v>0.053747</v>
      </c>
      <c r="J725" t="n">
        <v>0.000473</v>
      </c>
      <c r="K725" s="4">
        <f>IFERROR(J725/I725,"")</f>
        <v/>
      </c>
      <c r="L725" s="4">
        <f>IFERROR((D725-E725)/E725,"")</f>
        <v/>
      </c>
    </row>
    <row r="726">
      <c r="A726" t="inlineStr">
        <is>
          <t>2026-06-19</t>
        </is>
      </c>
      <c r="B726" t="inlineStr">
        <is>
          <t>160616</t>
        </is>
      </c>
      <c r="C726" t="inlineStr">
        <is>
          <t>鹏华500LOF</t>
        </is>
      </c>
      <c r="D726" t="n">
        <v>370.4415</v>
      </c>
      <c r="E726" t="n">
        <v>370.4915</v>
      </c>
      <c r="F726" t="n">
        <v>2.5143</v>
      </c>
      <c r="G726" t="n">
        <v>-0.05</v>
      </c>
      <c r="H726" t="n">
        <v>0.09314</v>
      </c>
      <c r="I726" t="n">
        <v>0.091923</v>
      </c>
      <c r="J726" t="n">
        <v>0.001217</v>
      </c>
      <c r="K726" s="4">
        <f>IFERROR(J726/I726,"")</f>
        <v/>
      </c>
      <c r="L726" s="4">
        <f>IFERROR((D726-E726)/E726,"")</f>
        <v/>
      </c>
    </row>
    <row r="727">
      <c r="A727" t="inlineStr">
        <is>
          <t>2026-06-19</t>
        </is>
      </c>
      <c r="B727" t="inlineStr">
        <is>
          <t>160617</t>
        </is>
      </c>
      <c r="C727" t="inlineStr">
        <is>
          <t>鹏华丰润LOF</t>
        </is>
      </c>
      <c r="D727" t="n">
        <v>150.5229</v>
      </c>
      <c r="E727" t="n">
        <v>150.5229</v>
      </c>
      <c r="F727" t="n">
        <v>1.1141</v>
      </c>
      <c r="G727" t="n">
        <v>0</v>
      </c>
      <c r="H727" t="n">
        <v>0.01677</v>
      </c>
      <c r="I727" t="n">
        <v>0.016776</v>
      </c>
      <c r="J727" t="n">
        <v>-6e-06</v>
      </c>
      <c r="K727" s="4">
        <f>IFERROR(J727/I727,"")</f>
        <v/>
      </c>
      <c r="L727" s="4">
        <f>IFERROR((D727-E727)/E727,"")</f>
        <v/>
      </c>
    </row>
    <row r="728">
      <c r="A728" t="inlineStr">
        <is>
          <t>2026-06-19</t>
        </is>
      </c>
      <c r="B728" t="inlineStr">
        <is>
          <t>160618</t>
        </is>
      </c>
      <c r="C728" t="inlineStr">
        <is>
          <t>鹏华丰泽LOF</t>
        </is>
      </c>
      <c r="D728" t="n">
        <v>4531.9924</v>
      </c>
      <c r="E728" t="n">
        <v>4531.9924</v>
      </c>
      <c r="F728" t="n">
        <v>1.6292</v>
      </c>
      <c r="G728" t="n">
        <v>0</v>
      </c>
      <c r="H728" t="n">
        <v>0.738352</v>
      </c>
      <c r="I728" t="n">
        <v>0.738307</v>
      </c>
      <c r="J728" t="n">
        <v>4.5e-05</v>
      </c>
      <c r="K728" s="4">
        <f>IFERROR(J728/I728,"")</f>
        <v/>
      </c>
      <c r="L728" s="4">
        <f>IFERROR((D728-E728)/E728,"")</f>
        <v/>
      </c>
    </row>
    <row r="729">
      <c r="A729" t="inlineStr">
        <is>
          <t>2026-06-19</t>
        </is>
      </c>
      <c r="B729" t="inlineStr">
        <is>
          <t>160620</t>
        </is>
      </c>
      <c r="C729" t="inlineStr">
        <is>
          <t>资源LOF</t>
        </is>
      </c>
      <c r="D729" t="n">
        <v>690.3343</v>
      </c>
      <c r="E729" t="n">
        <v>692.8645</v>
      </c>
      <c r="F729" t="n">
        <v>3.0248</v>
      </c>
      <c r="G729" t="n">
        <v>-2.5302</v>
      </c>
      <c r="H729" t="n">
        <v>0.208812</v>
      </c>
      <c r="I729" t="n">
        <v>0.209467</v>
      </c>
      <c r="J729" t="n">
        <v>-0.000655</v>
      </c>
      <c r="K729" s="4">
        <f>IFERROR(J729/I729,"")</f>
        <v/>
      </c>
      <c r="L729" s="4">
        <f>IFERROR((D729-E729)/E729,"")</f>
        <v/>
      </c>
    </row>
    <row r="730">
      <c r="A730" t="inlineStr">
        <is>
          <t>2026-06-19</t>
        </is>
      </c>
      <c r="B730" t="inlineStr">
        <is>
          <t>160621</t>
        </is>
      </c>
      <c r="C730" t="inlineStr">
        <is>
          <t>鹏华丰和LOF</t>
        </is>
      </c>
      <c r="D730" t="n">
        <v>97.8522</v>
      </c>
      <c r="E730" t="n">
        <v>97.74420000000001</v>
      </c>
      <c r="F730" t="n">
        <v>1.3941</v>
      </c>
      <c r="G730" t="n">
        <v>0.108</v>
      </c>
      <c r="H730" t="n">
        <v>0.013642</v>
      </c>
      <c r="I730" t="n">
        <v>0.013643</v>
      </c>
      <c r="J730" t="n">
        <v>-1e-06</v>
      </c>
      <c r="K730" s="4">
        <f>IFERROR(J730/I730,"")</f>
        <v/>
      </c>
      <c r="L730" s="4">
        <f>IFERROR((D730-E730)/E730,"")</f>
        <v/>
      </c>
    </row>
    <row r="731">
      <c r="A731" t="inlineStr">
        <is>
          <t>2026-06-19</t>
        </is>
      </c>
      <c r="B731" t="inlineStr">
        <is>
          <t>160622</t>
        </is>
      </c>
      <c r="C731" t="inlineStr">
        <is>
          <t>鹏华丰利LOF</t>
        </is>
      </c>
      <c r="D731" t="n">
        <v>1941.9668</v>
      </c>
      <c r="E731" t="n">
        <v>1941.9668</v>
      </c>
      <c r="F731" t="n">
        <v>1.1523</v>
      </c>
      <c r="G731" t="n">
        <v>0</v>
      </c>
      <c r="H731" t="n">
        <v>0.223773</v>
      </c>
      <c r="I731" t="n">
        <v>0.22387</v>
      </c>
      <c r="J731" t="n">
        <v>-9.7e-05</v>
      </c>
      <c r="K731" s="4">
        <f>IFERROR(J731/I731,"")</f>
        <v/>
      </c>
      <c r="L731" s="4">
        <f>IFERROR((D731-E731)/E731,"")</f>
        <v/>
      </c>
    </row>
    <row r="732">
      <c r="A732" t="inlineStr">
        <is>
          <t>2026-06-19</t>
        </is>
      </c>
      <c r="B732" t="inlineStr">
        <is>
          <t>160625</t>
        </is>
      </c>
      <c r="C732" t="inlineStr">
        <is>
          <t>证保LOF</t>
        </is>
      </c>
      <c r="D732" t="n">
        <v>5310.2826</v>
      </c>
      <c r="E732" t="n">
        <v>5309.6833</v>
      </c>
      <c r="F732" t="n">
        <v>0.8342000000000001</v>
      </c>
      <c r="G732" t="n">
        <v>0.5993000000000001</v>
      </c>
      <c r="H732" t="n">
        <v>0.442984</v>
      </c>
      <c r="I732" t="n">
        <v>0.44389</v>
      </c>
      <c r="J732" t="n">
        <v>-0.000906</v>
      </c>
      <c r="K732" s="4">
        <f>IFERROR(J732/I732,"")</f>
        <v/>
      </c>
      <c r="L732" s="4">
        <f>IFERROR((D732-E732)/E732,"")</f>
        <v/>
      </c>
    </row>
    <row r="733">
      <c r="A733" t="inlineStr">
        <is>
          <t>2026-06-19</t>
        </is>
      </c>
      <c r="B733" t="inlineStr">
        <is>
          <t>160626</t>
        </is>
      </c>
      <c r="C733" t="inlineStr">
        <is>
          <t>信息LOF</t>
        </is>
      </c>
      <c r="D733" t="n">
        <v>848.5339</v>
      </c>
      <c r="E733" t="n">
        <v>850.4365</v>
      </c>
      <c r="F733" t="n">
        <v>1.8621</v>
      </c>
      <c r="G733" t="n">
        <v>-1.9026</v>
      </c>
      <c r="H733" t="n">
        <v>0.158005</v>
      </c>
      <c r="I733" t="n">
        <v>0.151964</v>
      </c>
      <c r="J733" t="n">
        <v>0.006041</v>
      </c>
      <c r="K733" s="4">
        <f>IFERROR(J733/I733,"")</f>
        <v/>
      </c>
      <c r="L733" s="4">
        <f>IFERROR((D733-E733)/E733,"")</f>
        <v/>
      </c>
    </row>
    <row r="734">
      <c r="A734" t="inlineStr">
        <is>
          <t>2026-06-19</t>
        </is>
      </c>
      <c r="B734" t="inlineStr">
        <is>
          <t>160628</t>
        </is>
      </c>
      <c r="C734" t="inlineStr">
        <is>
          <t>地产LOF</t>
        </is>
      </c>
      <c r="D734" t="n">
        <v>1304.4638</v>
      </c>
      <c r="E734" t="n">
        <v>1304.4638</v>
      </c>
      <c r="F734" t="n">
        <v>0.4662</v>
      </c>
      <c r="G734" t="n">
        <v>0</v>
      </c>
      <c r="H734" t="n">
        <v>0.060814</v>
      </c>
      <c r="I734" t="n">
        <v>0.06101</v>
      </c>
      <c r="J734" t="n">
        <v>-0.000196</v>
      </c>
      <c r="K734" s="4">
        <f>IFERROR(J734/I734,"")</f>
        <v/>
      </c>
      <c r="L734" s="4">
        <f>IFERROR((D734-E734)/E734,"")</f>
        <v/>
      </c>
    </row>
    <row r="735">
      <c r="A735" t="inlineStr">
        <is>
          <t>2026-06-19</t>
        </is>
      </c>
      <c r="B735" t="inlineStr">
        <is>
          <t>160629</t>
        </is>
      </c>
      <c r="C735" t="inlineStr">
        <is>
          <t>传媒LOF</t>
        </is>
      </c>
      <c r="D735" t="n">
        <v>857.1633</v>
      </c>
      <c r="E735" t="n">
        <v>856.7236</v>
      </c>
      <c r="F735" t="n">
        <v>1.0422</v>
      </c>
      <c r="G735" t="n">
        <v>0.4397</v>
      </c>
      <c r="H735" t="n">
        <v>0.089334</v>
      </c>
      <c r="I735" t="n">
        <v>0.09058099999999999</v>
      </c>
      <c r="J735" t="n">
        <v>-0.001247</v>
      </c>
      <c r="K735" s="4">
        <f>IFERROR(J735/I735,"")</f>
        <v/>
      </c>
      <c r="L735" s="4">
        <f>IFERROR((D735-E735)/E735,"")</f>
        <v/>
      </c>
    </row>
    <row r="736">
      <c r="A736" t="inlineStr">
        <is>
          <t>2026-06-19</t>
        </is>
      </c>
      <c r="B736" t="inlineStr">
        <is>
          <t>160630</t>
        </is>
      </c>
      <c r="C736" t="inlineStr">
        <is>
          <t>国防LOF</t>
        </is>
      </c>
      <c r="D736" t="n">
        <v>8015.0701</v>
      </c>
      <c r="E736" t="n">
        <v>8016.0724</v>
      </c>
      <c r="F736" t="n">
        <v>1.1013</v>
      </c>
      <c r="G736" t="n">
        <v>-1.0023</v>
      </c>
      <c r="H736" t="n">
        <v>0.8827</v>
      </c>
      <c r="I736" t="n">
        <v>0.87263</v>
      </c>
      <c r="J736" t="n">
        <v>0.01007</v>
      </c>
      <c r="K736" s="4">
        <f>IFERROR(J736/I736,"")</f>
        <v/>
      </c>
      <c r="L736" s="4">
        <f>IFERROR((D736-E736)/E736,"")</f>
        <v/>
      </c>
    </row>
    <row r="737">
      <c r="A737" t="inlineStr">
        <is>
          <t>2026-06-19</t>
        </is>
      </c>
      <c r="B737" t="inlineStr">
        <is>
          <t>160631</t>
        </is>
      </c>
      <c r="C737" t="inlineStr">
        <is>
          <t>银行LOF基金</t>
        </is>
      </c>
      <c r="D737" t="n">
        <v>9150.7824</v>
      </c>
      <c r="E737" t="n">
        <v>9149.8181</v>
      </c>
      <c r="F737" t="n">
        <v>1.3258</v>
      </c>
      <c r="G737" t="n">
        <v>0.9643</v>
      </c>
      <c r="H737" t="n">
        <v>1.213211</v>
      </c>
      <c r="I737" t="n">
        <v>1.22388</v>
      </c>
      <c r="J737" t="n">
        <v>-0.010669</v>
      </c>
      <c r="K737" s="4">
        <f>IFERROR(J737/I737,"")</f>
        <v/>
      </c>
      <c r="L737" s="4">
        <f>IFERROR((D737-E737)/E737,"")</f>
        <v/>
      </c>
    </row>
    <row r="738">
      <c r="A738" t="inlineStr">
        <is>
          <t>2026-06-19</t>
        </is>
      </c>
      <c r="B738" t="inlineStr">
        <is>
          <t>160632</t>
        </is>
      </c>
      <c r="C738" t="inlineStr">
        <is>
          <t>酒LOF</t>
        </is>
      </c>
      <c r="D738" t="n">
        <v>40723.4276</v>
      </c>
      <c r="E738" t="n">
        <v>40728.1319</v>
      </c>
      <c r="F738" t="n">
        <v>0.26</v>
      </c>
      <c r="G738" t="n">
        <v>-4.7043</v>
      </c>
      <c r="H738" t="n">
        <v>1.058809</v>
      </c>
      <c r="I738" t="n">
        <v>1.070743</v>
      </c>
      <c r="J738" t="n">
        <v>-0.011934</v>
      </c>
      <c r="K738" s="4">
        <f>IFERROR(J738/I738,"")</f>
        <v/>
      </c>
      <c r="L738" s="4">
        <f>IFERROR((D738-E738)/E738,"")</f>
        <v/>
      </c>
    </row>
    <row r="739">
      <c r="A739" t="inlineStr">
        <is>
          <t>2026-06-19</t>
        </is>
      </c>
      <c r="B739" t="inlineStr">
        <is>
          <t>160633</t>
        </is>
      </c>
      <c r="C739" t="inlineStr">
        <is>
          <t>券商LOF</t>
        </is>
      </c>
      <c r="D739" t="n">
        <v>1493.5117</v>
      </c>
      <c r="E739" t="n">
        <v>1493.5117</v>
      </c>
      <c r="F739" t="n">
        <v>1.067</v>
      </c>
      <c r="G739" t="n">
        <v>0</v>
      </c>
      <c r="H739" t="n">
        <v>0.159358</v>
      </c>
      <c r="I739" t="n">
        <v>0.159552</v>
      </c>
      <c r="J739" t="n">
        <v>-0.000194</v>
      </c>
      <c r="K739" s="4">
        <f>IFERROR(J739/I739,"")</f>
        <v/>
      </c>
      <c r="L739" s="4">
        <f>IFERROR((D739-E739)/E739,"")</f>
        <v/>
      </c>
    </row>
    <row r="740">
      <c r="A740" t="inlineStr">
        <is>
          <t>2026-06-19</t>
        </is>
      </c>
      <c r="B740" t="inlineStr">
        <is>
          <t>160635</t>
        </is>
      </c>
      <c r="C740" t="inlineStr">
        <is>
          <t>医药LOF基金</t>
        </is>
      </c>
      <c r="D740" t="n">
        <v>625.9867</v>
      </c>
      <c r="E740" t="n">
        <v>625.9867</v>
      </c>
      <c r="F740" t="n">
        <v>0.7872</v>
      </c>
      <c r="G740" t="n">
        <v>0</v>
      </c>
      <c r="H740" t="n">
        <v>0.049278</v>
      </c>
      <c r="I740" t="n">
        <v>0.049534</v>
      </c>
      <c r="J740" t="n">
        <v>-0.000256</v>
      </c>
      <c r="K740" s="4">
        <f>IFERROR(J740/I740,"")</f>
        <v/>
      </c>
      <c r="L740" s="4">
        <f>IFERROR((D740-E740)/E740,"")</f>
        <v/>
      </c>
    </row>
    <row r="741">
      <c r="A741" t="inlineStr">
        <is>
          <t>2026-06-19</t>
        </is>
      </c>
      <c r="B741" t="inlineStr">
        <is>
          <t>160637</t>
        </is>
      </c>
      <c r="C741" t="inlineStr">
        <is>
          <t>创业板LOF基金</t>
        </is>
      </c>
      <c r="D741" t="n">
        <v>791.224</v>
      </c>
      <c r="E741" t="n">
        <v>798.6588</v>
      </c>
      <c r="F741" t="n">
        <v>1.9069</v>
      </c>
      <c r="G741" t="n">
        <v>-7.4348</v>
      </c>
      <c r="H741" t="n">
        <v>0.150879</v>
      </c>
      <c r="I741" t="n">
        <v>0.150108</v>
      </c>
      <c r="J741" t="n">
        <v>0.000771</v>
      </c>
      <c r="K741" s="4">
        <f>IFERROR(J741/I741,"")</f>
        <v/>
      </c>
      <c r="L741" s="4">
        <f>IFERROR((D741-E741)/E741,"")</f>
        <v/>
      </c>
    </row>
    <row r="742">
      <c r="A742" t="inlineStr">
        <is>
          <t>2026-06-19</t>
        </is>
      </c>
      <c r="B742" t="inlineStr">
        <is>
          <t>160638</t>
        </is>
      </c>
      <c r="C742" t="inlineStr">
        <is>
          <t>带路LOF</t>
        </is>
      </c>
      <c r="D742" t="n">
        <v>292.3152</v>
      </c>
      <c r="E742" t="n">
        <v>292.3152</v>
      </c>
      <c r="F742" t="n">
        <v>3.3605</v>
      </c>
      <c r="G742" t="n">
        <v>0</v>
      </c>
      <c r="H742" t="n">
        <v>0.098233</v>
      </c>
      <c r="I742" t="n">
        <v>0.096736</v>
      </c>
      <c r="J742" t="n">
        <v>0.001497</v>
      </c>
      <c r="K742" s="4">
        <f>IFERROR(J742/I742,"")</f>
        <v/>
      </c>
      <c r="L742" s="4">
        <f>IFERROR((D742-E742)/E742,"")</f>
        <v/>
      </c>
    </row>
    <row r="743">
      <c r="A743" t="inlineStr">
        <is>
          <t>2026-06-19</t>
        </is>
      </c>
      <c r="B743" t="inlineStr">
        <is>
          <t>160639</t>
        </is>
      </c>
      <c r="C743" t="inlineStr">
        <is>
          <t>高铁LOF</t>
        </is>
      </c>
      <c r="D743" t="n">
        <v>824.1767</v>
      </c>
      <c r="E743" t="n">
        <v>824.1767</v>
      </c>
      <c r="F743" t="n">
        <v>0.8449</v>
      </c>
      <c r="G743" t="n">
        <v>0</v>
      </c>
      <c r="H743" t="n">
        <v>0.069635</v>
      </c>
      <c r="I743" t="n">
        <v>0.069593</v>
      </c>
      <c r="J743" t="n">
        <v>4.2e-05</v>
      </c>
      <c r="K743" s="4">
        <f>IFERROR(J743/I743,"")</f>
        <v/>
      </c>
      <c r="L743" s="4">
        <f>IFERROR((D743-E743)/E743,"")</f>
        <v/>
      </c>
    </row>
    <row r="744">
      <c r="A744" t="inlineStr">
        <is>
          <t>2026-06-19</t>
        </is>
      </c>
      <c r="B744" t="inlineStr">
        <is>
          <t>160641</t>
        </is>
      </c>
      <c r="C744" t="inlineStr">
        <is>
          <t>鹏华丰锐LOF</t>
        </is>
      </c>
      <c r="D744" t="n">
        <v>56.6497</v>
      </c>
      <c r="E744" t="n">
        <v>56.6597</v>
      </c>
      <c r="F744" t="n">
        <v>109.2539</v>
      </c>
      <c r="G744" t="n">
        <v>-0.01</v>
      </c>
      <c r="H744" t="n">
        <v>0.61892</v>
      </c>
      <c r="I744" t="n">
        <v>0.615691</v>
      </c>
      <c r="J744" t="n">
        <v>0.003229</v>
      </c>
      <c r="K744" s="4">
        <f>IFERROR(J744/I744,"")</f>
        <v/>
      </c>
      <c r="L744" s="4">
        <f>IFERROR((D744-E744)/E744,"")</f>
        <v/>
      </c>
    </row>
    <row r="745">
      <c r="A745" t="inlineStr">
        <is>
          <t>2026-06-19</t>
        </is>
      </c>
      <c r="B745" t="inlineStr">
        <is>
          <t>160642</t>
        </is>
      </c>
      <c r="C745" t="inlineStr">
        <is>
          <t>鹏华增瑞LOF</t>
        </is>
      </c>
      <c r="D745" t="n">
        <v>48.9772</v>
      </c>
      <c r="E745" t="n">
        <v>49.1144</v>
      </c>
      <c r="F745" t="n">
        <v>2.7027</v>
      </c>
      <c r="G745" t="n">
        <v>-0.1372</v>
      </c>
      <c r="H745" t="n">
        <v>0.013237</v>
      </c>
      <c r="I745" t="n">
        <v>0.012754</v>
      </c>
      <c r="J745" t="n">
        <v>0.000483</v>
      </c>
      <c r="K745" s="4">
        <f>IFERROR(J745/I745,"")</f>
        <v/>
      </c>
      <c r="L745" s="4">
        <f>IFERROR((D745-E745)/E745,"")</f>
        <v/>
      </c>
    </row>
    <row r="746">
      <c r="A746" t="inlineStr">
        <is>
          <t>2026-06-19</t>
        </is>
      </c>
      <c r="B746" t="inlineStr">
        <is>
          <t>160643</t>
        </is>
      </c>
      <c r="C746" t="inlineStr">
        <is>
          <t>空天军工LOF</t>
        </is>
      </c>
      <c r="D746" t="n">
        <v>3364.5661</v>
      </c>
      <c r="E746" t="n">
        <v>3372.0658</v>
      </c>
      <c r="F746" t="n">
        <v>1.3151</v>
      </c>
      <c r="G746" t="n">
        <v>-7.4997</v>
      </c>
      <c r="H746" t="n">
        <v>0.442474</v>
      </c>
      <c r="I746" t="n">
        <v>0.438537</v>
      </c>
      <c r="J746" t="n">
        <v>0.003937</v>
      </c>
      <c r="K746" s="4">
        <f>IFERROR(J746/I746,"")</f>
        <v/>
      </c>
      <c r="L746" s="4">
        <f>IFERROR((D746-E746)/E746,"")</f>
        <v/>
      </c>
    </row>
    <row r="747">
      <c r="A747" t="inlineStr">
        <is>
          <t>2026-06-19</t>
        </is>
      </c>
      <c r="B747" t="inlineStr">
        <is>
          <t>160644</t>
        </is>
      </c>
      <c r="C747" t="inlineStr">
        <is>
          <t>港美互联网LOF</t>
        </is>
      </c>
      <c r="D747" t="n">
        <v>96798.5849</v>
      </c>
      <c r="E747" t="n">
        <v>96798.4865</v>
      </c>
      <c r="F747" t="n">
        <v>2.0986</v>
      </c>
      <c r="G747" t="n">
        <v>0.0984</v>
      </c>
      <c r="H747" t="n">
        <v>20.314151</v>
      </c>
      <c r="I747" t="n">
        <v>20.706164</v>
      </c>
      <c r="J747" t="n">
        <v>-0.392013</v>
      </c>
      <c r="K747" s="4">
        <f>IFERROR(J747/I747,"")</f>
        <v/>
      </c>
      <c r="L747" s="4">
        <f>IFERROR((D747-E747)/E747,"")</f>
        <v/>
      </c>
    </row>
    <row r="748">
      <c r="A748" t="inlineStr">
        <is>
          <t>2026-06-19</t>
        </is>
      </c>
      <c r="B748" t="inlineStr">
        <is>
          <t>160706</t>
        </is>
      </c>
      <c r="C748" t="inlineStr">
        <is>
          <t>沪深300LOF</t>
        </is>
      </c>
      <c r="D748" t="n">
        <v>24201.0759</v>
      </c>
      <c r="E748" t="n">
        <v>24265.5359</v>
      </c>
      <c r="F748" t="n">
        <v>1.2578</v>
      </c>
      <c r="G748" t="n">
        <v>-64.45999999999999</v>
      </c>
      <c r="H748" t="n">
        <v>3.044011</v>
      </c>
      <c r="I748" t="n">
        <v>3.024214</v>
      </c>
      <c r="J748" t="n">
        <v>0.019797</v>
      </c>
      <c r="K748" s="4">
        <f>IFERROR(J748/I748,"")</f>
        <v/>
      </c>
      <c r="L748" s="4">
        <f>IFERROR((D748-E748)/E748,"")</f>
        <v/>
      </c>
    </row>
    <row r="749">
      <c r="A749" t="inlineStr">
        <is>
          <t>2026-06-19</t>
        </is>
      </c>
      <c r="B749" t="inlineStr">
        <is>
          <t>160716</t>
        </is>
      </c>
      <c r="C749" t="inlineStr">
        <is>
          <t>基本面50LOF</t>
        </is>
      </c>
      <c r="D749" t="n">
        <v>1347.3183</v>
      </c>
      <c r="E749" t="n">
        <v>1348.3683</v>
      </c>
      <c r="F749" t="n">
        <v>2.0208</v>
      </c>
      <c r="G749" t="n">
        <v>-1.05</v>
      </c>
      <c r="H749" t="n">
        <v>0.272266</v>
      </c>
      <c r="I749" t="n">
        <v>0.273139</v>
      </c>
      <c r="J749" t="n">
        <v>-0.000873</v>
      </c>
      <c r="K749" s="4">
        <f>IFERROR(J749/I749,"")</f>
        <v/>
      </c>
      <c r="L749" s="4">
        <f>IFERROR((D749-E749)/E749,"")</f>
        <v/>
      </c>
    </row>
    <row r="750">
      <c r="A750" t="inlineStr">
        <is>
          <t>2026-06-19</t>
        </is>
      </c>
      <c r="B750" t="inlineStr">
        <is>
          <t>160717</t>
        </is>
      </c>
      <c r="C750" t="inlineStr">
        <is>
          <t>H股LOF</t>
        </is>
      </c>
      <c r="D750" t="n">
        <v>4437.2856</v>
      </c>
      <c r="E750" t="n">
        <v>4437.2856</v>
      </c>
      <c r="F750" t="n">
        <v>0.7022</v>
      </c>
      <c r="G750" t="n">
        <v>0</v>
      </c>
      <c r="H750" t="n">
        <v>0.311586</v>
      </c>
      <c r="I750" t="n">
        <v>0.315047</v>
      </c>
      <c r="J750" t="n">
        <v>-0.003461</v>
      </c>
      <c r="K750" s="4">
        <f>IFERROR(J750/I750,"")</f>
        <v/>
      </c>
      <c r="L750" s="4">
        <f>IFERROR((D750-E750)/E750,"")</f>
        <v/>
      </c>
    </row>
    <row r="751">
      <c r="A751" t="inlineStr">
        <is>
          <t>2026-06-19</t>
        </is>
      </c>
      <c r="B751" t="inlineStr">
        <is>
          <t>160719</t>
        </is>
      </c>
      <c r="C751" t="inlineStr">
        <is>
          <t>嘉实黄金LOF</t>
        </is>
      </c>
      <c r="D751" t="n">
        <v>13152.2493</v>
      </c>
      <c r="E751" t="n">
        <v>13175.871</v>
      </c>
      <c r="F751" t="n">
        <v>1.942</v>
      </c>
      <c r="G751" t="n">
        <v>-23.6217</v>
      </c>
      <c r="H751" t="n">
        <v>2.554167</v>
      </c>
      <c r="I751" t="n">
        <v>2.561389</v>
      </c>
      <c r="J751" t="n">
        <v>-0.007222</v>
      </c>
      <c r="K751" s="4">
        <f>IFERROR(J751/I751,"")</f>
        <v/>
      </c>
      <c r="L751" s="4">
        <f>IFERROR((D751-E751)/E751,"")</f>
        <v/>
      </c>
    </row>
    <row r="752">
      <c r="A752" t="inlineStr">
        <is>
          <t>2026-06-19</t>
        </is>
      </c>
      <c r="B752" t="inlineStr">
        <is>
          <t>160722</t>
        </is>
      </c>
      <c r="C752" t="inlineStr">
        <is>
          <t>嘉实惠泽LOF</t>
        </is>
      </c>
      <c r="D752" t="n">
        <v>284.8275</v>
      </c>
      <c r="E752" t="n">
        <v>284.8275</v>
      </c>
      <c r="F752" t="n">
        <v>2.3166</v>
      </c>
      <c r="G752" t="n">
        <v>0</v>
      </c>
      <c r="H752" t="n">
        <v>0.065983</v>
      </c>
      <c r="I752" t="n">
        <v>0.06358800000000001</v>
      </c>
      <c r="J752" t="n">
        <v>0.002395</v>
      </c>
      <c r="K752" s="4">
        <f>IFERROR(J752/I752,"")</f>
        <v/>
      </c>
      <c r="L752" s="4">
        <f>IFERROR((D752-E752)/E752,"")</f>
        <v/>
      </c>
    </row>
    <row r="753">
      <c r="A753" t="inlineStr">
        <is>
          <t>2026-06-19</t>
        </is>
      </c>
      <c r="B753" t="inlineStr">
        <is>
          <t>160723</t>
        </is>
      </c>
      <c r="C753" t="inlineStr">
        <is>
          <t>嘉实原油LOF</t>
        </is>
      </c>
      <c r="D753" t="n">
        <v>67557.6064</v>
      </c>
      <c r="E753" t="n">
        <v>67557.5857</v>
      </c>
      <c r="F753" t="n">
        <v>1.8309</v>
      </c>
      <c r="G753" t="n">
        <v>0.0207</v>
      </c>
      <c r="H753" t="n">
        <v>12.369122</v>
      </c>
      <c r="I753" t="n">
        <v>12.827834</v>
      </c>
      <c r="J753" t="n">
        <v>-0.458712</v>
      </c>
      <c r="K753" s="4">
        <f>IFERROR(J753/I753,"")</f>
        <v/>
      </c>
      <c r="L753" s="4">
        <f>IFERROR((D753-E753)/E753,"")</f>
        <v/>
      </c>
    </row>
    <row r="754">
      <c r="A754" t="inlineStr">
        <is>
          <t>2026-06-19</t>
        </is>
      </c>
      <c r="B754" t="inlineStr">
        <is>
          <t>160726</t>
        </is>
      </c>
      <c r="C754" t="inlineStr">
        <is>
          <t>嘉实瑞享定开</t>
        </is>
      </c>
      <c r="D754" t="n">
        <v>4527.3575</v>
      </c>
      <c r="E754" t="n">
        <v>4517.4108</v>
      </c>
      <c r="F754" t="n">
        <v>1.2335</v>
      </c>
      <c r="G754" t="n">
        <v>9.9467</v>
      </c>
      <c r="H754" t="n">
        <v>0.55845</v>
      </c>
      <c r="I754" t="n">
        <v>0.547465</v>
      </c>
      <c r="J754" t="n">
        <v>0.010985</v>
      </c>
      <c r="K754" s="4">
        <f>IFERROR(J754/I754,"")</f>
        <v/>
      </c>
      <c r="L754" s="4">
        <f>IFERROR((D754-E754)/E754,"")</f>
        <v/>
      </c>
    </row>
    <row r="755">
      <c r="A755" t="inlineStr">
        <is>
          <t>2026-06-19</t>
        </is>
      </c>
      <c r="B755" t="inlineStr">
        <is>
          <t>160805</t>
        </is>
      </c>
      <c r="C755" t="inlineStr">
        <is>
          <t>长盛同智LOF</t>
        </is>
      </c>
      <c r="D755" t="n">
        <v>3660.2568</v>
      </c>
      <c r="E755" t="n">
        <v>3660.2568</v>
      </c>
      <c r="F755" t="n">
        <v>0.7883</v>
      </c>
      <c r="G755" t="n">
        <v>0</v>
      </c>
      <c r="H755" t="n">
        <v>0.288538</v>
      </c>
      <c r="I755" t="n">
        <v>0.285756</v>
      </c>
      <c r="J755" t="n">
        <v>0.002782</v>
      </c>
      <c r="K755" s="4">
        <f>IFERROR(J755/I755,"")</f>
        <v/>
      </c>
      <c r="L755" s="4">
        <f>IFERROR((D755-E755)/E755,"")</f>
        <v/>
      </c>
    </row>
    <row r="756">
      <c r="A756" t="inlineStr">
        <is>
          <t>2026-06-19</t>
        </is>
      </c>
      <c r="B756" t="inlineStr">
        <is>
          <t>160806</t>
        </is>
      </c>
      <c r="C756" t="inlineStr">
        <is>
          <t>长盛中证800LOF</t>
        </is>
      </c>
      <c r="D756" t="n">
        <v>2894.2848</v>
      </c>
      <c r="E756" t="n">
        <v>2894.3348</v>
      </c>
      <c r="F756" t="n">
        <v>2.21</v>
      </c>
      <c r="G756" t="n">
        <v>-0.05</v>
      </c>
      <c r="H756" t="n">
        <v>0.639637</v>
      </c>
      <c r="I756" t="n">
        <v>0.631544</v>
      </c>
      <c r="J756" t="n">
        <v>0.008092999999999999</v>
      </c>
      <c r="K756" s="4">
        <f>IFERROR(J756/I756,"")</f>
        <v/>
      </c>
      <c r="L756" s="4">
        <f>IFERROR((D756-E756)/E756,"")</f>
        <v/>
      </c>
    </row>
    <row r="757">
      <c r="A757" t="inlineStr">
        <is>
          <t>2026-06-19</t>
        </is>
      </c>
      <c r="B757" t="inlineStr">
        <is>
          <t>160807</t>
        </is>
      </c>
      <c r="C757" t="inlineStr">
        <is>
          <t>长盛沪深300LOF</t>
        </is>
      </c>
      <c r="D757" t="n">
        <v>134.7642</v>
      </c>
      <c r="E757" t="n">
        <v>134.7742</v>
      </c>
      <c r="F757" t="n">
        <v>2.0262</v>
      </c>
      <c r="G757" t="n">
        <v>-0.01</v>
      </c>
      <c r="H757" t="n">
        <v>0.027306</v>
      </c>
      <c r="I757" t="n">
        <v>0.02698</v>
      </c>
      <c r="J757" t="n">
        <v>0.000326</v>
      </c>
      <c r="K757" s="4">
        <f>IFERROR(J757/I757,"")</f>
        <v/>
      </c>
      <c r="L757" s="4">
        <f>IFERROR((D757-E757)/E757,"")</f>
        <v/>
      </c>
    </row>
    <row r="758">
      <c r="A758" t="inlineStr">
        <is>
          <t>2026-06-19</t>
        </is>
      </c>
      <c r="B758" t="inlineStr">
        <is>
          <t>160812</t>
        </is>
      </c>
      <c r="C758" t="inlineStr">
        <is>
          <t>长盛同益LOF</t>
        </is>
      </c>
      <c r="D758" t="n">
        <v>4662.5247</v>
      </c>
      <c r="E758" t="n">
        <v>4662.6847</v>
      </c>
      <c r="F758" t="n">
        <v>2.654</v>
      </c>
      <c r="G758" t="n">
        <v>-0.16</v>
      </c>
      <c r="H758" t="n">
        <v>1.237434</v>
      </c>
      <c r="I758" t="n">
        <v>1.215562</v>
      </c>
      <c r="J758" t="n">
        <v>0.021872</v>
      </c>
      <c r="K758" s="4">
        <f>IFERROR(J758/I758,"")</f>
        <v/>
      </c>
      <c r="L758" s="4">
        <f>IFERROR((D758-E758)/E758,"")</f>
        <v/>
      </c>
    </row>
    <row r="759">
      <c r="A759" t="inlineStr">
        <is>
          <t>2026-06-19</t>
        </is>
      </c>
      <c r="B759" t="inlineStr">
        <is>
          <t>160813</t>
        </is>
      </c>
      <c r="C759" t="inlineStr">
        <is>
          <t>长盛同盛LOF</t>
        </is>
      </c>
      <c r="D759" t="n">
        <v>8123.9757</v>
      </c>
      <c r="E759" t="n">
        <v>8127.2961</v>
      </c>
      <c r="F759" t="n">
        <v>2.111</v>
      </c>
      <c r="G759" t="n">
        <v>-3.3204</v>
      </c>
      <c r="H759" t="n">
        <v>1.714971</v>
      </c>
      <c r="I759" t="n">
        <v>1.679099</v>
      </c>
      <c r="J759" t="n">
        <v>0.035872</v>
      </c>
      <c r="K759" s="4">
        <f>IFERROR(J759/I759,"")</f>
        <v/>
      </c>
      <c r="L759" s="4">
        <f>IFERROR((D759-E759)/E759,"")</f>
        <v/>
      </c>
    </row>
    <row r="760">
      <c r="A760" t="inlineStr">
        <is>
          <t>2026-06-19</t>
        </is>
      </c>
      <c r="B760" t="inlineStr">
        <is>
          <t>160910</t>
        </is>
      </c>
      <c r="C760" t="inlineStr">
        <is>
          <t>创新成长LOF</t>
        </is>
      </c>
      <c r="D760" t="n">
        <v>2247.9756</v>
      </c>
      <c r="E760" t="n">
        <v>2247.9756</v>
      </c>
      <c r="F760" t="n">
        <v>0.881</v>
      </c>
      <c r="G760" t="n">
        <v>0</v>
      </c>
      <c r="H760" t="n">
        <v>0.198047</v>
      </c>
      <c r="I760" t="n">
        <v>0.198721</v>
      </c>
      <c r="J760" t="n">
        <v>-0.000674</v>
      </c>
      <c r="K760" s="4">
        <f>IFERROR(J760/I760,"")</f>
        <v/>
      </c>
      <c r="L760" s="4">
        <f>IFERROR((D760-E760)/E760,"")</f>
        <v/>
      </c>
    </row>
    <row r="761">
      <c r="A761" t="inlineStr">
        <is>
          <t>2026-06-19</t>
        </is>
      </c>
      <c r="B761" t="inlineStr">
        <is>
          <t>160916</t>
        </is>
      </c>
      <c r="C761" t="inlineStr">
        <is>
          <t>优选LOF</t>
        </is>
      </c>
      <c r="D761" t="n">
        <v>6867.8509</v>
      </c>
      <c r="E761" t="n">
        <v>6871.4809</v>
      </c>
      <c r="F761" t="n">
        <v>4.24</v>
      </c>
      <c r="G761" t="n">
        <v>-3.63</v>
      </c>
      <c r="H761" t="n">
        <v>2.911969</v>
      </c>
      <c r="I761" t="n">
        <v>2.917631</v>
      </c>
      <c r="J761" t="n">
        <v>-0.005662</v>
      </c>
      <c r="K761" s="4">
        <f>IFERROR(J761/I761,"")</f>
        <v/>
      </c>
      <c r="L761" s="4">
        <f>IFERROR((D761-E761)/E761,"")</f>
        <v/>
      </c>
    </row>
    <row r="762">
      <c r="A762" t="inlineStr">
        <is>
          <t>2026-06-19</t>
        </is>
      </c>
      <c r="B762" t="inlineStr">
        <is>
          <t>160918</t>
        </is>
      </c>
      <c r="C762" t="inlineStr">
        <is>
          <t>中小盘LOF</t>
        </is>
      </c>
      <c r="D762" t="n">
        <v>4832.235</v>
      </c>
      <c r="E762" t="n">
        <v>4832.235</v>
      </c>
      <c r="F762" t="n">
        <v>2.4395</v>
      </c>
      <c r="G762" t="n">
        <v>0</v>
      </c>
      <c r="H762" t="n">
        <v>1.178824</v>
      </c>
      <c r="I762" t="n">
        <v>1.190469</v>
      </c>
      <c r="J762" t="n">
        <v>-0.011645</v>
      </c>
      <c r="K762" s="4">
        <f>IFERROR(J762/I762,"")</f>
        <v/>
      </c>
      <c r="L762" s="4">
        <f>IFERROR((D762-E762)/E762,"")</f>
        <v/>
      </c>
    </row>
    <row r="763">
      <c r="A763" t="inlineStr">
        <is>
          <t>2026-06-19</t>
        </is>
      </c>
      <c r="B763" t="inlineStr">
        <is>
          <t>160919</t>
        </is>
      </c>
      <c r="C763" t="inlineStr">
        <is>
          <t>产业升级LOF</t>
        </is>
      </c>
      <c r="D763" t="n">
        <v>8490.3961</v>
      </c>
      <c r="E763" t="n">
        <v>8490.8961</v>
      </c>
      <c r="F763" t="n">
        <v>3.8093</v>
      </c>
      <c r="G763" t="n">
        <v>-0.5</v>
      </c>
      <c r="H763" t="n">
        <v>3.234247</v>
      </c>
      <c r="I763" t="n">
        <v>3.198945</v>
      </c>
      <c r="J763" t="n">
        <v>0.035302</v>
      </c>
      <c r="K763" s="4">
        <f>IFERROR(J763/I763,"")</f>
        <v/>
      </c>
      <c r="L763" s="4">
        <f>IFERROR((D763-E763)/E763,"")</f>
        <v/>
      </c>
    </row>
    <row r="764">
      <c r="A764" t="inlineStr">
        <is>
          <t>2026-06-19</t>
        </is>
      </c>
      <c r="B764" t="inlineStr">
        <is>
          <t>160921</t>
        </is>
      </c>
      <c r="C764" t="inlineStr">
        <is>
          <t>多策略LOF</t>
        </is>
      </c>
      <c r="D764" t="n">
        <v>206.0986</v>
      </c>
      <c r="E764" t="n">
        <v>206.0986</v>
      </c>
      <c r="F764" t="n">
        <v>1.3241</v>
      </c>
      <c r="G764" t="n">
        <v>0</v>
      </c>
      <c r="H764" t="n">
        <v>0.02729</v>
      </c>
      <c r="I764" t="n">
        <v>0.027436</v>
      </c>
      <c r="J764" t="n">
        <v>-0.000146</v>
      </c>
      <c r="K764" s="4">
        <f>IFERROR(J764/I764,"")</f>
        <v/>
      </c>
      <c r="L764" s="4">
        <f>IFERROR((D764-E764)/E764,"")</f>
        <v/>
      </c>
    </row>
    <row r="765">
      <c r="A765" t="inlineStr">
        <is>
          <t>2026-06-19</t>
        </is>
      </c>
      <c r="B765" t="inlineStr">
        <is>
          <t>160924</t>
        </is>
      </c>
      <c r="C765" t="inlineStr">
        <is>
          <t>恒生指数LOF</t>
        </is>
      </c>
      <c r="D765" t="n">
        <v>925.9871000000001</v>
      </c>
      <c r="E765" t="n">
        <v>925.9871000000001</v>
      </c>
      <c r="F765" t="n">
        <v>0.9703000000000001</v>
      </c>
      <c r="G765" t="n">
        <v>0</v>
      </c>
      <c r="H765" t="n">
        <v>0.089849</v>
      </c>
      <c r="I765" t="n">
        <v>0.090506</v>
      </c>
      <c r="J765" t="n">
        <v>-0.000657</v>
      </c>
      <c r="K765" s="4">
        <f>IFERROR(J765/I765,"")</f>
        <v/>
      </c>
      <c r="L765" s="4">
        <f>IFERROR((D765-E765)/E765,"")</f>
        <v/>
      </c>
    </row>
    <row r="766">
      <c r="A766" t="inlineStr">
        <is>
          <t>2026-06-19</t>
        </is>
      </c>
      <c r="B766" t="inlineStr">
        <is>
          <t>160925</t>
        </is>
      </c>
      <c r="C766" t="inlineStr">
        <is>
          <t>沪深港300LOF</t>
        </is>
      </c>
      <c r="D766" t="n">
        <v>196.3468</v>
      </c>
      <c r="E766" t="n">
        <v>196.3468</v>
      </c>
      <c r="F766" t="n">
        <v>1.3294</v>
      </c>
      <c r="G766" t="n">
        <v>0</v>
      </c>
      <c r="H766" t="n">
        <v>0.026102</v>
      </c>
      <c r="I766" t="n">
        <v>0.026083</v>
      </c>
      <c r="J766" t="n">
        <v>1.9e-05</v>
      </c>
      <c r="K766" s="4">
        <f>IFERROR(J766/I766,"")</f>
        <v/>
      </c>
      <c r="L766" s="4">
        <f>IFERROR((D766-E766)/E766,"")</f>
        <v/>
      </c>
    </row>
    <row r="767">
      <c r="A767" t="inlineStr">
        <is>
          <t>2026-06-19</t>
        </is>
      </c>
      <c r="B767" t="inlineStr">
        <is>
          <t>160926</t>
        </is>
      </c>
      <c r="C767" t="inlineStr">
        <is>
          <t>创业板定开</t>
        </is>
      </c>
      <c r="D767" t="n">
        <v>7894.5347</v>
      </c>
      <c r="E767" t="n">
        <v>7893.5464</v>
      </c>
      <c r="F767" t="n">
        <v>1.1643</v>
      </c>
      <c r="G767" t="n">
        <v>0.9883</v>
      </c>
      <c r="H767" t="n">
        <v>0.919161</v>
      </c>
      <c r="I767" t="n">
        <v>0.914152</v>
      </c>
      <c r="J767" t="n">
        <v>0.005009</v>
      </c>
      <c r="K767" s="4">
        <f>IFERROR(J767/I767,"")</f>
        <v/>
      </c>
      <c r="L767" s="4">
        <f>IFERROR((D767-E767)/E767,"")</f>
        <v/>
      </c>
    </row>
    <row r="768">
      <c r="A768" t="inlineStr">
        <is>
          <t>2026-06-19</t>
        </is>
      </c>
      <c r="B768" t="inlineStr">
        <is>
          <t>161005</t>
        </is>
      </c>
      <c r="C768" t="inlineStr">
        <is>
          <t>富国天惠LOF</t>
        </is>
      </c>
      <c r="D768" t="n">
        <v>36871.1533</v>
      </c>
      <c r="E768" t="n">
        <v>37009.3482</v>
      </c>
      <c r="F768" t="n">
        <v>3.1874</v>
      </c>
      <c r="G768" t="n">
        <v>-138.1949</v>
      </c>
      <c r="H768" t="n">
        <v>11.752311</v>
      </c>
      <c r="I768" t="n">
        <v>11.683481</v>
      </c>
      <c r="J768" t="n">
        <v>0.06883</v>
      </c>
      <c r="K768" s="4">
        <f>IFERROR(J768/I768,"")</f>
        <v/>
      </c>
      <c r="L768" s="4">
        <f>IFERROR((D768-E768)/E768,"")</f>
        <v/>
      </c>
    </row>
    <row r="769">
      <c r="A769" t="inlineStr">
        <is>
          <t>2026-06-19</t>
        </is>
      </c>
      <c r="B769" t="inlineStr">
        <is>
          <t>161010</t>
        </is>
      </c>
      <c r="C769" t="inlineStr">
        <is>
          <t>富国天丰LOF</t>
        </is>
      </c>
      <c r="D769" t="n">
        <v>3709.5098</v>
      </c>
      <c r="E769" t="n">
        <v>3713.9998</v>
      </c>
      <c r="F769" t="n">
        <v>1.228</v>
      </c>
      <c r="G769" t="n">
        <v>-4.49</v>
      </c>
      <c r="H769" t="n">
        <v>0.455528</v>
      </c>
      <c r="I769" t="n">
        <v>0.453739</v>
      </c>
      <c r="J769" t="n">
        <v>0.001789</v>
      </c>
      <c r="K769" s="4">
        <f>IFERROR(J769/I769,"")</f>
        <v/>
      </c>
      <c r="L769" s="4">
        <f>IFERROR((D769-E769)/E769,"")</f>
        <v/>
      </c>
    </row>
    <row r="770">
      <c r="A770" t="inlineStr">
        <is>
          <t>2026-06-19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1.4797</v>
      </c>
      <c r="G770" t="n">
        <v>0</v>
      </c>
      <c r="H770" t="n">
        <v>0.146091</v>
      </c>
      <c r="I770" t="n">
        <v>0.14614</v>
      </c>
      <c r="J770" t="n">
        <v>-4.9e-05</v>
      </c>
      <c r="K770" s="4">
        <f>IFERROR(J770/I770,"")</f>
        <v/>
      </c>
      <c r="L770" s="4">
        <f>IFERROR((D770-E770)/E770,"")</f>
        <v/>
      </c>
    </row>
    <row r="771">
      <c r="A771" t="inlineStr">
        <is>
          <t>2026-06-19</t>
        </is>
      </c>
      <c r="B771" t="inlineStr">
        <is>
          <t>161015</t>
        </is>
      </c>
      <c r="C771" t="inlineStr">
        <is>
          <t>富国天盈LOF</t>
        </is>
      </c>
      <c r="D771" t="n">
        <v>1125.7727</v>
      </c>
      <c r="E771" t="n">
        <v>1125.7667</v>
      </c>
      <c r="F771" t="n">
        <v>1.3071</v>
      </c>
      <c r="G771" t="n">
        <v>0.006</v>
      </c>
      <c r="H771" t="n">
        <v>0.14715</v>
      </c>
      <c r="I771" t="n">
        <v>0.147138</v>
      </c>
      <c r="J771" t="n">
        <v>1.2e-05</v>
      </c>
      <c r="K771" s="4">
        <f>IFERROR(J771/I771,"")</f>
        <v/>
      </c>
      <c r="L771" s="4">
        <f>IFERROR((D771-E771)/E771,"")</f>
        <v/>
      </c>
    </row>
    <row r="772">
      <c r="A772" t="inlineStr">
        <is>
          <t>2026-06-19</t>
        </is>
      </c>
      <c r="B772" t="inlineStr">
        <is>
          <t>161017</t>
        </is>
      </c>
      <c r="C772" t="inlineStr">
        <is>
          <t>500增强LOF</t>
        </is>
      </c>
      <c r="D772" t="n">
        <v>2532.3544</v>
      </c>
      <c r="E772" t="n">
        <v>2549.2383</v>
      </c>
      <c r="F772" t="n">
        <v>2.84</v>
      </c>
      <c r="G772" t="n">
        <v>-16.8839</v>
      </c>
      <c r="H772" t="n">
        <v>0.719189</v>
      </c>
      <c r="I772" t="n">
        <v>0.715571</v>
      </c>
      <c r="J772" t="n">
        <v>0.003618</v>
      </c>
      <c r="K772" s="4">
        <f>IFERROR(J772/I772,"")</f>
        <v/>
      </c>
      <c r="L772" s="4">
        <f>IFERROR((D772-E772)/E772,"")</f>
        <v/>
      </c>
    </row>
    <row r="773">
      <c r="A773" t="inlineStr">
        <is>
          <t>2026-06-19</t>
        </is>
      </c>
      <c r="B773" t="inlineStr">
        <is>
          <t>161019</t>
        </is>
      </c>
      <c r="C773" t="inlineStr">
        <is>
          <t>富国天锋LOF</t>
        </is>
      </c>
      <c r="D773" t="n">
        <v>1018.6472</v>
      </c>
      <c r="E773" t="n">
        <v>1018.6472</v>
      </c>
      <c r="F773" t="n">
        <v>1.2306</v>
      </c>
      <c r="G773" t="n">
        <v>0</v>
      </c>
      <c r="H773" t="n">
        <v>0.125355</v>
      </c>
      <c r="I773" t="n">
        <v>0.125426</v>
      </c>
      <c r="J773" t="n">
        <v>-7.1e-05</v>
      </c>
      <c r="K773" s="4">
        <f>IFERROR(J773/I773,"")</f>
        <v/>
      </c>
      <c r="L773" s="4">
        <f>IFERROR((D773-E773)/E773,"")</f>
        <v/>
      </c>
    </row>
    <row r="774">
      <c r="A774" t="inlineStr">
        <is>
          <t>2026-06-19</t>
        </is>
      </c>
      <c r="B774" t="inlineStr">
        <is>
          <t>161024</t>
        </is>
      </c>
      <c r="C774" t="inlineStr">
        <is>
          <t>军工LOF</t>
        </is>
      </c>
      <c r="D774" t="n">
        <v>14095.1537</v>
      </c>
      <c r="E774" t="n">
        <v>14095.1537</v>
      </c>
      <c r="F774" t="n">
        <v>1.249</v>
      </c>
      <c r="G774" t="n">
        <v>0</v>
      </c>
      <c r="H774" t="n">
        <v>1.760485</v>
      </c>
      <c r="I774" t="n">
        <v>1.732294</v>
      </c>
      <c r="J774" t="n">
        <v>0.028191</v>
      </c>
      <c r="K774" s="4">
        <f>IFERROR(J774/I774,"")</f>
        <v/>
      </c>
      <c r="L774" s="4">
        <f>IFERROR((D774-E774)/E774,"")</f>
        <v/>
      </c>
    </row>
    <row r="775">
      <c r="A775" t="inlineStr">
        <is>
          <t>2026-06-19</t>
        </is>
      </c>
      <c r="B775" t="inlineStr">
        <is>
          <t>161025</t>
        </is>
      </c>
      <c r="C775" t="inlineStr">
        <is>
          <t>互联网LOF</t>
        </is>
      </c>
      <c r="D775" t="n">
        <v>3757.0563</v>
      </c>
      <c r="E775" t="n">
        <v>3819.8664</v>
      </c>
      <c r="F775" t="n">
        <v>1.566</v>
      </c>
      <c r="G775" t="n">
        <v>-62.8101</v>
      </c>
      <c r="H775" t="n">
        <v>0.588355</v>
      </c>
      <c r="I775" t="n">
        <v>0.583294</v>
      </c>
      <c r="J775" t="n">
        <v>0.005061</v>
      </c>
      <c r="K775" s="4">
        <f>IFERROR(J775/I775,"")</f>
        <v/>
      </c>
      <c r="L775" s="4">
        <f>IFERROR((D775-E775)/E775,"")</f>
        <v/>
      </c>
    </row>
    <row r="776">
      <c r="A776" t="inlineStr">
        <is>
          <t>2026-06-19</t>
        </is>
      </c>
      <c r="B776" t="inlineStr">
        <is>
          <t>161026</t>
        </is>
      </c>
      <c r="C776" t="inlineStr">
        <is>
          <t>国企改革LOF</t>
        </is>
      </c>
      <c r="D776" t="n">
        <v>17336.0399</v>
      </c>
      <c r="E776" t="n">
        <v>17336.8246</v>
      </c>
      <c r="F776" t="n">
        <v>1.23</v>
      </c>
      <c r="G776" t="n">
        <v>-0.7847</v>
      </c>
      <c r="H776" t="n">
        <v>2.132333</v>
      </c>
      <c r="I776" t="n">
        <v>2.101223</v>
      </c>
      <c r="J776" t="n">
        <v>0.03111</v>
      </c>
      <c r="K776" s="4">
        <f>IFERROR(J776/I776,"")</f>
        <v/>
      </c>
      <c r="L776" s="4">
        <f>IFERROR((D776-E776)/E776,"")</f>
        <v/>
      </c>
    </row>
    <row r="777">
      <c r="A777" t="inlineStr">
        <is>
          <t>2026-06-19</t>
        </is>
      </c>
      <c r="B777" t="inlineStr">
        <is>
          <t>161027</t>
        </is>
      </c>
      <c r="C777" t="inlineStr">
        <is>
          <t>证券LOF</t>
        </is>
      </c>
      <c r="D777" t="n">
        <v>13739.7618</v>
      </c>
      <c r="E777" t="n">
        <v>13751.0818</v>
      </c>
      <c r="F777" t="n">
        <v>1.03</v>
      </c>
      <c r="G777" t="n">
        <v>-11.32</v>
      </c>
      <c r="H777" t="n">
        <v>1.415195</v>
      </c>
      <c r="I777" t="n">
        <v>1.417737</v>
      </c>
      <c r="J777" t="n">
        <v>-0.002542</v>
      </c>
      <c r="K777" s="4">
        <f>IFERROR(J777/I777,"")</f>
        <v/>
      </c>
      <c r="L777" s="4">
        <f>IFERROR((D777-E777)/E777,"")</f>
        <v/>
      </c>
    </row>
    <row r="778">
      <c r="A778" t="inlineStr">
        <is>
          <t>2026-06-19</t>
        </is>
      </c>
      <c r="B778" t="inlineStr">
        <is>
          <t>161028</t>
        </is>
      </c>
      <c r="C778" t="inlineStr">
        <is>
          <t>新能源车LOF</t>
        </is>
      </c>
      <c r="D778" t="n">
        <v>7679.3483</v>
      </c>
      <c r="E778" t="n">
        <v>7688.9283</v>
      </c>
      <c r="F778" t="n">
        <v>1.219</v>
      </c>
      <c r="G778" t="n">
        <v>-9.58</v>
      </c>
      <c r="H778" t="n">
        <v>0.936113</v>
      </c>
      <c r="I778" t="n">
        <v>0.941894</v>
      </c>
      <c r="J778" t="n">
        <v>-0.005781</v>
      </c>
      <c r="K778" s="4">
        <f>IFERROR(J778/I778,"")</f>
        <v/>
      </c>
      <c r="L778" s="4">
        <f>IFERROR((D778-E778)/E778,"")</f>
        <v/>
      </c>
    </row>
    <row r="779">
      <c r="A779" t="inlineStr">
        <is>
          <t>2026-06-19</t>
        </is>
      </c>
      <c r="B779" t="inlineStr">
        <is>
          <t>161029</t>
        </is>
      </c>
      <c r="C779" t="inlineStr">
        <is>
          <t>银行龙头LOF</t>
        </is>
      </c>
      <c r="D779" t="n">
        <v>729.1508</v>
      </c>
      <c r="E779" t="n">
        <v>731.0208</v>
      </c>
      <c r="F779" t="n">
        <v>1.723</v>
      </c>
      <c r="G779" t="n">
        <v>-1.87</v>
      </c>
      <c r="H779" t="n">
        <v>0.125633</v>
      </c>
      <c r="I779" t="n">
        <v>0.127051</v>
      </c>
      <c r="J779" t="n">
        <v>-0.001418</v>
      </c>
      <c r="K779" s="4">
        <f>IFERROR(J779/I779,"")</f>
        <v/>
      </c>
      <c r="L779" s="4">
        <f>IFERROR((D779-E779)/E779,"")</f>
        <v/>
      </c>
    </row>
    <row r="780">
      <c r="A780" t="inlineStr">
        <is>
          <t>2026-06-19</t>
        </is>
      </c>
      <c r="B780" t="inlineStr">
        <is>
          <t>161030</t>
        </is>
      </c>
      <c r="C780" t="inlineStr">
        <is>
          <t>体育LOF</t>
        </is>
      </c>
      <c r="D780" t="n">
        <v>989.0939</v>
      </c>
      <c r="E780" t="n">
        <v>991.8139</v>
      </c>
      <c r="F780" t="n">
        <v>0.998</v>
      </c>
      <c r="G780" t="n">
        <v>-2.72</v>
      </c>
      <c r="H780" t="n">
        <v>0.09871199999999999</v>
      </c>
      <c r="I780" t="n">
        <v>0.100272</v>
      </c>
      <c r="J780" t="n">
        <v>-0.00156</v>
      </c>
      <c r="K780" s="4">
        <f>IFERROR(J780/I780,"")</f>
        <v/>
      </c>
      <c r="L780" s="4">
        <f>IFERROR((D780-E780)/E780,"")</f>
        <v/>
      </c>
    </row>
    <row r="781">
      <c r="A781" t="inlineStr">
        <is>
          <t>2026-06-19</t>
        </is>
      </c>
      <c r="B781" t="inlineStr">
        <is>
          <t>161031</t>
        </is>
      </c>
      <c r="C781" t="inlineStr">
        <is>
          <t>工业40LOF</t>
        </is>
      </c>
      <c r="D781" t="n">
        <v>1274.8572</v>
      </c>
      <c r="E781" t="n">
        <v>1278.7908</v>
      </c>
      <c r="F781" t="n">
        <v>1.734</v>
      </c>
      <c r="G781" t="n">
        <v>-3.9336</v>
      </c>
      <c r="H781" t="n">
        <v>0.22106</v>
      </c>
      <c r="I781" t="n">
        <v>0.216371</v>
      </c>
      <c r="J781" t="n">
        <v>0.004689</v>
      </c>
      <c r="K781" s="4">
        <f>IFERROR(J781/I781,"")</f>
        <v/>
      </c>
      <c r="L781" s="4">
        <f>IFERROR((D781-E781)/E781,"")</f>
        <v/>
      </c>
    </row>
    <row r="782">
      <c r="A782" t="inlineStr">
        <is>
          <t>2026-06-19</t>
        </is>
      </c>
      <c r="B782" t="inlineStr">
        <is>
          <t>161032</t>
        </is>
      </c>
      <c r="C782" t="inlineStr">
        <is>
          <t>煤炭龙头LOF</t>
        </is>
      </c>
      <c r="D782" t="n">
        <v>1309.2887</v>
      </c>
      <c r="E782" t="n">
        <v>1318.6794</v>
      </c>
      <c r="F782" t="n">
        <v>2.173</v>
      </c>
      <c r="G782" t="n">
        <v>-9.390700000000001</v>
      </c>
      <c r="H782" t="n">
        <v>0.284508</v>
      </c>
      <c r="I782" t="n">
        <v>0.293934</v>
      </c>
      <c r="J782" t="n">
        <v>-0.009426</v>
      </c>
      <c r="K782" s="4">
        <f>IFERROR(J782/I782,"")</f>
        <v/>
      </c>
      <c r="L782" s="4">
        <f>IFERROR((D782-E782)/E782,"")</f>
        <v/>
      </c>
    </row>
    <row r="783">
      <c r="A783" t="inlineStr">
        <is>
          <t>2026-06-19</t>
        </is>
      </c>
      <c r="B783" t="inlineStr">
        <is>
          <t>161033</t>
        </is>
      </c>
      <c r="C783" t="inlineStr">
        <is>
          <t>智能汽车LOF</t>
        </is>
      </c>
      <c r="D783" t="n">
        <v>276.6984</v>
      </c>
      <c r="E783" t="n">
        <v>276.6984</v>
      </c>
      <c r="F783" t="n">
        <v>1.947</v>
      </c>
      <c r="G783" t="n">
        <v>0</v>
      </c>
      <c r="H783" t="n">
        <v>0.053873</v>
      </c>
      <c r="I783" t="n">
        <v>0.053181</v>
      </c>
      <c r="J783" t="n">
        <v>0.000692</v>
      </c>
      <c r="K783" s="4">
        <f>IFERROR(J783/I783,"")</f>
        <v/>
      </c>
      <c r="L783" s="4">
        <f>IFERROR((D783-E783)/E783,"")</f>
        <v/>
      </c>
    </row>
    <row r="784">
      <c r="A784" t="inlineStr">
        <is>
          <t>2026-06-19</t>
        </is>
      </c>
      <c r="B784" t="inlineStr">
        <is>
          <t>161035</t>
        </is>
      </c>
      <c r="C784" t="inlineStr">
        <is>
          <t>医药增强LOF</t>
        </is>
      </c>
      <c r="D784" t="n">
        <v>678.5721</v>
      </c>
      <c r="E784" t="n">
        <v>677.8719</v>
      </c>
      <c r="F784" t="n">
        <v>1.12</v>
      </c>
      <c r="G784" t="n">
        <v>0.7002</v>
      </c>
      <c r="H784" t="n">
        <v>0.076</v>
      </c>
      <c r="I784" t="n">
        <v>0.076193</v>
      </c>
      <c r="J784" t="n">
        <v>-0.000193</v>
      </c>
      <c r="K784" s="4">
        <f>IFERROR(J784/I784,"")</f>
        <v/>
      </c>
      <c r="L784" s="4">
        <f>IFERROR((D784-E784)/E784,"")</f>
        <v/>
      </c>
    </row>
    <row r="785">
      <c r="A785" t="inlineStr">
        <is>
          <t>2026-06-19</t>
        </is>
      </c>
      <c r="B785" t="inlineStr">
        <is>
          <t>161036</t>
        </is>
      </c>
      <c r="C785" t="inlineStr">
        <is>
          <t>娱乐增强LOF</t>
        </is>
      </c>
      <c r="D785" t="n">
        <v>503.1262</v>
      </c>
      <c r="E785" t="n">
        <v>503.1262</v>
      </c>
      <c r="F785" t="n">
        <v>0.6431</v>
      </c>
      <c r="G785" t="n">
        <v>0</v>
      </c>
      <c r="H785" t="n">
        <v>0.032356</v>
      </c>
      <c r="I785" t="n">
        <v>0.032935</v>
      </c>
      <c r="J785" t="n">
        <v>-0.000579</v>
      </c>
      <c r="K785" s="4">
        <f>IFERROR(J785/I785,"")</f>
        <v/>
      </c>
      <c r="L785" s="4">
        <f>IFERROR((D785-E785)/E785,"")</f>
        <v/>
      </c>
    </row>
    <row r="786">
      <c r="A786" t="inlineStr">
        <is>
          <t>2026-06-19</t>
        </is>
      </c>
      <c r="B786" t="inlineStr">
        <is>
          <t>161037</t>
        </is>
      </c>
      <c r="C786" t="inlineStr">
        <is>
          <t>高端制造LOF</t>
        </is>
      </c>
      <c r="D786" t="n">
        <v>299.3863</v>
      </c>
      <c r="E786" t="n">
        <v>299.6663</v>
      </c>
      <c r="F786" t="n">
        <v>3.1035</v>
      </c>
      <c r="G786" t="n">
        <v>-0.28</v>
      </c>
      <c r="H786" t="n">
        <v>0.092915</v>
      </c>
      <c r="I786" t="n">
        <v>0.091473</v>
      </c>
      <c r="J786" t="n">
        <v>0.001442</v>
      </c>
      <c r="K786" s="4">
        <f>IFERROR(J786/I786,"")</f>
        <v/>
      </c>
      <c r="L786" s="4">
        <f>IFERROR((D786-E786)/E786,"")</f>
        <v/>
      </c>
    </row>
    <row r="787">
      <c r="A787" t="inlineStr">
        <is>
          <t>2026-06-19</t>
        </is>
      </c>
      <c r="B787" t="inlineStr">
        <is>
          <t>161038</t>
        </is>
      </c>
      <c r="C787" t="inlineStr">
        <is>
          <t>成长LOF</t>
        </is>
      </c>
      <c r="D787" t="n">
        <v>102.7541</v>
      </c>
      <c r="E787" t="n">
        <v>105.108</v>
      </c>
      <c r="F787" t="n">
        <v>1.8876</v>
      </c>
      <c r="G787" t="n">
        <v>-2.3539</v>
      </c>
      <c r="H787" t="n">
        <v>0.019396</v>
      </c>
      <c r="I787" t="n">
        <v>0.019509</v>
      </c>
      <c r="J787" t="n">
        <v>-0.000113</v>
      </c>
      <c r="K787" s="4">
        <f>IFERROR(J787/I787,"")</f>
        <v/>
      </c>
      <c r="L787" s="4">
        <f>IFERROR((D787-E787)/E787,"")</f>
        <v/>
      </c>
    </row>
    <row r="788">
      <c r="A788" t="inlineStr">
        <is>
          <t>2026-06-19</t>
        </is>
      </c>
      <c r="B788" t="inlineStr">
        <is>
          <t>161039</t>
        </is>
      </c>
      <c r="C788" t="inlineStr">
        <is>
          <t>1000增强LOF</t>
        </is>
      </c>
      <c r="D788" t="n">
        <v>581.5436999999999</v>
      </c>
      <c r="E788" t="n">
        <v>585.7005</v>
      </c>
      <c r="F788" t="n">
        <v>2.9897</v>
      </c>
      <c r="G788" t="n">
        <v>-4.1568</v>
      </c>
      <c r="H788" t="n">
        <v>0.173864</v>
      </c>
      <c r="I788" t="n">
        <v>0.173578</v>
      </c>
      <c r="J788" t="n">
        <v>0.000286</v>
      </c>
      <c r="K788" s="4">
        <f>IFERROR(J788/I788,"")</f>
        <v/>
      </c>
      <c r="L788" s="4">
        <f>IFERROR((D788-E788)/E788,"")</f>
        <v/>
      </c>
    </row>
    <row r="789">
      <c r="A789" t="inlineStr">
        <is>
          <t>2026-06-19</t>
        </is>
      </c>
      <c r="B789" t="inlineStr">
        <is>
          <t>161040</t>
        </is>
      </c>
      <c r="C789" t="inlineStr">
        <is>
          <t>创业富国定开</t>
        </is>
      </c>
      <c r="D789" t="n">
        <v>7268.4976</v>
      </c>
      <c r="E789" t="n">
        <v>7268.4976</v>
      </c>
      <c r="F789" t="n">
        <v>2.7445</v>
      </c>
      <c r="G789" t="n">
        <v>0</v>
      </c>
      <c r="H789" t="n">
        <v>1.994839</v>
      </c>
      <c r="I789" t="n">
        <v>1.957479</v>
      </c>
      <c r="J789" t="n">
        <v>0.03736</v>
      </c>
      <c r="K789" s="4">
        <f>IFERROR(J789/I789,"")</f>
        <v/>
      </c>
      <c r="L789" s="4">
        <f>IFERROR((D789-E789)/E789,"")</f>
        <v/>
      </c>
    </row>
    <row r="790">
      <c r="A790" t="inlineStr">
        <is>
          <t>2026-06-19</t>
        </is>
      </c>
      <c r="B790" t="inlineStr">
        <is>
          <t>161115</t>
        </is>
      </c>
      <c r="C790" t="inlineStr">
        <is>
          <t>易基岁丰添利LOF</t>
        </is>
      </c>
      <c r="D790" t="n">
        <v>12059.8563</v>
      </c>
      <c r="E790" t="n">
        <v>12049.7914</v>
      </c>
      <c r="F790" t="n">
        <v>1.7477</v>
      </c>
      <c r="G790" t="n">
        <v>10.0649</v>
      </c>
      <c r="H790" t="n">
        <v>2.107701</v>
      </c>
      <c r="I790" t="n">
        <v>2.105099</v>
      </c>
      <c r="J790" t="n">
        <v>0.002602</v>
      </c>
      <c r="K790" s="4">
        <f>IFERROR(J790/I790,"")</f>
        <v/>
      </c>
      <c r="L790" s="4">
        <f>IFERROR((D790-E790)/E790,"")</f>
        <v/>
      </c>
    </row>
    <row r="791">
      <c r="A791" t="inlineStr">
        <is>
          <t>2026-06-19</t>
        </is>
      </c>
      <c r="B791" t="inlineStr">
        <is>
          <t>161116</t>
        </is>
      </c>
      <c r="C791" t="inlineStr">
        <is>
          <t>黄金主题LOF</t>
        </is>
      </c>
      <c r="D791" t="n">
        <v>21316.4524</v>
      </c>
      <c r="E791" t="n">
        <v>21316.4534</v>
      </c>
      <c r="F791" t="n">
        <v>1.6142</v>
      </c>
      <c r="G791" t="n">
        <v>-0.001</v>
      </c>
      <c r="H791" t="n">
        <v>3.440902</v>
      </c>
      <c r="I791" t="n">
        <v>3.435786</v>
      </c>
      <c r="J791" t="n">
        <v>0.005116</v>
      </c>
      <c r="K791" s="4">
        <f>IFERROR(J791/I791,"")</f>
        <v/>
      </c>
      <c r="L791" s="4">
        <f>IFERROR((D791-E791)/E791,"")</f>
        <v/>
      </c>
    </row>
    <row r="792">
      <c r="A792" t="inlineStr">
        <is>
          <t>2026-06-19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1.045</v>
      </c>
      <c r="G792" t="n">
        <v>0</v>
      </c>
      <c r="H792" t="n">
        <v>2.161702</v>
      </c>
      <c r="I792" t="n">
        <v>2.159634</v>
      </c>
      <c r="J792" t="n">
        <v>0.002068</v>
      </c>
      <c r="K792" s="4">
        <f>IFERROR(J792/I792,"")</f>
        <v/>
      </c>
      <c r="L792" s="4">
        <f>IFERROR((D792-E792)/E792,"")</f>
        <v/>
      </c>
    </row>
    <row r="793">
      <c r="A793" t="inlineStr">
        <is>
          <t>2026-06-19</t>
        </is>
      </c>
      <c r="B793" t="inlineStr">
        <is>
          <t>161118</t>
        </is>
      </c>
      <c r="C793" t="inlineStr">
        <is>
          <t>中小企业100LOF</t>
        </is>
      </c>
      <c r="D793" t="n">
        <v>1176.3654</v>
      </c>
      <c r="E793" t="n">
        <v>1184.4954</v>
      </c>
      <c r="F793" t="n">
        <v>1.7047</v>
      </c>
      <c r="G793" t="n">
        <v>-8.130000000000001</v>
      </c>
      <c r="H793" t="n">
        <v>0.200535</v>
      </c>
      <c r="I793" t="n">
        <v>0.198983</v>
      </c>
      <c r="J793" t="n">
        <v>0.001552</v>
      </c>
      <c r="K793" s="4">
        <f>IFERROR(J793/I793,"")</f>
        <v/>
      </c>
      <c r="L793" s="4">
        <f>IFERROR((D793-E793)/E793,"")</f>
        <v/>
      </c>
    </row>
    <row r="794">
      <c r="A794" t="inlineStr">
        <is>
          <t>2026-06-19</t>
        </is>
      </c>
      <c r="B794" t="inlineStr">
        <is>
          <t>161119</t>
        </is>
      </c>
      <c r="C794" t="inlineStr">
        <is>
          <t>易方达新综债LOF</t>
        </is>
      </c>
      <c r="D794" t="n">
        <v>53539.5164</v>
      </c>
      <c r="E794" t="n">
        <v>53537.8359</v>
      </c>
      <c r="F794" t="n">
        <v>1.7864</v>
      </c>
      <c r="G794" t="n">
        <v>1.6805</v>
      </c>
      <c r="H794" t="n">
        <v>9.564299</v>
      </c>
      <c r="I794" t="n">
        <v>9.557574000000001</v>
      </c>
      <c r="J794" t="n">
        <v>0.006725</v>
      </c>
      <c r="K794" s="4">
        <f>IFERROR(J794/I794,"")</f>
        <v/>
      </c>
      <c r="L794" s="4">
        <f>IFERROR((D794-E794)/E794,"")</f>
        <v/>
      </c>
    </row>
    <row r="795">
      <c r="A795" t="inlineStr">
        <is>
          <t>2026-06-19</t>
        </is>
      </c>
      <c r="B795" t="inlineStr">
        <is>
          <t>161121</t>
        </is>
      </c>
      <c r="C795" t="inlineStr">
        <is>
          <t>银行LOF易方达</t>
        </is>
      </c>
      <c r="D795" t="n">
        <v>780.6840999999999</v>
      </c>
      <c r="E795" t="n">
        <v>780.6829</v>
      </c>
      <c r="F795" t="n">
        <v>1.5738</v>
      </c>
      <c r="G795" t="n">
        <v>0.0012</v>
      </c>
      <c r="H795" t="n">
        <v>0.122864</v>
      </c>
      <c r="I795" t="n">
        <v>0.123965</v>
      </c>
      <c r="J795" t="n">
        <v>-0.001101</v>
      </c>
      <c r="K795" s="4">
        <f>IFERROR(J795/I795,"")</f>
        <v/>
      </c>
      <c r="L795" s="4">
        <f>IFERROR((D795-E795)/E795,"")</f>
        <v/>
      </c>
    </row>
    <row r="796">
      <c r="A796" t="inlineStr">
        <is>
          <t>2026-06-19</t>
        </is>
      </c>
      <c r="B796" t="inlineStr">
        <is>
          <t>161122</t>
        </is>
      </c>
      <c r="C796" t="inlineStr">
        <is>
          <t>生物科技LOF</t>
        </is>
      </c>
      <c r="D796" t="n">
        <v>2391.8178</v>
      </c>
      <c r="E796" t="n">
        <v>2389.7881</v>
      </c>
      <c r="F796" t="n">
        <v>0.4693</v>
      </c>
      <c r="G796" t="n">
        <v>2.0297</v>
      </c>
      <c r="H796" t="n">
        <v>0.112248</v>
      </c>
      <c r="I796" t="n">
        <v>0.11287</v>
      </c>
      <c r="J796" t="n">
        <v>-0.000622</v>
      </c>
      <c r="K796" s="4">
        <f>IFERROR(J796/I796,"")</f>
        <v/>
      </c>
      <c r="L796" s="4">
        <f>IFERROR((D796-E796)/E796,"")</f>
        <v/>
      </c>
    </row>
    <row r="797">
      <c r="A797" t="inlineStr">
        <is>
          <t>2026-06-19</t>
        </is>
      </c>
      <c r="B797" t="inlineStr">
        <is>
          <t>161123</t>
        </is>
      </c>
      <c r="C797" t="inlineStr">
        <is>
          <t>并购重组LOF</t>
        </is>
      </c>
      <c r="D797" t="n">
        <v>2372.9173</v>
      </c>
      <c r="E797" t="n">
        <v>2376.8573</v>
      </c>
      <c r="F797" t="n">
        <v>1.5791</v>
      </c>
      <c r="G797" t="n">
        <v>-3.94</v>
      </c>
      <c r="H797" t="n">
        <v>0.374707</v>
      </c>
      <c r="I797" t="n">
        <v>0.371455</v>
      </c>
      <c r="J797" t="n">
        <v>0.003252</v>
      </c>
      <c r="K797" s="4">
        <f>IFERROR(J797/I797,"")</f>
        <v/>
      </c>
      <c r="L797" s="4">
        <f>IFERROR((D797-E797)/E797,"")</f>
        <v/>
      </c>
    </row>
    <row r="798">
      <c r="A798" t="inlineStr">
        <is>
          <t>2026-06-19</t>
        </is>
      </c>
      <c r="B798" t="inlineStr">
        <is>
          <t>161124</t>
        </is>
      </c>
      <c r="C798" t="inlineStr">
        <is>
          <t>港股小盘LOF</t>
        </is>
      </c>
      <c r="D798" t="n">
        <v>6981.2431</v>
      </c>
      <c r="E798" t="n">
        <v>6991.3677</v>
      </c>
      <c r="F798" t="n">
        <v>0.9535</v>
      </c>
      <c r="G798" t="n">
        <v>-10.1246</v>
      </c>
      <c r="H798" t="n">
        <v>0.665662</v>
      </c>
      <c r="I798" t="n">
        <v>0.675925</v>
      </c>
      <c r="J798" t="n">
        <v>-0.010263</v>
      </c>
      <c r="K798" s="4">
        <f>IFERROR(J798/I798,"")</f>
        <v/>
      </c>
      <c r="L798" s="4">
        <f>IFERROR((D798-E798)/E798,"")</f>
        <v/>
      </c>
    </row>
    <row r="799">
      <c r="A799" t="inlineStr">
        <is>
          <t>2026-06-19</t>
        </is>
      </c>
      <c r="B799" t="inlineStr">
        <is>
          <t>161125</t>
        </is>
      </c>
      <c r="C799" t="inlineStr">
        <is>
          <t>标普500LOF</t>
        </is>
      </c>
      <c r="D799" t="n">
        <v>24524.6754</v>
      </c>
      <c r="E799" t="n">
        <v>24524.6038</v>
      </c>
      <c r="F799" t="n">
        <v>3.1027</v>
      </c>
      <c r="G799" t="n">
        <v>0.0716</v>
      </c>
      <c r="H799" t="n">
        <v>7.609271</v>
      </c>
      <c r="I799" t="n">
        <v>7.648243</v>
      </c>
      <c r="J799" t="n">
        <v>-0.038972</v>
      </c>
      <c r="K799" s="4">
        <f>IFERROR(J799/I799,"")</f>
        <v/>
      </c>
      <c r="L799" s="4">
        <f>IFERROR((D799-E799)/E799,"")</f>
        <v/>
      </c>
    </row>
    <row r="800">
      <c r="A800" t="inlineStr">
        <is>
          <t>2026-06-19</t>
        </is>
      </c>
      <c r="B800" t="inlineStr">
        <is>
          <t>161126</t>
        </is>
      </c>
      <c r="C800" t="inlineStr">
        <is>
          <t>标普医疗保健LOF</t>
        </is>
      </c>
      <c r="D800" t="n">
        <v>4879.6019</v>
      </c>
      <c r="E800" t="n">
        <v>4880.5416</v>
      </c>
      <c r="F800" t="n">
        <v>1.8749</v>
      </c>
      <c r="G800" t="n">
        <v>-0.9397</v>
      </c>
      <c r="H800" t="n">
        <v>0.9148770000000001</v>
      </c>
      <c r="I800" t="n">
        <v>0.916615</v>
      </c>
      <c r="J800" t="n">
        <v>-0.001738</v>
      </c>
      <c r="K800" s="4">
        <f>IFERROR(J800/I800,"")</f>
        <v/>
      </c>
      <c r="L800" s="4">
        <f>IFERROR((D800-E800)/E800,"")</f>
        <v/>
      </c>
    </row>
    <row r="801">
      <c r="A801" t="inlineStr">
        <is>
          <t>2026-06-19</t>
        </is>
      </c>
      <c r="B801" t="inlineStr">
        <is>
          <t>161127</t>
        </is>
      </c>
      <c r="C801" t="inlineStr">
        <is>
          <t>标普生物科技LOF</t>
        </is>
      </c>
      <c r="D801" t="n">
        <v>8912.5663</v>
      </c>
      <c r="E801" t="n">
        <v>8949.640299999999</v>
      </c>
      <c r="F801" t="n">
        <v>1.8141</v>
      </c>
      <c r="G801" t="n">
        <v>-37.074</v>
      </c>
      <c r="H801" t="n">
        <v>1.616829</v>
      </c>
      <c r="I801" t="n">
        <v>1.634652</v>
      </c>
      <c r="J801" t="n">
        <v>-0.017823</v>
      </c>
      <c r="K801" s="4">
        <f>IFERROR(J801/I801,"")</f>
        <v/>
      </c>
      <c r="L801" s="4">
        <f>IFERROR((D801-E801)/E801,"")</f>
        <v/>
      </c>
    </row>
    <row r="802">
      <c r="A802" t="inlineStr">
        <is>
          <t>2026-06-19</t>
        </is>
      </c>
      <c r="B802" t="inlineStr">
        <is>
          <t>161128</t>
        </is>
      </c>
      <c r="C802" t="inlineStr">
        <is>
          <t>标普信息科技LOF</t>
        </is>
      </c>
      <c r="D802" t="n">
        <v>48016.4002</v>
      </c>
      <c r="E802" t="n">
        <v>48015.5046</v>
      </c>
      <c r="F802" t="n">
        <v>6.614</v>
      </c>
      <c r="G802" t="n">
        <v>0.8956</v>
      </c>
      <c r="H802" t="n">
        <v>31.758047</v>
      </c>
      <c r="I802" t="n">
        <v>32.466644</v>
      </c>
      <c r="J802" t="n">
        <v>-0.708597</v>
      </c>
      <c r="K802" s="4">
        <f>IFERROR(J802/I802,"")</f>
        <v/>
      </c>
      <c r="L802" s="4">
        <f>IFERROR((D802-E802)/E802,"")</f>
        <v/>
      </c>
    </row>
    <row r="803">
      <c r="A803" t="inlineStr">
        <is>
          <t>2026-06-19</t>
        </is>
      </c>
      <c r="B803" t="inlineStr">
        <is>
          <t>161129</t>
        </is>
      </c>
      <c r="C803" t="inlineStr">
        <is>
          <t>原油LOF易方达</t>
        </is>
      </c>
      <c r="D803" t="n">
        <v>43929.1135</v>
      </c>
      <c r="E803" t="n">
        <v>43929.1643</v>
      </c>
      <c r="F803" t="n">
        <v>1.5252</v>
      </c>
      <c r="G803" t="n">
        <v>-0.0508</v>
      </c>
      <c r="H803" t="n">
        <v>6.700068</v>
      </c>
      <c r="I803" t="n">
        <v>6.935536</v>
      </c>
      <c r="J803" t="n">
        <v>-0.235468</v>
      </c>
      <c r="K803" s="4">
        <f>IFERROR(J803/I803,"")</f>
        <v/>
      </c>
      <c r="L803" s="4">
        <f>IFERROR((D803-E803)/E803,"")</f>
        <v/>
      </c>
    </row>
    <row r="804">
      <c r="A804" t="inlineStr">
        <is>
          <t>2026-06-19</t>
        </is>
      </c>
      <c r="B804" t="inlineStr">
        <is>
          <t>161130</t>
        </is>
      </c>
      <c r="C804" t="inlineStr">
        <is>
          <t>纳斯达克100LOF</t>
        </is>
      </c>
      <c r="D804" t="n">
        <v>15719.6233</v>
      </c>
      <c r="E804" t="n">
        <v>15719.5657</v>
      </c>
      <c r="F804" t="n">
        <v>4.5287</v>
      </c>
      <c r="G804" t="n">
        <v>0.0576</v>
      </c>
      <c r="H804" t="n">
        <v>7.118946</v>
      </c>
      <c r="I804" t="n">
        <v>7.246248</v>
      </c>
      <c r="J804" t="n">
        <v>-0.127302</v>
      </c>
      <c r="K804" s="4">
        <f>IFERROR(J804/I804,"")</f>
        <v/>
      </c>
      <c r="L804" s="4">
        <f>IFERROR((D804-E804)/E804,"")</f>
        <v/>
      </c>
    </row>
    <row r="805">
      <c r="A805" t="inlineStr">
        <is>
          <t>2026-06-19</t>
        </is>
      </c>
      <c r="B805" t="inlineStr">
        <is>
          <t>161131</t>
        </is>
      </c>
      <c r="C805" t="inlineStr">
        <is>
          <t>易方达科润LOF</t>
        </is>
      </c>
      <c r="D805" t="n">
        <v>4868.2372</v>
      </c>
      <c r="E805" t="n">
        <v>4873.5185</v>
      </c>
      <c r="F805" t="n">
        <v>1.0219</v>
      </c>
      <c r="G805" t="n">
        <v>-5.2813</v>
      </c>
      <c r="H805" t="n">
        <v>0.497485</v>
      </c>
      <c r="I805" t="n">
        <v>0.477605</v>
      </c>
      <c r="J805" t="n">
        <v>0.01988</v>
      </c>
      <c r="K805" s="4">
        <f>IFERROR(J805/I805,"")</f>
        <v/>
      </c>
      <c r="L805" s="4">
        <f>IFERROR((D805-E805)/E805,"")</f>
        <v/>
      </c>
    </row>
    <row r="806">
      <c r="A806" t="inlineStr">
        <is>
          <t>2026-06-19</t>
        </is>
      </c>
      <c r="B806" t="inlineStr">
        <is>
          <t>161132</t>
        </is>
      </c>
      <c r="C806" t="inlineStr">
        <is>
          <t>易方达科顺定开</t>
        </is>
      </c>
      <c r="D806" t="n">
        <v>682.1434</v>
      </c>
      <c r="E806" t="n">
        <v>682.1434</v>
      </c>
      <c r="F806" t="n">
        <v>3.566</v>
      </c>
      <c r="G806" t="n">
        <v>0</v>
      </c>
      <c r="H806" t="n">
        <v>0.243252</v>
      </c>
      <c r="I806" t="n">
        <v>0.233757</v>
      </c>
      <c r="J806" t="n">
        <v>0.009495</v>
      </c>
      <c r="K806" s="4">
        <f>IFERROR(J806/I806,"")</f>
        <v/>
      </c>
      <c r="L806" s="4">
        <f>IFERROR((D806-E806)/E806,"")</f>
        <v/>
      </c>
    </row>
    <row r="807">
      <c r="A807" t="inlineStr">
        <is>
          <t>2026-06-19</t>
        </is>
      </c>
      <c r="B807" t="inlineStr">
        <is>
          <t>161133</t>
        </is>
      </c>
      <c r="C807" t="inlineStr">
        <is>
          <t>优势回报FOF-LOF</t>
        </is>
      </c>
      <c r="D807" t="n">
        <v>558.1731</v>
      </c>
      <c r="E807" t="n">
        <v>550.183</v>
      </c>
      <c r="F807" t="n">
        <v>1.9398</v>
      </c>
      <c r="G807" t="n">
        <v>7.9901</v>
      </c>
      <c r="H807" t="n">
        <v>0.108274</v>
      </c>
      <c r="I807" t="n">
        <v>0.104777</v>
      </c>
      <c r="J807" t="n">
        <v>0.003497</v>
      </c>
      <c r="K807" s="4">
        <f>IFERROR(J807/I807,"")</f>
        <v/>
      </c>
      <c r="L807" s="4">
        <f>IFERROR((D807-E807)/E807,"")</f>
        <v/>
      </c>
    </row>
    <row r="808">
      <c r="A808" t="inlineStr">
        <is>
          <t>2026-06-19</t>
        </is>
      </c>
      <c r="B808" t="inlineStr">
        <is>
          <t>161216</t>
        </is>
      </c>
      <c r="C808" t="inlineStr">
        <is>
          <t>国投双债LOF</t>
        </is>
      </c>
      <c r="D808" t="n">
        <v>2690.64</v>
      </c>
      <c r="E808" t="n">
        <v>2701.8462</v>
      </c>
      <c r="F808" t="n">
        <v>1.4028</v>
      </c>
      <c r="G808" t="n">
        <v>-11.2062</v>
      </c>
      <c r="H808" t="n">
        <v>0.377443</v>
      </c>
      <c r="I808" t="n">
        <v>0.378529</v>
      </c>
      <c r="J808" t="n">
        <v>-0.001086</v>
      </c>
      <c r="K808" s="4">
        <f>IFERROR(J808/I808,"")</f>
        <v/>
      </c>
      <c r="L808" s="4">
        <f>IFERROR((D808-E808)/E808,"")</f>
        <v/>
      </c>
    </row>
    <row r="809">
      <c r="A809" t="inlineStr">
        <is>
          <t>2026-06-19</t>
        </is>
      </c>
      <c r="B809" t="inlineStr">
        <is>
          <t>161217</t>
        </is>
      </c>
      <c r="C809" t="inlineStr">
        <is>
          <t>国投资源LOF</t>
        </is>
      </c>
      <c r="D809" t="n">
        <v>2737.2347</v>
      </c>
      <c r="E809" t="n">
        <v>2860.3687</v>
      </c>
      <c r="F809" t="n">
        <v>2.3499</v>
      </c>
      <c r="G809" t="n">
        <v>-123.134</v>
      </c>
      <c r="H809" t="n">
        <v>0.643223</v>
      </c>
      <c r="I809" t="n">
        <v>0.6718150000000001</v>
      </c>
      <c r="J809" t="n">
        <v>-0.028592</v>
      </c>
      <c r="K809" s="4">
        <f>IFERROR(J809/I809,"")</f>
        <v/>
      </c>
      <c r="L809" s="4">
        <f>IFERROR((D809-E809)/E809,"")</f>
        <v/>
      </c>
    </row>
    <row r="810">
      <c r="A810" t="inlineStr">
        <is>
          <t>2026-06-19</t>
        </is>
      </c>
      <c r="B810" t="inlineStr">
        <is>
          <t>161219</t>
        </is>
      </c>
      <c r="C810" t="inlineStr">
        <is>
          <t>国投新兴产业LOF</t>
        </is>
      </c>
      <c r="D810" t="n">
        <v>63.9646</v>
      </c>
      <c r="E810" t="n">
        <v>63.9646</v>
      </c>
      <c r="F810" t="n">
        <v>3.0716</v>
      </c>
      <c r="G810" t="n">
        <v>0</v>
      </c>
      <c r="H810" t="n">
        <v>0.019647</v>
      </c>
      <c r="I810" t="n">
        <v>0.01961</v>
      </c>
      <c r="J810" t="n">
        <v>3.7e-05</v>
      </c>
      <c r="K810" s="4">
        <f>IFERROR(J810/I810,"")</f>
        <v/>
      </c>
      <c r="L810" s="4">
        <f>IFERROR((D810-E810)/E810,"")</f>
        <v/>
      </c>
    </row>
    <row r="811">
      <c r="A811" t="inlineStr">
        <is>
          <t>2026-06-19</t>
        </is>
      </c>
      <c r="B811" t="inlineStr">
        <is>
          <t>161222</t>
        </is>
      </c>
      <c r="C811" t="inlineStr">
        <is>
          <t>国投瑞利LOF</t>
        </is>
      </c>
      <c r="D811" t="n">
        <v>774.5364</v>
      </c>
      <c r="E811" t="n">
        <v>780.1332</v>
      </c>
      <c r="F811" t="n">
        <v>2.8854</v>
      </c>
      <c r="G811" t="n">
        <v>-5.5968</v>
      </c>
      <c r="H811" t="n">
        <v>0.223485</v>
      </c>
      <c r="I811" t="n">
        <v>0.225466</v>
      </c>
      <c r="J811" t="n">
        <v>-0.001981</v>
      </c>
      <c r="K811" s="4">
        <f>IFERROR(J811/I811,"")</f>
        <v/>
      </c>
      <c r="L811" s="4">
        <f>IFERROR((D811-E811)/E811,"")</f>
        <v/>
      </c>
    </row>
    <row r="812">
      <c r="A812" t="inlineStr">
        <is>
          <t>2026-06-19</t>
        </is>
      </c>
      <c r="B812" t="inlineStr">
        <is>
          <t>161224</t>
        </is>
      </c>
      <c r="C812" t="inlineStr">
        <is>
          <t>国投新丝路LOF</t>
        </is>
      </c>
      <c r="D812" t="n">
        <v>539.8981</v>
      </c>
      <c r="E812" t="n">
        <v>539.8981</v>
      </c>
      <c r="F812" t="n">
        <v>1.256</v>
      </c>
      <c r="G812" t="n">
        <v>0</v>
      </c>
      <c r="H812" t="n">
        <v>0.067811</v>
      </c>
      <c r="I812" t="n">
        <v>0.067568</v>
      </c>
      <c r="J812" t="n">
        <v>0.000243</v>
      </c>
      <c r="K812" s="4">
        <f>IFERROR(J812/I812,"")</f>
        <v/>
      </c>
      <c r="L812" s="4">
        <f>IFERROR((D812-E812)/E812,"")</f>
        <v/>
      </c>
    </row>
    <row r="813">
      <c r="A813" t="inlineStr">
        <is>
          <t>2026-06-19</t>
        </is>
      </c>
      <c r="B813" t="inlineStr">
        <is>
          <t>161225</t>
        </is>
      </c>
      <c r="C813" t="inlineStr">
        <is>
          <t>国投瑞盈LOF</t>
        </is>
      </c>
      <c r="D813" t="n">
        <v>632.6251999999999</v>
      </c>
      <c r="E813" t="n">
        <v>634.6251999999999</v>
      </c>
      <c r="F813" t="n">
        <v>2.4802</v>
      </c>
      <c r="G813" t="n">
        <v>-2</v>
      </c>
      <c r="H813" t="n">
        <v>0.156904</v>
      </c>
      <c r="I813" t="n">
        <v>0.156118</v>
      </c>
      <c r="J813" t="n">
        <v>0.000786</v>
      </c>
      <c r="K813" s="4">
        <f>IFERROR(J813/I813,"")</f>
        <v/>
      </c>
      <c r="L813" s="4">
        <f>IFERROR((D813-E813)/E813,"")</f>
        <v/>
      </c>
    </row>
    <row r="814">
      <c r="A814" t="inlineStr">
        <is>
          <t>2026-06-19</t>
        </is>
      </c>
      <c r="B814" t="inlineStr">
        <is>
          <t>161226</t>
        </is>
      </c>
      <c r="C814" t="inlineStr">
        <is>
          <t>国投白银LOF</t>
        </is>
      </c>
      <c r="D814" t="n">
        <v>365361.9576</v>
      </c>
      <c r="E814" t="n">
        <v>365359.1285</v>
      </c>
      <c r="F814" t="n">
        <v>1.907</v>
      </c>
      <c r="G814" t="n">
        <v>2.8291</v>
      </c>
      <c r="H814" t="n">
        <v>69.674525</v>
      </c>
      <c r="I814" t="n">
        <v>69.809169</v>
      </c>
      <c r="J814" t="n">
        <v>-0.134644</v>
      </c>
      <c r="K814" s="4">
        <f>IFERROR(J814/I814,"")</f>
        <v/>
      </c>
      <c r="L814" s="4">
        <f>IFERROR((D814-E814)/E814,"")</f>
        <v/>
      </c>
    </row>
    <row r="815">
      <c r="A815" t="inlineStr">
        <is>
          <t>2026-06-19</t>
        </is>
      </c>
      <c r="B815" t="inlineStr">
        <is>
          <t>161227</t>
        </is>
      </c>
      <c r="C815" t="inlineStr">
        <is>
          <t>国投深证100LOF</t>
        </is>
      </c>
      <c r="D815" t="n">
        <v>11264.3246</v>
      </c>
      <c r="E815" t="n">
        <v>11268.076</v>
      </c>
      <c r="F815" t="n">
        <v>1.8268</v>
      </c>
      <c r="G815" t="n">
        <v>-3.7514</v>
      </c>
      <c r="H815" t="n">
        <v>2.057767</v>
      </c>
      <c r="I815" t="n">
        <v>2.035465</v>
      </c>
      <c r="J815" t="n">
        <v>0.022302</v>
      </c>
      <c r="K815" s="4">
        <f>IFERROR(J815/I815,"")</f>
        <v/>
      </c>
      <c r="L815" s="4">
        <f>IFERROR((D815-E815)/E815,"")</f>
        <v/>
      </c>
    </row>
    <row r="816">
      <c r="A816" t="inlineStr">
        <is>
          <t>2026-06-19</t>
        </is>
      </c>
      <c r="B816" t="inlineStr">
        <is>
          <t>161229</t>
        </is>
      </c>
      <c r="C816" t="inlineStr">
        <is>
          <t>国投中国价值LOF</t>
        </is>
      </c>
      <c r="D816" t="n">
        <v>491.8722</v>
      </c>
      <c r="E816" t="n">
        <v>491.8694</v>
      </c>
      <c r="F816" t="n">
        <v>1.3781</v>
      </c>
      <c r="G816" t="n">
        <v>0.0028</v>
      </c>
      <c r="H816" t="n">
        <v>0.067785</v>
      </c>
      <c r="I816" t="n">
        <v>0.068606</v>
      </c>
      <c r="J816" t="n">
        <v>-0.000821</v>
      </c>
      <c r="K816" s="4">
        <f>IFERROR(J816/I816,"")</f>
        <v/>
      </c>
      <c r="L816" s="4">
        <f>IFERROR((D816-E816)/E816,"")</f>
        <v/>
      </c>
    </row>
    <row r="817">
      <c r="A817" t="inlineStr">
        <is>
          <t>2026-06-19</t>
        </is>
      </c>
      <c r="B817" t="inlineStr">
        <is>
          <t>161232</t>
        </is>
      </c>
      <c r="C817" t="inlineStr">
        <is>
          <t>国投瑞盛LOF</t>
        </is>
      </c>
      <c r="D817" t="n">
        <v>929.7018</v>
      </c>
      <c r="E817" t="n">
        <v>933.579</v>
      </c>
      <c r="F817" t="n">
        <v>1.3956</v>
      </c>
      <c r="G817" t="n">
        <v>-3.8772</v>
      </c>
      <c r="H817" t="n">
        <v>0.129749</v>
      </c>
      <c r="I817" t="n">
        <v>0.130169</v>
      </c>
      <c r="J817" t="n">
        <v>-0.00042</v>
      </c>
      <c r="K817" s="4">
        <f>IFERROR(J817/I817,"")</f>
        <v/>
      </c>
      <c r="L817" s="4">
        <f>IFERROR((D817-E817)/E817,"")</f>
        <v/>
      </c>
    </row>
    <row r="818">
      <c r="A818" t="inlineStr">
        <is>
          <t>2026-06-19</t>
        </is>
      </c>
      <c r="B818" t="inlineStr">
        <is>
          <t>161233</t>
        </is>
      </c>
      <c r="C818" t="inlineStr">
        <is>
          <t>国投瑞泰LOF</t>
        </is>
      </c>
      <c r="D818" t="n">
        <v>60.2274</v>
      </c>
      <c r="E818" t="n">
        <v>61.5196</v>
      </c>
      <c r="F818" t="n">
        <v>1.846</v>
      </c>
      <c r="G818" t="n">
        <v>-1.2922</v>
      </c>
      <c r="H818" t="n">
        <v>0.011118</v>
      </c>
      <c r="I818" t="n">
        <v>0.011322</v>
      </c>
      <c r="J818" t="n">
        <v>-0.000204</v>
      </c>
      <c r="K818" s="4">
        <f>IFERROR(J818/I818,"")</f>
        <v/>
      </c>
      <c r="L818" s="4">
        <f>IFERROR((D818-E818)/E818,"")</f>
        <v/>
      </c>
    </row>
    <row r="819">
      <c r="A819" t="inlineStr">
        <is>
          <t>2026-06-19</t>
        </is>
      </c>
      <c r="B819" t="inlineStr">
        <is>
          <t>161505</t>
        </is>
      </c>
      <c r="C819" t="inlineStr">
        <is>
          <t>银河通利债券LOF</t>
        </is>
      </c>
      <c r="D819" t="n">
        <v>432.2555</v>
      </c>
      <c r="E819" t="n">
        <v>433.2555</v>
      </c>
      <c r="F819" t="n">
        <v>1.469</v>
      </c>
      <c r="G819" t="n">
        <v>-1</v>
      </c>
      <c r="H819" t="n">
        <v>0.063498</v>
      </c>
      <c r="I819" t="n">
        <v>0.063429</v>
      </c>
      <c r="J819" t="n">
        <v>6.9e-05</v>
      </c>
      <c r="K819" s="4">
        <f>IFERROR(J819/I819,"")</f>
        <v/>
      </c>
      <c r="L819" s="4">
        <f>IFERROR((D819-E819)/E819,"")</f>
        <v/>
      </c>
    </row>
    <row r="820">
      <c r="A820" t="inlineStr">
        <is>
          <t>2026-06-19</t>
        </is>
      </c>
      <c r="B820" t="inlineStr">
        <is>
          <t>161607</t>
        </is>
      </c>
      <c r="C820" t="inlineStr">
        <is>
          <t>巨潮100LOF</t>
        </is>
      </c>
      <c r="D820" t="n">
        <v>577.9948000000001</v>
      </c>
      <c r="E820" t="n">
        <v>578.4759</v>
      </c>
      <c r="F820" t="n">
        <v>1.223</v>
      </c>
      <c r="G820" t="n">
        <v>-0.4811</v>
      </c>
      <c r="H820" t="n">
        <v>0.070689</v>
      </c>
      <c r="I820" t="n">
        <v>0.07040100000000001</v>
      </c>
      <c r="J820" t="n">
        <v>0.000288</v>
      </c>
      <c r="K820" s="4">
        <f>IFERROR(J820/I820,"")</f>
        <v/>
      </c>
      <c r="L820" s="4">
        <f>IFERROR((D820-E820)/E820,"")</f>
        <v/>
      </c>
    </row>
    <row r="821">
      <c r="A821" t="inlineStr">
        <is>
          <t>2026-06-19</t>
        </is>
      </c>
      <c r="B821" t="inlineStr">
        <is>
          <t>161610</t>
        </is>
      </c>
      <c r="C821" t="inlineStr">
        <is>
          <t>融通领先成长LOF</t>
        </is>
      </c>
      <c r="D821" t="n">
        <v>4784.1944</v>
      </c>
      <c r="E821" t="n">
        <v>4784.3944</v>
      </c>
      <c r="F821" t="n">
        <v>2.259</v>
      </c>
      <c r="G821" t="n">
        <v>-0.2</v>
      </c>
      <c r="H821" t="n">
        <v>1.08075</v>
      </c>
      <c r="I821" t="n">
        <v>1.059265</v>
      </c>
      <c r="J821" t="n">
        <v>0.021485</v>
      </c>
      <c r="K821" s="4">
        <f>IFERROR(J821/I821,"")</f>
        <v/>
      </c>
      <c r="L821" s="4">
        <f>IFERROR((D821-E821)/E821,"")</f>
        <v/>
      </c>
    </row>
    <row r="822">
      <c r="A822" t="inlineStr">
        <is>
          <t>2026-06-19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1.1191</v>
      </c>
      <c r="G822" t="n">
        <v>0</v>
      </c>
      <c r="H822" t="n">
        <v>0.019166</v>
      </c>
      <c r="I822" t="n">
        <v>0.019164</v>
      </c>
      <c r="J822" t="n">
        <v>2e-06</v>
      </c>
      <c r="K822" s="4">
        <f>IFERROR(J822/I822,"")</f>
        <v/>
      </c>
      <c r="L822" s="4">
        <f>IFERROR((D822-E822)/E822,"")</f>
        <v/>
      </c>
    </row>
    <row r="823">
      <c r="A823" t="inlineStr">
        <is>
          <t>2026-06-19</t>
        </is>
      </c>
      <c r="B823" t="inlineStr">
        <is>
          <t>161626</t>
        </is>
      </c>
      <c r="C823" t="inlineStr">
        <is>
          <t>融通通福LOF</t>
        </is>
      </c>
      <c r="D823" t="n">
        <v>62.0593</v>
      </c>
      <c r="E823" t="n">
        <v>63.7054</v>
      </c>
      <c r="F823" t="n">
        <v>1.1035</v>
      </c>
      <c r="G823" t="n">
        <v>-1.6461</v>
      </c>
      <c r="H823" t="n">
        <v>0.006848</v>
      </c>
      <c r="I823" t="n">
        <v>0.007022</v>
      </c>
      <c r="J823" t="n">
        <v>-0.000174</v>
      </c>
      <c r="K823" s="4">
        <f>IFERROR(J823/I823,"")</f>
        <v/>
      </c>
      <c r="L823" s="4">
        <f>IFERROR((D823-E823)/E823,"")</f>
        <v/>
      </c>
    </row>
    <row r="824">
      <c r="A824" t="inlineStr">
        <is>
          <t>2026-06-19</t>
        </is>
      </c>
      <c r="B824" t="inlineStr">
        <is>
          <t>161631</t>
        </is>
      </c>
      <c r="C824" t="inlineStr">
        <is>
          <t>人工智能LOF</t>
        </is>
      </c>
      <c r="D824" t="n">
        <v>2105.6936</v>
      </c>
      <c r="E824" t="n">
        <v>2115.1071</v>
      </c>
      <c r="F824" t="n">
        <v>3.1341</v>
      </c>
      <c r="G824" t="n">
        <v>-9.413500000000001</v>
      </c>
      <c r="H824" t="n">
        <v>0.659945</v>
      </c>
      <c r="I824" t="n">
        <v>0.6471170000000001</v>
      </c>
      <c r="J824" t="n">
        <v>0.012828</v>
      </c>
      <c r="K824" s="4">
        <f>IFERROR(J824/I824,"")</f>
        <v/>
      </c>
      <c r="L824" s="4">
        <f>IFERROR((D824-E824)/E824,"")</f>
        <v/>
      </c>
    </row>
    <row r="825">
      <c r="A825" t="inlineStr">
        <is>
          <t>2026-06-19</t>
        </is>
      </c>
      <c r="B825" t="inlineStr">
        <is>
          <t>161706</t>
        </is>
      </c>
      <c r="C825" t="inlineStr">
        <is>
          <t>招商成长LOF</t>
        </is>
      </c>
      <c r="D825" t="n">
        <v>1059.9909</v>
      </c>
      <c r="E825" t="n">
        <v>1065.6209</v>
      </c>
      <c r="F825" t="n">
        <v>3.9578</v>
      </c>
      <c r="G825" t="n">
        <v>-5.63</v>
      </c>
      <c r="H825" t="n">
        <v>0.419523</v>
      </c>
      <c r="I825" t="n">
        <v>0.424181</v>
      </c>
      <c r="J825" t="n">
        <v>-0.004658</v>
      </c>
      <c r="K825" s="4">
        <f>IFERROR(J825/I825,"")</f>
        <v/>
      </c>
      <c r="L825" s="4">
        <f>IFERROR((D825-E825)/E825,"")</f>
        <v/>
      </c>
    </row>
    <row r="826">
      <c r="A826" t="inlineStr">
        <is>
          <t>2026-06-19</t>
        </is>
      </c>
      <c r="B826" t="inlineStr">
        <is>
          <t>161713</t>
        </is>
      </c>
      <c r="C826" t="inlineStr">
        <is>
          <t>招商信用添利LOF</t>
        </is>
      </c>
      <c r="D826" t="n">
        <v>3617.5107</v>
      </c>
      <c r="E826" t="n">
        <v>3606.3056</v>
      </c>
      <c r="F826" t="n">
        <v>1.0669</v>
      </c>
      <c r="G826" t="n">
        <v>11.2051</v>
      </c>
      <c r="H826" t="n">
        <v>0.385952</v>
      </c>
      <c r="I826" t="n">
        <v>0.383963</v>
      </c>
      <c r="J826" t="n">
        <v>0.001989</v>
      </c>
      <c r="K826" s="4">
        <f>IFERROR(J826/I826,"")</f>
        <v/>
      </c>
      <c r="L826" s="4">
        <f>IFERROR((D826-E826)/E826,"")</f>
        <v/>
      </c>
    </row>
    <row r="827">
      <c r="A827" t="inlineStr">
        <is>
          <t>2026-06-19</t>
        </is>
      </c>
      <c r="B827" t="inlineStr">
        <is>
          <t>161715</t>
        </is>
      </c>
      <c r="C827" t="inlineStr">
        <is>
          <t>大宗商品LOF</t>
        </is>
      </c>
      <c r="D827" t="n">
        <v>2555.0419</v>
      </c>
      <c r="E827" t="n">
        <v>2556.8814</v>
      </c>
      <c r="F827" t="n">
        <v>2.3657</v>
      </c>
      <c r="G827" t="n">
        <v>-1.8395</v>
      </c>
      <c r="H827" t="n">
        <v>0.604446</v>
      </c>
      <c r="I827" t="n">
        <v>0.609279</v>
      </c>
      <c r="J827" t="n">
        <v>-0.004833</v>
      </c>
      <c r="K827" s="4">
        <f>IFERROR(J827/I827,"")</f>
        <v/>
      </c>
      <c r="L827" s="4">
        <f>IFERROR((D827-E827)/E827,"")</f>
        <v/>
      </c>
    </row>
    <row r="828">
      <c r="A828" t="inlineStr">
        <is>
          <t>2026-06-19</t>
        </is>
      </c>
      <c r="B828" t="inlineStr">
        <is>
          <t>161716</t>
        </is>
      </c>
      <c r="C828" t="inlineStr">
        <is>
          <t>招商双债LOF</t>
        </is>
      </c>
      <c r="D828" t="n">
        <v>85405.3499</v>
      </c>
      <c r="E828" t="n">
        <v>85558.6057</v>
      </c>
      <c r="F828" t="n">
        <v>1.6535</v>
      </c>
      <c r="G828" t="n">
        <v>-153.2558</v>
      </c>
      <c r="H828" t="n">
        <v>14.121775</v>
      </c>
      <c r="I828" t="n">
        <v>14.130004</v>
      </c>
      <c r="J828" t="n">
        <v>-0.008229</v>
      </c>
      <c r="K828" s="4">
        <f>IFERROR(J828/I828,"")</f>
        <v/>
      </c>
      <c r="L828" s="4">
        <f>IFERROR((D828-E828)/E828,"")</f>
        <v/>
      </c>
    </row>
    <row r="829">
      <c r="A829" t="inlineStr">
        <is>
          <t>2026-06-19</t>
        </is>
      </c>
      <c r="B829" t="inlineStr">
        <is>
          <t>161720</t>
        </is>
      </c>
      <c r="C829" t="inlineStr">
        <is>
          <t>证券基金LOF</t>
        </is>
      </c>
      <c r="D829" t="n">
        <v>15626.7557</v>
      </c>
      <c r="E829" t="n">
        <v>15637.1425</v>
      </c>
      <c r="F829" t="n">
        <v>1.148</v>
      </c>
      <c r="G829" t="n">
        <v>-10.3868</v>
      </c>
      <c r="H829" t="n">
        <v>1.793952</v>
      </c>
      <c r="I829" t="n">
        <v>1.79749</v>
      </c>
      <c r="J829" t="n">
        <v>-0.003538</v>
      </c>
      <c r="K829" s="4">
        <f>IFERROR(J829/I829,"")</f>
        <v/>
      </c>
      <c r="L829" s="4">
        <f>IFERROR((D829-E829)/E829,"")</f>
        <v/>
      </c>
    </row>
    <row r="830">
      <c r="A830" t="inlineStr">
        <is>
          <t>2026-06-19</t>
        </is>
      </c>
      <c r="B830" t="inlineStr">
        <is>
          <t>161722</t>
        </is>
      </c>
      <c r="C830" t="inlineStr">
        <is>
          <t>招商丰泰LOF</t>
        </is>
      </c>
      <c r="D830" t="n">
        <v>27.9602</v>
      </c>
      <c r="E830" t="n">
        <v>27.9602</v>
      </c>
      <c r="F830" t="n">
        <v>1.684</v>
      </c>
      <c r="G830" t="n">
        <v>0</v>
      </c>
      <c r="H830" t="n">
        <v>0.004708</v>
      </c>
      <c r="I830" t="n">
        <v>0.004669</v>
      </c>
      <c r="J830" t="n">
        <v>3.9e-05</v>
      </c>
      <c r="K830" s="4">
        <f>IFERROR(J830/I830,"")</f>
        <v/>
      </c>
      <c r="L830" s="4">
        <f>IFERROR((D830-E830)/E830,"")</f>
        <v/>
      </c>
    </row>
    <row r="831">
      <c r="A831" t="inlineStr">
        <is>
          <t>2026-06-19</t>
        </is>
      </c>
      <c r="B831" t="inlineStr">
        <is>
          <t>161724</t>
        </is>
      </c>
      <c r="C831" t="inlineStr">
        <is>
          <t>煤炭等权LOF</t>
        </is>
      </c>
      <c r="D831" t="n">
        <v>940.3568</v>
      </c>
      <c r="E831" t="n">
        <v>939.6657</v>
      </c>
      <c r="F831" t="n">
        <v>2.2769</v>
      </c>
      <c r="G831" t="n">
        <v>0.6911</v>
      </c>
      <c r="H831" t="n">
        <v>0.21411</v>
      </c>
      <c r="I831" t="n">
        <v>0.220267</v>
      </c>
      <c r="J831" t="n">
        <v>-0.006157</v>
      </c>
      <c r="K831" s="4">
        <f>IFERROR(J831/I831,"")</f>
        <v/>
      </c>
      <c r="L831" s="4">
        <f>IFERROR((D831-E831)/E831,"")</f>
        <v/>
      </c>
    </row>
    <row r="832">
      <c r="A832" t="inlineStr">
        <is>
          <t>2026-06-19</t>
        </is>
      </c>
      <c r="B832" t="inlineStr">
        <is>
          <t>161725</t>
        </is>
      </c>
      <c r="C832" t="inlineStr">
        <is>
          <t>白酒基金LOF</t>
        </is>
      </c>
      <c r="D832" t="n">
        <v>360962.3424</v>
      </c>
      <c r="E832" t="n">
        <v>361277.4223</v>
      </c>
      <c r="F832" t="n">
        <v>0.535</v>
      </c>
      <c r="G832" t="n">
        <v>-315.0799</v>
      </c>
      <c r="H832" t="n">
        <v>19.311485</v>
      </c>
      <c r="I832" t="n">
        <v>19.458402</v>
      </c>
      <c r="J832" t="n">
        <v>-0.146917</v>
      </c>
      <c r="K832" s="4">
        <f>IFERROR(J832/I832,"")</f>
        <v/>
      </c>
      <c r="L832" s="4">
        <f>IFERROR((D832-E832)/E832,"")</f>
        <v/>
      </c>
    </row>
    <row r="833">
      <c r="A833" t="inlineStr">
        <is>
          <t>2026-06-19</t>
        </is>
      </c>
      <c r="B833" t="inlineStr">
        <is>
          <t>161726</t>
        </is>
      </c>
      <c r="C833" t="inlineStr">
        <is>
          <t>生物医药LOF</t>
        </is>
      </c>
      <c r="D833" t="n">
        <v>47883.7716</v>
      </c>
      <c r="E833" t="n">
        <v>47879.6014</v>
      </c>
      <c r="F833" t="n">
        <v>0.3343</v>
      </c>
      <c r="G833" t="n">
        <v>4.1702</v>
      </c>
      <c r="H833" t="n">
        <v>1.600754</v>
      </c>
      <c r="I833" t="n">
        <v>1.608276</v>
      </c>
      <c r="J833" t="n">
        <v>-0.007522</v>
      </c>
      <c r="K833" s="4">
        <f>IFERROR(J833/I833,"")</f>
        <v/>
      </c>
      <c r="L833" s="4">
        <f>IFERROR((D833-E833)/E833,"")</f>
        <v/>
      </c>
    </row>
    <row r="834">
      <c r="A834" t="inlineStr">
        <is>
          <t>2026-06-19</t>
        </is>
      </c>
      <c r="B834" t="inlineStr">
        <is>
          <t>161727</t>
        </is>
      </c>
      <c r="C834" t="inlineStr">
        <is>
          <t>招商增荣LOF</t>
        </is>
      </c>
      <c r="D834" t="n">
        <v>48.1075</v>
      </c>
      <c r="E834" t="n">
        <v>48.1075</v>
      </c>
      <c r="F834" t="n">
        <v>1.827</v>
      </c>
      <c r="G834" t="n">
        <v>0</v>
      </c>
      <c r="H834" t="n">
        <v>0.008789</v>
      </c>
      <c r="I834" t="n">
        <v>0.008736000000000001</v>
      </c>
      <c r="J834" t="n">
        <v>5.3e-05</v>
      </c>
      <c r="K834" s="4">
        <f>IFERROR(J834/I834,"")</f>
        <v/>
      </c>
      <c r="L834" s="4">
        <f>IFERROR((D834-E834)/E834,"")</f>
        <v/>
      </c>
    </row>
    <row r="835">
      <c r="A835" t="inlineStr">
        <is>
          <t>2026-06-19</t>
        </is>
      </c>
      <c r="B835" t="inlineStr">
        <is>
          <t>161728</t>
        </is>
      </c>
      <c r="C835" t="inlineStr">
        <is>
          <t>招商优选LOF</t>
        </is>
      </c>
      <c r="D835" t="n">
        <v>1883.4362</v>
      </c>
      <c r="E835" t="n">
        <v>1883.4362</v>
      </c>
      <c r="F835" t="n">
        <v>1.5459</v>
      </c>
      <c r="G835" t="n">
        <v>0</v>
      </c>
      <c r="H835" t="n">
        <v>0.29116</v>
      </c>
      <c r="I835" t="n">
        <v>0.292083</v>
      </c>
      <c r="J835" t="n">
        <v>-0.000923</v>
      </c>
      <c r="K835" s="4">
        <f>IFERROR(J835/I835,"")</f>
        <v/>
      </c>
      <c r="L835" s="4">
        <f>IFERROR((D835-E835)/E835,"")</f>
        <v/>
      </c>
    </row>
    <row r="836">
      <c r="A836" t="inlineStr">
        <is>
          <t>2026-06-19</t>
        </is>
      </c>
      <c r="B836" t="inlineStr">
        <is>
          <t>161729</t>
        </is>
      </c>
      <c r="C836" t="inlineStr">
        <is>
          <t>招商瑞利LOF</t>
        </is>
      </c>
      <c r="D836" t="n">
        <v>357.9742</v>
      </c>
      <c r="E836" t="n">
        <v>355.1009</v>
      </c>
      <c r="F836" t="n">
        <v>1.8932</v>
      </c>
      <c r="G836" t="n">
        <v>2.8733</v>
      </c>
      <c r="H836" t="n">
        <v>0.067772</v>
      </c>
      <c r="I836" t="n">
        <v>0.06847399999999999</v>
      </c>
      <c r="J836" t="n">
        <v>-0.000702</v>
      </c>
      <c r="K836" s="4">
        <f>IFERROR(J836/I836,"")</f>
        <v/>
      </c>
      <c r="L836" s="4">
        <f>IFERROR((D836-E836)/E836,"")</f>
        <v/>
      </c>
    </row>
    <row r="837">
      <c r="A837" t="inlineStr">
        <is>
          <t>2026-06-19</t>
        </is>
      </c>
      <c r="B837" t="inlineStr">
        <is>
          <t>161810</t>
        </is>
      </c>
      <c r="C837" t="inlineStr">
        <is>
          <t>银华内需LOF</t>
        </is>
      </c>
      <c r="D837" t="n">
        <v>3935.4902</v>
      </c>
      <c r="E837" t="n">
        <v>3948.8983</v>
      </c>
      <c r="F837" t="n">
        <v>4.283</v>
      </c>
      <c r="G837" t="n">
        <v>-13.4081</v>
      </c>
      <c r="H837" t="n">
        <v>1.68557</v>
      </c>
      <c r="I837" t="n">
        <v>1.70158</v>
      </c>
      <c r="J837" t="n">
        <v>-0.01601</v>
      </c>
      <c r="K837" s="4">
        <f>IFERROR(J837/I837,"")</f>
        <v/>
      </c>
      <c r="L837" s="4">
        <f>IFERROR((D837-E837)/E837,"")</f>
        <v/>
      </c>
    </row>
    <row r="838">
      <c r="A838" t="inlineStr">
        <is>
          <t>2026-06-19</t>
        </is>
      </c>
      <c r="B838" t="inlineStr">
        <is>
          <t>161811</t>
        </is>
      </c>
      <c r="C838" t="inlineStr">
        <is>
          <t>沪深300LOF银华</t>
        </is>
      </c>
      <c r="D838" t="n">
        <v>415.389</v>
      </c>
      <c r="E838" t="n">
        <v>415.539</v>
      </c>
      <c r="F838" t="n">
        <v>1.1114</v>
      </c>
      <c r="G838" t="n">
        <v>-0.15</v>
      </c>
      <c r="H838" t="n">
        <v>0.046166</v>
      </c>
      <c r="I838" t="n">
        <v>0.045767</v>
      </c>
      <c r="J838" t="n">
        <v>0.000399</v>
      </c>
      <c r="K838" s="4">
        <f>IFERROR(J838/I838,"")</f>
        <v/>
      </c>
      <c r="L838" s="4">
        <f>IFERROR((D838-E838)/E838,"")</f>
        <v/>
      </c>
    </row>
    <row r="839">
      <c r="A839" t="inlineStr">
        <is>
          <t>2026-06-19</t>
        </is>
      </c>
      <c r="B839" t="inlineStr">
        <is>
          <t>161812</t>
        </is>
      </c>
      <c r="C839" t="inlineStr">
        <is>
          <t>深证100LOF</t>
        </is>
      </c>
      <c r="D839" t="n">
        <v>15999.1378</v>
      </c>
      <c r="E839" t="n">
        <v>15999.1678</v>
      </c>
      <c r="F839" t="n">
        <v>1.539</v>
      </c>
      <c r="G839" t="n">
        <v>-0.03</v>
      </c>
      <c r="H839" t="n">
        <v>2.462267</v>
      </c>
      <c r="I839" t="n">
        <v>2.433473</v>
      </c>
      <c r="J839" t="n">
        <v>0.028794</v>
      </c>
      <c r="K839" s="4">
        <f>IFERROR(J839/I839,"")</f>
        <v/>
      </c>
      <c r="L839" s="4">
        <f>IFERROR((D839-E839)/E839,"")</f>
        <v/>
      </c>
    </row>
    <row r="840">
      <c r="A840" t="inlineStr">
        <is>
          <t>2026-06-19</t>
        </is>
      </c>
      <c r="B840" t="inlineStr">
        <is>
          <t>161815</t>
        </is>
      </c>
      <c r="C840" t="inlineStr">
        <is>
          <t>抗通胀LOF</t>
        </is>
      </c>
      <c r="D840" t="n">
        <v>12979.0034</v>
      </c>
      <c r="E840" t="n">
        <v>12946.2461</v>
      </c>
      <c r="F840" t="n">
        <v>1.039</v>
      </c>
      <c r="G840" t="n">
        <v>32.7573</v>
      </c>
      <c r="H840" t="n">
        <v>1.348518</v>
      </c>
      <c r="I840" t="n">
        <v>1.359356</v>
      </c>
      <c r="J840" t="n">
        <v>-0.010838</v>
      </c>
      <c r="K840" s="4">
        <f>IFERROR(J840/I840,"")</f>
        <v/>
      </c>
      <c r="L840" s="4">
        <f>IFERROR((D840-E840)/E840,"")</f>
        <v/>
      </c>
    </row>
    <row r="841">
      <c r="A841" t="inlineStr">
        <is>
          <t>2026-06-19</t>
        </is>
      </c>
      <c r="B841" t="inlineStr">
        <is>
          <t>161816</t>
        </is>
      </c>
      <c r="C841" t="inlineStr">
        <is>
          <t>中证90LOF</t>
        </is>
      </c>
      <c r="D841" t="n">
        <v>3153.7884</v>
      </c>
      <c r="E841" t="n">
        <v>3155.5114</v>
      </c>
      <c r="F841" t="n">
        <v>0.9976</v>
      </c>
      <c r="G841" t="n">
        <v>-1.723</v>
      </c>
      <c r="H841" t="n">
        <v>0.314622</v>
      </c>
      <c r="I841" t="n">
        <v>0.31268</v>
      </c>
      <c r="J841" t="n">
        <v>0.001942</v>
      </c>
      <c r="K841" s="4">
        <f>IFERROR(J841/I841,"")</f>
        <v/>
      </c>
      <c r="L841" s="4">
        <f>IFERROR((D841-E841)/E841,"")</f>
        <v/>
      </c>
    </row>
    <row r="842">
      <c r="A842" t="inlineStr">
        <is>
          <t>2026-06-19</t>
        </is>
      </c>
      <c r="B842" t="inlineStr">
        <is>
          <t>161820</t>
        </is>
      </c>
      <c r="C842" t="inlineStr">
        <is>
          <t>银华纯债LOF</t>
        </is>
      </c>
      <c r="D842" t="n">
        <v>216.3242</v>
      </c>
      <c r="E842" t="n">
        <v>216.3242</v>
      </c>
      <c r="F842" t="n">
        <v>1.1574</v>
      </c>
      <c r="G842" t="n">
        <v>0</v>
      </c>
      <c r="H842" t="n">
        <v>0.025037</v>
      </c>
      <c r="I842" t="n">
        <v>0.025024</v>
      </c>
      <c r="J842" t="n">
        <v>1.3e-05</v>
      </c>
      <c r="K842" s="4">
        <f>IFERROR(J842/I842,"")</f>
        <v/>
      </c>
      <c r="L842" s="4">
        <f>IFERROR((D842-E842)/E842,"")</f>
        <v/>
      </c>
    </row>
    <row r="843">
      <c r="A843" t="inlineStr">
        <is>
          <t>2026-06-19</t>
        </is>
      </c>
      <c r="B843" t="inlineStr">
        <is>
          <t>161831</t>
        </is>
      </c>
      <c r="C843" t="inlineStr">
        <is>
          <t>恒生国企LOF</t>
        </is>
      </c>
      <c r="D843" t="n">
        <v>11569.223</v>
      </c>
      <c r="E843" t="n">
        <v>11566.877</v>
      </c>
      <c r="F843" t="n">
        <v>0.7076</v>
      </c>
      <c r="G843" t="n">
        <v>2.346</v>
      </c>
      <c r="H843" t="n">
        <v>0.818638</v>
      </c>
      <c r="I843" t="n">
        <v>0.82761</v>
      </c>
      <c r="J843" t="n">
        <v>-0.008972000000000001</v>
      </c>
      <c r="K843" s="4">
        <f>IFERROR(J843/I843,"")</f>
        <v/>
      </c>
      <c r="L843" s="4">
        <f>IFERROR((D843-E843)/E843,"")</f>
        <v/>
      </c>
    </row>
    <row r="844">
      <c r="A844" t="inlineStr">
        <is>
          <t>2026-06-19</t>
        </is>
      </c>
      <c r="B844" t="inlineStr">
        <is>
          <t>161834</t>
        </is>
      </c>
      <c r="C844" t="inlineStr">
        <is>
          <t>银华鑫锐LOF</t>
        </is>
      </c>
      <c r="D844" t="n">
        <v>1039.4547</v>
      </c>
      <c r="E844" t="n">
        <v>1041.7247</v>
      </c>
      <c r="F844" t="n">
        <v>1.81</v>
      </c>
      <c r="G844" t="n">
        <v>-2.27</v>
      </c>
      <c r="H844" t="n">
        <v>0.188141</v>
      </c>
      <c r="I844" t="n">
        <v>0.188031</v>
      </c>
      <c r="J844" t="n">
        <v>0.00011</v>
      </c>
      <c r="K844" s="4">
        <f>IFERROR(J844/I844,"")</f>
        <v/>
      </c>
      <c r="L844" s="4">
        <f>IFERROR((D844-E844)/E844,"")</f>
        <v/>
      </c>
    </row>
    <row r="845">
      <c r="A845" t="inlineStr">
        <is>
          <t>2026-06-19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1.2331</v>
      </c>
      <c r="G845" t="n">
        <v>0</v>
      </c>
      <c r="H845" t="n">
        <v>0.120833</v>
      </c>
      <c r="I845" t="n">
        <v>0.120069</v>
      </c>
      <c r="J845" t="n">
        <v>0.000764</v>
      </c>
      <c r="K845" s="4">
        <f>IFERROR(J845/I845,"")</f>
        <v/>
      </c>
      <c r="L845" s="4">
        <f>IFERROR((D845-E845)/E845,"")</f>
        <v/>
      </c>
    </row>
    <row r="846">
      <c r="A846" t="inlineStr">
        <is>
          <t>2026-06-19</t>
        </is>
      </c>
      <c r="B846" t="inlineStr">
        <is>
          <t>161903</t>
        </is>
      </c>
      <c r="C846" t="inlineStr">
        <is>
          <t>万家行业优选LOF</t>
        </is>
      </c>
      <c r="D846" t="n">
        <v>17811.3094</v>
      </c>
      <c r="E846" t="n">
        <v>17950.0129</v>
      </c>
      <c r="F846" t="n">
        <v>1.6587</v>
      </c>
      <c r="G846" t="n">
        <v>-138.7035</v>
      </c>
      <c r="H846" t="n">
        <v>2.954362</v>
      </c>
      <c r="I846" t="n">
        <v>2.92675</v>
      </c>
      <c r="J846" t="n">
        <v>0.027612</v>
      </c>
      <c r="K846" s="4">
        <f>IFERROR(J846/I846,"")</f>
        <v/>
      </c>
      <c r="L846" s="4">
        <f>IFERROR((D846-E846)/E846,"")</f>
        <v/>
      </c>
    </row>
    <row r="847">
      <c r="A847" t="inlineStr">
        <is>
          <t>2026-06-19</t>
        </is>
      </c>
      <c r="B847" t="inlineStr">
        <is>
          <t>161908</t>
        </is>
      </c>
      <c r="C847" t="inlineStr">
        <is>
          <t>万家添利LOF</t>
        </is>
      </c>
      <c r="D847" t="n">
        <v>115.6575</v>
      </c>
      <c r="E847" t="n">
        <v>115.6575</v>
      </c>
      <c r="F847" t="n">
        <v>1.2191</v>
      </c>
      <c r="G847" t="n">
        <v>0</v>
      </c>
      <c r="H847" t="n">
        <v>0.0141</v>
      </c>
      <c r="I847" t="n">
        <v>0.01413</v>
      </c>
      <c r="J847" t="n">
        <v>-3e-05</v>
      </c>
      <c r="K847" s="4">
        <f>IFERROR(J847/I847,"")</f>
        <v/>
      </c>
      <c r="L847" s="4">
        <f>IFERROR((D847-E847)/E847,"")</f>
        <v/>
      </c>
    </row>
    <row r="848">
      <c r="A848" t="inlineStr">
        <is>
          <t>2026-06-19</t>
        </is>
      </c>
      <c r="B848" t="inlineStr">
        <is>
          <t>161912</t>
        </is>
      </c>
      <c r="C848" t="inlineStr">
        <is>
          <t>社会责任定开</t>
        </is>
      </c>
      <c r="D848" t="n">
        <v>5510.5193</v>
      </c>
      <c r="E848" t="n">
        <v>5510.5193</v>
      </c>
      <c r="F848" t="n">
        <v>4.3026</v>
      </c>
      <c r="G848" t="n">
        <v>0</v>
      </c>
      <c r="H848" t="n">
        <v>2.370956</v>
      </c>
      <c r="I848" t="n">
        <v>2.361423</v>
      </c>
      <c r="J848" t="n">
        <v>0.009533</v>
      </c>
      <c r="K848" s="4">
        <f>IFERROR(J848/I848,"")</f>
        <v/>
      </c>
      <c r="L848" s="4">
        <f>IFERROR((D848-E848)/E848,"")</f>
        <v/>
      </c>
    </row>
    <row r="849">
      <c r="A849" t="inlineStr">
        <is>
          <t>2026-06-19</t>
        </is>
      </c>
      <c r="B849" t="inlineStr">
        <is>
          <t>161914</t>
        </is>
      </c>
      <c r="C849" t="inlineStr">
        <is>
          <t>创业板2年定开</t>
        </is>
      </c>
      <c r="D849" t="n">
        <v>16715.3318</v>
      </c>
      <c r="E849" t="n">
        <v>16714.3436</v>
      </c>
      <c r="F849" t="n">
        <v>0.917</v>
      </c>
      <c r="G849" t="n">
        <v>0.9882</v>
      </c>
      <c r="H849" t="n">
        <v>1.532796</v>
      </c>
      <c r="I849" t="n">
        <v>1.499945</v>
      </c>
      <c r="J849" t="n">
        <v>0.032851</v>
      </c>
      <c r="K849" s="4">
        <f>IFERROR(J849/I849,"")</f>
        <v/>
      </c>
      <c r="L849" s="4">
        <f>IFERROR((D849-E849)/E849,"")</f>
        <v/>
      </c>
    </row>
    <row r="850">
      <c r="A850" t="inlineStr">
        <is>
          <t>2026-06-19</t>
        </is>
      </c>
      <c r="B850" t="inlineStr">
        <is>
          <t>162006</t>
        </is>
      </c>
      <c r="C850" t="inlineStr">
        <is>
          <t>长城久富LOF</t>
        </is>
      </c>
      <c r="D850" t="n">
        <v>2873.9969</v>
      </c>
      <c r="E850" t="n">
        <v>2873.9969</v>
      </c>
      <c r="F850" t="n">
        <v>2.0495</v>
      </c>
      <c r="G850" t="n">
        <v>0</v>
      </c>
      <c r="H850" t="n">
        <v>0.589026</v>
      </c>
      <c r="I850" t="n">
        <v>0.5738220000000001</v>
      </c>
      <c r="J850" t="n">
        <v>0.015204</v>
      </c>
      <c r="K850" s="4">
        <f>IFERROR(J850/I850,"")</f>
        <v/>
      </c>
      <c r="L850" s="4">
        <f>IFERROR((D850-E850)/E850,"")</f>
        <v/>
      </c>
    </row>
    <row r="851">
      <c r="A851" t="inlineStr">
        <is>
          <t>2026-06-19</t>
        </is>
      </c>
      <c r="B851" t="inlineStr">
        <is>
          <t>162105</t>
        </is>
      </c>
      <c r="C851" t="inlineStr">
        <is>
          <t>金鹰持久增利LOF</t>
        </is>
      </c>
      <c r="D851" t="n">
        <v>80.4297</v>
      </c>
      <c r="E851" t="n">
        <v>80.4297</v>
      </c>
      <c r="F851" t="n">
        <v>1.5381</v>
      </c>
      <c r="G851" t="n">
        <v>0</v>
      </c>
      <c r="H851" t="n">
        <v>0.012371</v>
      </c>
      <c r="I851" t="n">
        <v>0.012327</v>
      </c>
      <c r="J851" t="n">
        <v>4.4e-05</v>
      </c>
      <c r="K851" s="4">
        <f>IFERROR(J851/I851,"")</f>
        <v/>
      </c>
      <c r="L851" s="4">
        <f>IFERROR((D851-E851)/E851,"")</f>
        <v/>
      </c>
    </row>
    <row r="852">
      <c r="A852" t="inlineStr">
        <is>
          <t>2026-06-19</t>
        </is>
      </c>
      <c r="B852" t="inlineStr">
        <is>
          <t>162108</t>
        </is>
      </c>
      <c r="C852" t="inlineStr">
        <is>
          <t>金鹰元盛债券LOF</t>
        </is>
      </c>
      <c r="D852" t="n">
        <v>138.3624</v>
      </c>
      <c r="E852" t="n">
        <v>138.6875</v>
      </c>
      <c r="F852" t="n">
        <v>1.3588</v>
      </c>
      <c r="G852" t="n">
        <v>-0.3251</v>
      </c>
      <c r="H852" t="n">
        <v>0.018801</v>
      </c>
      <c r="I852" t="n">
        <v>0.018834</v>
      </c>
      <c r="J852" t="n">
        <v>-3.3e-05</v>
      </c>
      <c r="K852" s="4">
        <f>IFERROR(J852/I852,"")</f>
        <v/>
      </c>
      <c r="L852" s="4">
        <f>IFERROR((D852-E852)/E852,"")</f>
        <v/>
      </c>
    </row>
    <row r="853">
      <c r="A853" t="inlineStr">
        <is>
          <t>2026-06-19</t>
        </is>
      </c>
      <c r="B853" t="inlineStr">
        <is>
          <t>162207</t>
        </is>
      </c>
      <c r="C853" t="inlineStr">
        <is>
          <t>宏利效率混合LOF</t>
        </is>
      </c>
      <c r="D853" t="n">
        <v>1224.3411</v>
      </c>
      <c r="E853" t="n">
        <v>1224.4411</v>
      </c>
      <c r="F853" t="n">
        <v>1.4467</v>
      </c>
      <c r="G853" t="n">
        <v>-0.1</v>
      </c>
      <c r="H853" t="n">
        <v>0.177125</v>
      </c>
      <c r="I853" t="n">
        <v>0.17545</v>
      </c>
      <c r="J853" t="n">
        <v>0.001675</v>
      </c>
      <c r="K853" s="4">
        <f>IFERROR(J853/I853,"")</f>
        <v/>
      </c>
      <c r="L853" s="4">
        <f>IFERROR((D853-E853)/E853,"")</f>
        <v/>
      </c>
    </row>
    <row r="854">
      <c r="A854" t="inlineStr">
        <is>
          <t>2026-06-19</t>
        </is>
      </c>
      <c r="B854" t="inlineStr">
        <is>
          <t>162215</t>
        </is>
      </c>
      <c r="C854" t="inlineStr">
        <is>
          <t>宏利聚利债券LOF</t>
        </is>
      </c>
      <c r="D854" t="n">
        <v>2104.2972</v>
      </c>
      <c r="E854" t="n">
        <v>2106.2972</v>
      </c>
      <c r="F854" t="n">
        <v>1.092</v>
      </c>
      <c r="G854" t="n">
        <v>-2</v>
      </c>
      <c r="H854" t="n">
        <v>0.229789</v>
      </c>
      <c r="I854" t="n">
        <v>0.230008</v>
      </c>
      <c r="J854" t="n">
        <v>-0.000219</v>
      </c>
      <c r="K854" s="4">
        <f>IFERROR(J854/I854,"")</f>
        <v/>
      </c>
      <c r="L854" s="4">
        <f>IFERROR((D854-E854)/E854,"")</f>
        <v/>
      </c>
    </row>
    <row r="855">
      <c r="A855" t="inlineStr">
        <is>
          <t>2026-06-19</t>
        </is>
      </c>
      <c r="B855" t="inlineStr">
        <is>
          <t>162216</t>
        </is>
      </c>
      <c r="C855" t="inlineStr">
        <is>
          <t>宏利500增强LOF</t>
        </is>
      </c>
      <c r="D855" t="n">
        <v>212.4473</v>
      </c>
      <c r="E855" t="n">
        <v>212.6411</v>
      </c>
      <c r="F855" t="n">
        <v>1.7948</v>
      </c>
      <c r="G855" t="n">
        <v>-0.1938</v>
      </c>
      <c r="H855" t="n">
        <v>0.03813</v>
      </c>
      <c r="I855" t="n">
        <v>0.037731</v>
      </c>
      <c r="J855" t="n">
        <v>0.000399</v>
      </c>
      <c r="K855" s="4">
        <f>IFERROR(J855/I855,"")</f>
        <v/>
      </c>
      <c r="L855" s="4">
        <f>IFERROR((D855-E855)/E855,"")</f>
        <v/>
      </c>
    </row>
    <row r="856">
      <c r="A856" t="inlineStr">
        <is>
          <t>2026-06-19</t>
        </is>
      </c>
      <c r="B856" t="inlineStr">
        <is>
          <t>162307</t>
        </is>
      </c>
      <c r="C856" t="inlineStr">
        <is>
          <t>海富通A100LOF</t>
        </is>
      </c>
      <c r="D856" t="n">
        <v>140.6033</v>
      </c>
      <c r="E856" t="n">
        <v>140.6033</v>
      </c>
      <c r="F856" t="n">
        <v>1.6274</v>
      </c>
      <c r="G856" t="n">
        <v>0</v>
      </c>
      <c r="H856" t="n">
        <v>0.022882</v>
      </c>
      <c r="I856" t="n">
        <v>0.022665</v>
      </c>
      <c r="J856" t="n">
        <v>0.000217</v>
      </c>
      <c r="K856" s="4">
        <f>IFERROR(J856/I856,"")</f>
        <v/>
      </c>
      <c r="L856" s="4">
        <f>IFERROR((D856-E856)/E856,"")</f>
        <v/>
      </c>
    </row>
    <row r="857">
      <c r="A857" t="inlineStr">
        <is>
          <t>2026-06-19</t>
        </is>
      </c>
      <c r="B857" t="inlineStr">
        <is>
          <t>162411</t>
        </is>
      </c>
      <c r="C857" t="inlineStr">
        <is>
          <t>华宝油气LOF</t>
        </is>
      </c>
      <c r="D857" t="n">
        <v>178839.7873</v>
      </c>
      <c r="E857" t="n">
        <v>182183.4803</v>
      </c>
      <c r="F857" t="n">
        <v>0.8323</v>
      </c>
      <c r="G857" t="n">
        <v>-3343.693</v>
      </c>
      <c r="H857" t="n">
        <v>14.884835</v>
      </c>
      <c r="I857" t="n">
        <v>15.268797</v>
      </c>
      <c r="J857" t="n">
        <v>-0.383962</v>
      </c>
      <c r="K857" s="4">
        <f>IFERROR(J857/I857,"")</f>
        <v/>
      </c>
      <c r="L857" s="4">
        <f>IFERROR((D857-E857)/E857,"")</f>
        <v/>
      </c>
    </row>
    <row r="858">
      <c r="A858" t="inlineStr">
        <is>
          <t>2026-06-19</t>
        </is>
      </c>
      <c r="B858" t="inlineStr">
        <is>
          <t>162412</t>
        </is>
      </c>
      <c r="C858" t="inlineStr">
        <is>
          <t>医疗基金LOF</t>
        </is>
      </c>
      <c r="D858" t="n">
        <v>28213.9006</v>
      </c>
      <c r="E858" t="n">
        <v>28214.195</v>
      </c>
      <c r="F858" t="n">
        <v>0.5157</v>
      </c>
      <c r="G858" t="n">
        <v>-0.2944</v>
      </c>
      <c r="H858" t="n">
        <v>1.454991</v>
      </c>
      <c r="I858" t="n">
        <v>1.456417</v>
      </c>
      <c r="J858" t="n">
        <v>-0.001426</v>
      </c>
      <c r="K858" s="4">
        <f>IFERROR(J858/I858,"")</f>
        <v/>
      </c>
      <c r="L858" s="4">
        <f>IFERROR((D858-E858)/E858,"")</f>
        <v/>
      </c>
    </row>
    <row r="859">
      <c r="A859" t="inlineStr">
        <is>
          <t>2026-06-19</t>
        </is>
      </c>
      <c r="B859" t="inlineStr">
        <is>
          <t>162414</t>
        </is>
      </c>
      <c r="C859" t="inlineStr">
        <is>
          <t>新机遇LOF</t>
        </is>
      </c>
      <c r="D859" t="n">
        <v>32.5492</v>
      </c>
      <c r="E859" t="n">
        <v>32.5492</v>
      </c>
      <c r="F859" t="n">
        <v>1.9572</v>
      </c>
      <c r="G859" t="n">
        <v>0</v>
      </c>
      <c r="H859" t="n">
        <v>0.006371</v>
      </c>
      <c r="I859" t="n">
        <v>0.006341</v>
      </c>
      <c r="J859" t="n">
        <v>3e-05</v>
      </c>
      <c r="K859" s="4">
        <f>IFERROR(J859/I859,"")</f>
        <v/>
      </c>
      <c r="L859" s="4">
        <f>IFERROR((D859-E859)/E859,"")</f>
        <v/>
      </c>
    </row>
    <row r="860">
      <c r="A860" t="inlineStr">
        <is>
          <t>2026-06-19</t>
        </is>
      </c>
      <c r="B860" t="inlineStr">
        <is>
          <t>162415</t>
        </is>
      </c>
      <c r="C860" t="inlineStr">
        <is>
          <t>美国消费LOF</t>
        </is>
      </c>
      <c r="D860" t="n">
        <v>9323.2619</v>
      </c>
      <c r="E860" t="n">
        <v>9461.843199999999</v>
      </c>
      <c r="F860" t="n">
        <v>2.92</v>
      </c>
      <c r="G860" t="n">
        <v>-138.5813</v>
      </c>
      <c r="H860" t="n">
        <v>2.722392</v>
      </c>
      <c r="I860" t="n">
        <v>2.764751</v>
      </c>
      <c r="J860" t="n">
        <v>-0.042359</v>
      </c>
      <c r="K860" s="4">
        <f>IFERROR(J860/I860,"")</f>
        <v/>
      </c>
      <c r="L860" s="4">
        <f>IFERROR((D860-E860)/E860,"")</f>
        <v/>
      </c>
    </row>
    <row r="861">
      <c r="A861" t="inlineStr">
        <is>
          <t>2026-06-19</t>
        </is>
      </c>
      <c r="B861" t="inlineStr">
        <is>
          <t>162509</t>
        </is>
      </c>
      <c r="C861" t="inlineStr">
        <is>
          <t>中证A100LOF</t>
        </is>
      </c>
      <c r="D861" t="n">
        <v>5475.4056</v>
      </c>
      <c r="E861" t="n">
        <v>5476.2493</v>
      </c>
      <c r="F861" t="n">
        <v>1.0552</v>
      </c>
      <c r="G861" t="n">
        <v>-0.8437</v>
      </c>
      <c r="H861" t="n">
        <v>0.577765</v>
      </c>
      <c r="I861" t="n">
        <v>0.5724320000000001</v>
      </c>
      <c r="J861" t="n">
        <v>0.005333</v>
      </c>
      <c r="K861" s="4">
        <f>IFERROR(J861/I861,"")</f>
        <v/>
      </c>
      <c r="L861" s="4">
        <f>IFERROR((D861-E861)/E861,"")</f>
        <v/>
      </c>
    </row>
    <row r="862">
      <c r="A862" t="inlineStr">
        <is>
          <t>2026-06-19</t>
        </is>
      </c>
      <c r="B862" t="inlineStr">
        <is>
          <t>162605</t>
        </is>
      </c>
      <c r="C862" t="inlineStr">
        <is>
          <t>景顺鼎益LOF</t>
        </is>
      </c>
      <c r="D862" t="n">
        <v>27834.7739</v>
      </c>
      <c r="E862" t="n">
        <v>27919.0437</v>
      </c>
      <c r="F862" t="n">
        <v>1.875</v>
      </c>
      <c r="G862" t="n">
        <v>-84.2698</v>
      </c>
      <c r="H862" t="n">
        <v>5.21902</v>
      </c>
      <c r="I862" t="n">
        <v>5.128728</v>
      </c>
      <c r="J862" t="n">
        <v>0.090292</v>
      </c>
      <c r="K862" s="4">
        <f>IFERROR(J862/I862,"")</f>
        <v/>
      </c>
      <c r="L862" s="4">
        <f>IFERROR((D862-E862)/E862,"")</f>
        <v/>
      </c>
    </row>
    <row r="863">
      <c r="A863" t="inlineStr">
        <is>
          <t>2026-06-19</t>
        </is>
      </c>
      <c r="B863" t="inlineStr">
        <is>
          <t>162607</t>
        </is>
      </c>
      <c r="C863" t="inlineStr">
        <is>
          <t>景顺资源LOF</t>
        </is>
      </c>
      <c r="D863" t="n">
        <v>6611.8061</v>
      </c>
      <c r="E863" t="n">
        <v>6050.9828</v>
      </c>
      <c r="F863" t="n">
        <v>0.474</v>
      </c>
      <c r="G863" t="n">
        <v>560.8233</v>
      </c>
      <c r="H863" t="n">
        <v>0.3134</v>
      </c>
      <c r="I863" t="n">
        <v>0.289842</v>
      </c>
      <c r="J863" t="n">
        <v>0.023558</v>
      </c>
      <c r="K863" s="4">
        <f>IFERROR(J863/I863,"")</f>
        <v/>
      </c>
      <c r="L863" s="4">
        <f>IFERROR((D863-E863)/E863,"")</f>
        <v/>
      </c>
    </row>
    <row r="864">
      <c r="A864" t="inlineStr">
        <is>
          <t>2026-06-19</t>
        </is>
      </c>
      <c r="B864" t="inlineStr">
        <is>
          <t>162703</t>
        </is>
      </c>
      <c r="C864" t="inlineStr">
        <is>
          <t>广发小盘LOF</t>
        </is>
      </c>
      <c r="D864" t="n">
        <v>15113.4625</v>
      </c>
      <c r="E864" t="n">
        <v>15160.4509</v>
      </c>
      <c r="F864" t="n">
        <v>2.5595</v>
      </c>
      <c r="G864" t="n">
        <v>-46.9884</v>
      </c>
      <c r="H864" t="n">
        <v>3.868291</v>
      </c>
      <c r="I864" t="n">
        <v>3.718404</v>
      </c>
      <c r="J864" t="n">
        <v>0.149887</v>
      </c>
      <c r="K864" s="4">
        <f>IFERROR(J864/I864,"")</f>
        <v/>
      </c>
      <c r="L864" s="4">
        <f>IFERROR((D864-E864)/E864,"")</f>
        <v/>
      </c>
    </row>
    <row r="865">
      <c r="A865" t="inlineStr">
        <is>
          <t>2026-06-19</t>
        </is>
      </c>
      <c r="B865" t="inlineStr">
        <is>
          <t>162711</t>
        </is>
      </c>
      <c r="C865" t="inlineStr">
        <is>
          <t>中证500LOF</t>
        </is>
      </c>
      <c r="D865" t="n">
        <v>775.8012</v>
      </c>
      <c r="E865" t="n">
        <v>776.6253</v>
      </c>
      <c r="F865" t="n">
        <v>2.0349</v>
      </c>
      <c r="G865" t="n">
        <v>-0.8241000000000001</v>
      </c>
      <c r="H865" t="n">
        <v>0.157868</v>
      </c>
      <c r="I865" t="n">
        <v>0.155946</v>
      </c>
      <c r="J865" t="n">
        <v>0.001922</v>
      </c>
      <c r="K865" s="4">
        <f>IFERROR(J865/I865,"")</f>
        <v/>
      </c>
      <c r="L865" s="4">
        <f>IFERROR((D865-E865)/E865,"")</f>
        <v/>
      </c>
    </row>
    <row r="866">
      <c r="A866" t="inlineStr">
        <is>
          <t>2026-06-19</t>
        </is>
      </c>
      <c r="B866" t="inlineStr">
        <is>
          <t>162712</t>
        </is>
      </c>
      <c r="C866" t="inlineStr">
        <is>
          <t>广发聚利LOF</t>
        </is>
      </c>
      <c r="D866" t="n">
        <v>287.2962</v>
      </c>
      <c r="E866" t="n">
        <v>287.2962</v>
      </c>
      <c r="F866" t="n">
        <v>1.4205</v>
      </c>
      <c r="G866" t="n">
        <v>0</v>
      </c>
      <c r="H866" t="n">
        <v>0.04081</v>
      </c>
      <c r="I866" t="n">
        <v>0.040773</v>
      </c>
      <c r="J866" t="n">
        <v>3.7e-05</v>
      </c>
      <c r="K866" s="4">
        <f>IFERROR(J866/I866,"")</f>
        <v/>
      </c>
      <c r="L866" s="4">
        <f>IFERROR((D866-E866)/E866,"")</f>
        <v/>
      </c>
    </row>
    <row r="867">
      <c r="A867" t="inlineStr">
        <is>
          <t>2026-06-19</t>
        </is>
      </c>
      <c r="B867" t="inlineStr">
        <is>
          <t>162715</t>
        </is>
      </c>
      <c r="C867" t="inlineStr">
        <is>
          <t>广发聚源LOF</t>
        </is>
      </c>
      <c r="D867" t="n">
        <v>364.3966</v>
      </c>
      <c r="E867" t="n">
        <v>363.5452</v>
      </c>
      <c r="F867" t="n">
        <v>1.1862</v>
      </c>
      <c r="G867" t="n">
        <v>0.8514</v>
      </c>
      <c r="H867" t="n">
        <v>0.043225</v>
      </c>
      <c r="I867" t="n">
        <v>0.043095</v>
      </c>
      <c r="J867" t="n">
        <v>0.00013</v>
      </c>
      <c r="K867" s="4">
        <f>IFERROR(J867/I867,"")</f>
        <v/>
      </c>
      <c r="L867" s="4">
        <f>IFERROR((D867-E867)/E867,"")</f>
        <v/>
      </c>
    </row>
    <row r="868">
      <c r="A868" t="inlineStr">
        <is>
          <t>2026-06-19</t>
        </is>
      </c>
      <c r="B868" t="inlineStr">
        <is>
          <t>162719</t>
        </is>
      </c>
      <c r="C868" t="inlineStr">
        <is>
          <t>石油LOF</t>
        </is>
      </c>
      <c r="D868" t="n">
        <v>16687.1791</v>
      </c>
      <c r="E868" t="n">
        <v>17019.9642</v>
      </c>
      <c r="F868" t="n">
        <v>2.5484</v>
      </c>
      <c r="G868" t="n">
        <v>-332.7851</v>
      </c>
      <c r="H868" t="n">
        <v>4.252561</v>
      </c>
      <c r="I868" t="n">
        <v>4.366302</v>
      </c>
      <c r="J868" t="n">
        <v>-0.113741</v>
      </c>
      <c r="K868" s="4">
        <f>IFERROR(J868/I868,"")</f>
        <v/>
      </c>
      <c r="L868" s="4">
        <f>IFERROR((D868-E868)/E868,"")</f>
        <v/>
      </c>
    </row>
    <row r="869">
      <c r="A869" t="inlineStr">
        <is>
          <t>2026-06-19</t>
        </is>
      </c>
      <c r="B869" t="inlineStr">
        <is>
          <t>162720</t>
        </is>
      </c>
      <c r="C869" t="inlineStr">
        <is>
          <t>广发创业板定开</t>
        </is>
      </c>
      <c r="D869" t="n">
        <v>14625.1772</v>
      </c>
      <c r="E869" t="n">
        <v>14625.1772</v>
      </c>
      <c r="F869" t="n">
        <v>1.6812</v>
      </c>
      <c r="G869" t="n">
        <v>0</v>
      </c>
      <c r="H869" t="n">
        <v>2.458785</v>
      </c>
      <c r="I869" t="n">
        <v>2.391655</v>
      </c>
      <c r="J869" t="n">
        <v>0.06713</v>
      </c>
      <c r="K869" s="4">
        <f>IFERROR(J869/I869,"")</f>
        <v/>
      </c>
      <c r="L869" s="4">
        <f>IFERROR((D869-E869)/E869,"")</f>
        <v/>
      </c>
    </row>
    <row r="870">
      <c r="A870" t="inlineStr">
        <is>
          <t>2026-06-19</t>
        </is>
      </c>
      <c r="B870" t="inlineStr">
        <is>
          <t>162721</t>
        </is>
      </c>
      <c r="C870" t="inlineStr">
        <is>
          <t>广发积极FOF-LOF</t>
        </is>
      </c>
      <c r="D870" t="n">
        <v>250.5624</v>
      </c>
      <c r="E870" t="n">
        <v>249.9976</v>
      </c>
      <c r="F870" t="n">
        <v>1.3103</v>
      </c>
      <c r="G870" t="n">
        <v>0.5648</v>
      </c>
      <c r="H870" t="n">
        <v>0.032831</v>
      </c>
      <c r="I870" t="n">
        <v>0.032765</v>
      </c>
      <c r="J870" t="n">
        <v>6.600000000000001e-05</v>
      </c>
      <c r="K870" s="4">
        <f>IFERROR(J870/I870,"")</f>
        <v/>
      </c>
      <c r="L870" s="4">
        <f>IFERROR((D870-E870)/E870,"")</f>
        <v/>
      </c>
    </row>
    <row r="871">
      <c r="A871" t="inlineStr">
        <is>
          <t>2026-06-19</t>
        </is>
      </c>
      <c r="B871" t="inlineStr">
        <is>
          <t>163001</t>
        </is>
      </c>
      <c r="C871" t="inlineStr">
        <is>
          <t>长信医疗LOF</t>
        </is>
      </c>
      <c r="D871" t="n">
        <v>324.2543</v>
      </c>
      <c r="E871" t="n">
        <v>324.3076</v>
      </c>
      <c r="F871" t="n">
        <v>1.218</v>
      </c>
      <c r="G871" t="n">
        <v>-0.0533</v>
      </c>
      <c r="H871" t="n">
        <v>0.039494</v>
      </c>
      <c r="I871" t="n">
        <v>0.039728</v>
      </c>
      <c r="J871" t="n">
        <v>-0.000234</v>
      </c>
      <c r="K871" s="4">
        <f>IFERROR(J871/I871,"")</f>
        <v/>
      </c>
      <c r="L871" s="4">
        <f>IFERROR((D871-E871)/E871,"")</f>
        <v/>
      </c>
    </row>
    <row r="872">
      <c r="A872" t="inlineStr">
        <is>
          <t>2026-06-19</t>
        </is>
      </c>
      <c r="B872" t="inlineStr">
        <is>
          <t>163003</t>
        </is>
      </c>
      <c r="C872" t="inlineStr">
        <is>
          <t>长信利鑫LOF</t>
        </is>
      </c>
      <c r="D872" t="n">
        <v>82.19970000000001</v>
      </c>
      <c r="E872" t="n">
        <v>82.19970000000001</v>
      </c>
      <c r="F872" t="n">
        <v>0.6695</v>
      </c>
      <c r="G872" t="n">
        <v>0</v>
      </c>
      <c r="H872" t="n">
        <v>0.005503</v>
      </c>
      <c r="I872" t="n">
        <v>0.005502</v>
      </c>
      <c r="J872" t="n">
        <v>1e-06</v>
      </c>
      <c r="K872" s="4">
        <f>IFERROR(J872/I872,"")</f>
        <v/>
      </c>
      <c r="L872" s="4">
        <f>IFERROR((D872-E872)/E872,"")</f>
        <v/>
      </c>
    </row>
    <row r="873">
      <c r="A873" t="inlineStr">
        <is>
          <t>2026-06-19</t>
        </is>
      </c>
      <c r="B873" t="inlineStr">
        <is>
          <t>163005</t>
        </is>
      </c>
      <c r="C873" t="inlineStr">
        <is>
          <t>长信利众LOF</t>
        </is>
      </c>
      <c r="D873" t="n">
        <v>121.4156</v>
      </c>
      <c r="E873" t="n">
        <v>121.7156</v>
      </c>
      <c r="F873" t="n">
        <v>1.028</v>
      </c>
      <c r="G873" t="n">
        <v>-0.3</v>
      </c>
      <c r="H873" t="n">
        <v>0.012482</v>
      </c>
      <c r="I873" t="n">
        <v>0.012506</v>
      </c>
      <c r="J873" t="n">
        <v>-2.4e-05</v>
      </c>
      <c r="K873" s="4">
        <f>IFERROR(J873/I873,"")</f>
        <v/>
      </c>
      <c r="L873" s="4">
        <f>IFERROR((D873-E873)/E873,"")</f>
        <v/>
      </c>
    </row>
    <row r="874">
      <c r="A874" t="inlineStr">
        <is>
          <t>2026-06-19</t>
        </is>
      </c>
      <c r="B874" t="inlineStr">
        <is>
          <t>163109</t>
        </is>
      </c>
      <c r="C874" t="inlineStr">
        <is>
          <t>申万深成LOF</t>
        </is>
      </c>
      <c r="D874" t="n">
        <v>12255.6452</v>
      </c>
      <c r="E874" t="n">
        <v>12259.5486</v>
      </c>
      <c r="F874" t="n">
        <v>0.87</v>
      </c>
      <c r="G874" t="n">
        <v>-3.9034</v>
      </c>
      <c r="H874" t="n">
        <v>1.066241</v>
      </c>
      <c r="I874" t="n">
        <v>1.053586</v>
      </c>
      <c r="J874" t="n">
        <v>0.012655</v>
      </c>
      <c r="K874" s="4">
        <f>IFERROR(J874/I874,"")</f>
        <v/>
      </c>
      <c r="L874" s="4">
        <f>IFERROR((D874-E874)/E874,"")</f>
        <v/>
      </c>
    </row>
    <row r="875">
      <c r="A875" t="inlineStr">
        <is>
          <t>2026-06-19</t>
        </is>
      </c>
      <c r="B875" t="inlineStr">
        <is>
          <t>163110</t>
        </is>
      </c>
      <c r="C875" t="inlineStr">
        <is>
          <t>申万量化LOF</t>
        </is>
      </c>
      <c r="D875" t="n">
        <v>244.9402</v>
      </c>
      <c r="E875" t="n">
        <v>244.9402</v>
      </c>
      <c r="F875" t="n">
        <v>2.5096</v>
      </c>
      <c r="G875" t="n">
        <v>0</v>
      </c>
      <c r="H875" t="n">
        <v>0.06147</v>
      </c>
      <c r="I875" t="n">
        <v>0.061326</v>
      </c>
      <c r="J875" t="n">
        <v>0.000144</v>
      </c>
      <c r="K875" s="4">
        <f>IFERROR(J875/I875,"")</f>
        <v/>
      </c>
      <c r="L875" s="4">
        <f>IFERROR((D875-E875)/E875,"")</f>
        <v/>
      </c>
    </row>
    <row r="876">
      <c r="A876" t="inlineStr">
        <is>
          <t>2026-06-19</t>
        </is>
      </c>
      <c r="B876" t="inlineStr">
        <is>
          <t>163111</t>
        </is>
      </c>
      <c r="C876" t="inlineStr">
        <is>
          <t>申万中小LOF</t>
        </is>
      </c>
      <c r="D876" t="n">
        <v>703.4693</v>
      </c>
      <c r="E876" t="n">
        <v>704.8093</v>
      </c>
      <c r="F876" t="n">
        <v>1.6821</v>
      </c>
      <c r="G876" t="n">
        <v>-1.34</v>
      </c>
      <c r="H876" t="n">
        <v>0.118331</v>
      </c>
      <c r="I876" t="n">
        <v>0.116857</v>
      </c>
      <c r="J876" t="n">
        <v>0.001474</v>
      </c>
      <c r="K876" s="4">
        <f>IFERROR(J876/I876,"")</f>
        <v/>
      </c>
      <c r="L876" s="4">
        <f>IFERROR((D876-E876)/E876,"")</f>
        <v/>
      </c>
    </row>
    <row r="877">
      <c r="A877" t="inlineStr">
        <is>
          <t>2026-06-19</t>
        </is>
      </c>
      <c r="B877" t="inlineStr">
        <is>
          <t>163113</t>
        </is>
      </c>
      <c r="C877" t="inlineStr">
        <is>
          <t>申万证券LOF</t>
        </is>
      </c>
      <c r="D877" t="n">
        <v>16217.8881</v>
      </c>
      <c r="E877" t="n">
        <v>16218.5808</v>
      </c>
      <c r="F877" t="n">
        <v>0.922</v>
      </c>
      <c r="G877" t="n">
        <v>-0.6927</v>
      </c>
      <c r="H877" t="n">
        <v>1.495289</v>
      </c>
      <c r="I877" t="n">
        <v>1.497299</v>
      </c>
      <c r="J877" t="n">
        <v>-0.00201</v>
      </c>
      <c r="K877" s="4">
        <f>IFERROR(J877/I877,"")</f>
        <v/>
      </c>
      <c r="L877" s="4">
        <f>IFERROR((D877-E877)/E877,"")</f>
        <v/>
      </c>
    </row>
    <row r="878">
      <c r="A878" t="inlineStr">
        <is>
          <t>2026-06-19</t>
        </is>
      </c>
      <c r="B878" t="inlineStr">
        <is>
          <t>163114</t>
        </is>
      </c>
      <c r="C878" t="inlineStr">
        <is>
          <t>申万环保LOF</t>
        </is>
      </c>
      <c r="D878" t="n">
        <v>2337.7569</v>
      </c>
      <c r="E878" t="n">
        <v>2338.0259</v>
      </c>
      <c r="F878" t="n">
        <v>1.3988</v>
      </c>
      <c r="G878" t="n">
        <v>-0.269</v>
      </c>
      <c r="H878" t="n">
        <v>0.327005</v>
      </c>
      <c r="I878" t="n">
        <v>0.328142</v>
      </c>
      <c r="J878" t="n">
        <v>-0.001137</v>
      </c>
      <c r="K878" s="4">
        <f>IFERROR(J878/I878,"")</f>
        <v/>
      </c>
      <c r="L878" s="4">
        <f>IFERROR((D878-E878)/E878,"")</f>
        <v/>
      </c>
    </row>
    <row r="879">
      <c r="A879" t="inlineStr">
        <is>
          <t>2026-06-19</t>
        </is>
      </c>
      <c r="B879" t="inlineStr">
        <is>
          <t>163115</t>
        </is>
      </c>
      <c r="C879" t="inlineStr">
        <is>
          <t>申万军工LOF</t>
        </is>
      </c>
      <c r="D879" t="n">
        <v>1884.2629</v>
      </c>
      <c r="E879" t="n">
        <v>1885.0518</v>
      </c>
      <c r="F879" t="n">
        <v>1.2545</v>
      </c>
      <c r="G879" t="n">
        <v>-0.7889</v>
      </c>
      <c r="H879" t="n">
        <v>0.236381</v>
      </c>
      <c r="I879" t="n">
        <v>0.232747</v>
      </c>
      <c r="J879" t="n">
        <v>0.003634</v>
      </c>
      <c r="K879" s="4">
        <f>IFERROR(J879/I879,"")</f>
        <v/>
      </c>
      <c r="L879" s="4">
        <f>IFERROR((D879-E879)/E879,"")</f>
        <v/>
      </c>
    </row>
    <row r="880">
      <c r="A880" t="inlineStr">
        <is>
          <t>2026-06-19</t>
        </is>
      </c>
      <c r="B880" t="inlineStr">
        <is>
          <t>163116</t>
        </is>
      </c>
      <c r="C880" t="inlineStr">
        <is>
          <t>申万电子LOF</t>
        </is>
      </c>
      <c r="D880" t="n">
        <v>421.663</v>
      </c>
      <c r="E880" t="n">
        <v>423.4756</v>
      </c>
      <c r="F880" t="n">
        <v>2.2888</v>
      </c>
      <c r="G880" t="n">
        <v>-1.8126</v>
      </c>
      <c r="H880" t="n">
        <v>0.09651</v>
      </c>
      <c r="I880" t="n">
        <v>0.09264</v>
      </c>
      <c r="J880" t="n">
        <v>0.00387</v>
      </c>
      <c r="K880" s="4">
        <f>IFERROR(J880/I880,"")</f>
        <v/>
      </c>
      <c r="L880" s="4">
        <f>IFERROR((D880-E880)/E880,"")</f>
        <v/>
      </c>
    </row>
    <row r="881">
      <c r="A881" t="inlineStr">
        <is>
          <t>2026-06-19</t>
        </is>
      </c>
      <c r="B881" t="inlineStr">
        <is>
          <t>163118</t>
        </is>
      </c>
      <c r="C881" t="inlineStr">
        <is>
          <t>医药生物LOF</t>
        </is>
      </c>
      <c r="D881" t="n">
        <v>4163.8183</v>
      </c>
      <c r="E881" t="n">
        <v>4163.9382</v>
      </c>
      <c r="F881" t="n">
        <v>0.5841</v>
      </c>
      <c r="G881" t="n">
        <v>-0.1199</v>
      </c>
      <c r="H881" t="n">
        <v>0.243209</v>
      </c>
      <c r="I881" t="n">
        <v>0.244673</v>
      </c>
      <c r="J881" t="n">
        <v>-0.001464</v>
      </c>
      <c r="K881" s="4">
        <f>IFERROR(J881/I881,"")</f>
        <v/>
      </c>
      <c r="L881" s="4">
        <f>IFERROR((D881-E881)/E881,"")</f>
        <v/>
      </c>
    </row>
    <row r="882">
      <c r="A882" t="inlineStr">
        <is>
          <t>2026-06-19</t>
        </is>
      </c>
      <c r="B882" t="inlineStr">
        <is>
          <t>163208</t>
        </is>
      </c>
      <c r="C882" t="inlineStr">
        <is>
          <t>全球油气能源LOF</t>
        </is>
      </c>
      <c r="D882" t="n">
        <v>7822.9005</v>
      </c>
      <c r="E882" t="n">
        <v>7895.0995</v>
      </c>
      <c r="F882" t="n">
        <v>1.235</v>
      </c>
      <c r="G882" t="n">
        <v>-72.199</v>
      </c>
      <c r="H882" t="n">
        <v>0.966128</v>
      </c>
      <c r="I882" t="n">
        <v>0.98294</v>
      </c>
      <c r="J882" t="n">
        <v>-0.016812</v>
      </c>
      <c r="K882" s="4">
        <f>IFERROR(J882/I882,"")</f>
        <v/>
      </c>
      <c r="L882" s="4">
        <f>IFERROR((D882-E882)/E882,"")</f>
        <v/>
      </c>
    </row>
    <row r="883">
      <c r="A883" t="inlineStr">
        <is>
          <t>2026-06-19</t>
        </is>
      </c>
      <c r="B883" t="inlineStr">
        <is>
          <t>163302</t>
        </is>
      </c>
      <c r="C883" t="inlineStr">
        <is>
          <t>大摩资源LOF</t>
        </is>
      </c>
      <c r="D883" t="n">
        <v>974.1715</v>
      </c>
      <c r="E883" t="n">
        <v>974.3556</v>
      </c>
      <c r="F883" t="n">
        <v>1.1548</v>
      </c>
      <c r="G883" t="n">
        <v>-0.1841</v>
      </c>
      <c r="H883" t="n">
        <v>0.112497</v>
      </c>
      <c r="I883" t="n">
        <v>0.111671</v>
      </c>
      <c r="J883" t="n">
        <v>0.000826</v>
      </c>
      <c r="K883" s="4">
        <f>IFERROR(J883/I883,"")</f>
        <v/>
      </c>
      <c r="L883" s="4">
        <f>IFERROR((D883-E883)/E883,"")</f>
        <v/>
      </c>
    </row>
    <row r="884">
      <c r="A884" t="inlineStr">
        <is>
          <t>2026-06-19</t>
        </is>
      </c>
      <c r="B884" t="inlineStr">
        <is>
          <t>163402</t>
        </is>
      </c>
      <c r="C884" t="inlineStr">
        <is>
          <t>兴全趋势LOF</t>
        </is>
      </c>
      <c r="D884" t="n">
        <v>70454.15700000001</v>
      </c>
      <c r="E884" t="n">
        <v>70529.85490000001</v>
      </c>
      <c r="F884" t="n">
        <v>0.9372</v>
      </c>
      <c r="G884" t="n">
        <v>-75.6979</v>
      </c>
      <c r="H884" t="n">
        <v>6.602964</v>
      </c>
      <c r="I884" t="n">
        <v>6.479578</v>
      </c>
      <c r="J884" t="n">
        <v>0.123386</v>
      </c>
      <c r="K884" s="4">
        <f>IFERROR(J884/I884,"")</f>
        <v/>
      </c>
      <c r="L884" s="4">
        <f>IFERROR((D884-E884)/E884,"")</f>
        <v/>
      </c>
    </row>
    <row r="885">
      <c r="A885" t="inlineStr">
        <is>
          <t>2026-06-19</t>
        </is>
      </c>
      <c r="B885" t="inlineStr">
        <is>
          <t>163406</t>
        </is>
      </c>
      <c r="C885" t="inlineStr">
        <is>
          <t>兴全合润LOF</t>
        </is>
      </c>
      <c r="D885" t="n">
        <v>20648.2018</v>
      </c>
      <c r="E885" t="n">
        <v>20731.7756</v>
      </c>
      <c r="F885" t="n">
        <v>2.6597</v>
      </c>
      <c r="G885" t="n">
        <v>-83.57380000000001</v>
      </c>
      <c r="H885" t="n">
        <v>5.491802</v>
      </c>
      <c r="I885" t="n">
        <v>5.403945</v>
      </c>
      <c r="J885" t="n">
        <v>0.087857</v>
      </c>
      <c r="K885" s="4">
        <f>IFERROR(J885/I885,"")</f>
        <v/>
      </c>
      <c r="L885" s="4">
        <f>IFERROR((D885-E885)/E885,"")</f>
        <v/>
      </c>
    </row>
    <row r="886">
      <c r="A886" t="inlineStr">
        <is>
          <t>2026-06-19</t>
        </is>
      </c>
      <c r="B886" t="inlineStr">
        <is>
          <t>163407</t>
        </is>
      </c>
      <c r="C886" t="inlineStr">
        <is>
          <t>兴全沪深300LOF</t>
        </is>
      </c>
      <c r="D886" t="n">
        <v>2730.885</v>
      </c>
      <c r="E886" t="n">
        <v>2725.572</v>
      </c>
      <c r="F886" t="n">
        <v>2.66</v>
      </c>
      <c r="G886" t="n">
        <v>5.313</v>
      </c>
      <c r="H886" t="n">
        <v>0.726415</v>
      </c>
      <c r="I886" t="n">
        <v>0.7181340000000001</v>
      </c>
      <c r="J886" t="n">
        <v>0.008281</v>
      </c>
      <c r="K886" s="4">
        <f>IFERROR(J886/I886,"")</f>
        <v/>
      </c>
      <c r="L886" s="4">
        <f>IFERROR((D886-E886)/E886,"")</f>
        <v/>
      </c>
    </row>
    <row r="887">
      <c r="A887" t="inlineStr">
        <is>
          <t>2026-06-19</t>
        </is>
      </c>
      <c r="B887" t="inlineStr">
        <is>
          <t>163409</t>
        </is>
      </c>
      <c r="C887" t="inlineStr">
        <is>
          <t>兴全绿色LOF</t>
        </is>
      </c>
      <c r="D887" t="n">
        <v>3461.623</v>
      </c>
      <c r="E887" t="n">
        <v>3464.752</v>
      </c>
      <c r="F887" t="n">
        <v>1.621</v>
      </c>
      <c r="G887" t="n">
        <v>-3.129</v>
      </c>
      <c r="H887" t="n">
        <v>0.561129</v>
      </c>
      <c r="I887" t="n">
        <v>0.565101</v>
      </c>
      <c r="J887" t="n">
        <v>-0.003972</v>
      </c>
      <c r="K887" s="4">
        <f>IFERROR(J887/I887,"")</f>
        <v/>
      </c>
      <c r="L887" s="4">
        <f>IFERROR((D887-E887)/E887,"")</f>
        <v/>
      </c>
    </row>
    <row r="888">
      <c r="A888" t="inlineStr">
        <is>
          <t>2026-06-19</t>
        </is>
      </c>
      <c r="B888" t="inlineStr">
        <is>
          <t>163412</t>
        </is>
      </c>
      <c r="C888" t="inlineStr">
        <is>
          <t>兴全轻资产LOF</t>
        </is>
      </c>
      <c r="D888" t="n">
        <v>2409.6327</v>
      </c>
      <c r="E888" t="n">
        <v>2407.7056</v>
      </c>
      <c r="F888" t="n">
        <v>4.578</v>
      </c>
      <c r="G888" t="n">
        <v>1.9271</v>
      </c>
      <c r="H888" t="n">
        <v>1.10313</v>
      </c>
      <c r="I888" t="n">
        <v>1.077448</v>
      </c>
      <c r="J888" t="n">
        <v>0.025682</v>
      </c>
      <c r="K888" s="4">
        <f>IFERROR(J888/I888,"")</f>
        <v/>
      </c>
      <c r="L888" s="4">
        <f>IFERROR((D888-E888)/E888,"")</f>
        <v/>
      </c>
    </row>
    <row r="889">
      <c r="A889" t="inlineStr">
        <is>
          <t>2026-06-19</t>
        </is>
      </c>
      <c r="B889" t="inlineStr">
        <is>
          <t>163415</t>
        </is>
      </c>
      <c r="C889" t="inlineStr">
        <is>
          <t>兴全商业模式LOF</t>
        </is>
      </c>
      <c r="D889" t="n">
        <v>6631.34</v>
      </c>
      <c r="E889" t="n">
        <v>6635.74</v>
      </c>
      <c r="F889" t="n">
        <v>5.451</v>
      </c>
      <c r="G889" t="n">
        <v>-4.4</v>
      </c>
      <c r="H889" t="n">
        <v>3.614743</v>
      </c>
      <c r="I889" t="n">
        <v>3.548794</v>
      </c>
      <c r="J889" t="n">
        <v>0.06594899999999999</v>
      </c>
      <c r="K889" s="4">
        <f>IFERROR(J889/I889,"")</f>
        <v/>
      </c>
      <c r="L889" s="4">
        <f>IFERROR((D889-E889)/E889,"")</f>
        <v/>
      </c>
    </row>
    <row r="890">
      <c r="A890" t="inlineStr">
        <is>
          <t>2026-06-19</t>
        </is>
      </c>
      <c r="B890" t="inlineStr">
        <is>
          <t>163417</t>
        </is>
      </c>
      <c r="C890" t="inlineStr">
        <is>
          <t>兴全合宜LOF</t>
        </is>
      </c>
      <c r="D890" t="n">
        <v>110005.0553</v>
      </c>
      <c r="E890" t="n">
        <v>110265.2026</v>
      </c>
      <c r="F890" t="n">
        <v>2.1799</v>
      </c>
      <c r="G890" t="n">
        <v>-260.1473</v>
      </c>
      <c r="H890" t="n">
        <v>23.980002</v>
      </c>
      <c r="I890" t="n">
        <v>23.847055</v>
      </c>
      <c r="J890" t="n">
        <v>0.132947</v>
      </c>
      <c r="K890" s="4">
        <f>IFERROR(J890/I890,"")</f>
        <v/>
      </c>
      <c r="L890" s="4">
        <f>IFERROR((D890-E890)/E890,"")</f>
        <v/>
      </c>
    </row>
    <row r="891">
      <c r="A891" t="inlineStr">
        <is>
          <t>2026-06-19</t>
        </is>
      </c>
      <c r="B891" t="inlineStr">
        <is>
          <t>163418</t>
        </is>
      </c>
      <c r="C891" t="inlineStr">
        <is>
          <t>兴全合兴LOF</t>
        </is>
      </c>
      <c r="D891" t="n">
        <v>21498.9362</v>
      </c>
      <c r="E891" t="n">
        <v>21566.3162</v>
      </c>
      <c r="F891" t="n">
        <v>0.9802999999999999</v>
      </c>
      <c r="G891" t="n">
        <v>-67.38</v>
      </c>
      <c r="H891" t="n">
        <v>2.107541</v>
      </c>
      <c r="I891" t="n">
        <v>2.084816</v>
      </c>
      <c r="J891" t="n">
        <v>0.022725</v>
      </c>
      <c r="K891" s="4">
        <f>IFERROR(J891/I891,"")</f>
        <v/>
      </c>
      <c r="L891" s="4">
        <f>IFERROR((D891-E891)/E891,"")</f>
        <v/>
      </c>
    </row>
    <row r="892">
      <c r="A892" t="inlineStr">
        <is>
          <t>2026-06-19</t>
        </is>
      </c>
      <c r="B892" t="inlineStr">
        <is>
          <t>163503</t>
        </is>
      </c>
      <c r="C892" t="inlineStr">
        <is>
          <t>天治核心LOF</t>
        </is>
      </c>
      <c r="D892" t="n">
        <v>6324.3984</v>
      </c>
      <c r="E892" t="n">
        <v>6325.9261</v>
      </c>
      <c r="F892" t="n">
        <v>0.4704</v>
      </c>
      <c r="G892" t="n">
        <v>-1.5277</v>
      </c>
      <c r="H892" t="n">
        <v>0.2975</v>
      </c>
      <c r="I892" t="n">
        <v>0.293523</v>
      </c>
      <c r="J892" t="n">
        <v>0.003977</v>
      </c>
      <c r="K892" s="4">
        <f>IFERROR(J892/I892,"")</f>
        <v/>
      </c>
      <c r="L892" s="4">
        <f>IFERROR((D892-E892)/E892,"")</f>
        <v/>
      </c>
    </row>
    <row r="893">
      <c r="A893" t="inlineStr">
        <is>
          <t>2026-06-19</t>
        </is>
      </c>
      <c r="B893" t="inlineStr">
        <is>
          <t>163801</t>
        </is>
      </c>
      <c r="C893" t="inlineStr">
        <is>
          <t>中银中国LOF</t>
        </is>
      </c>
      <c r="D893" t="n">
        <v>2298.8457</v>
      </c>
      <c r="E893" t="n">
        <v>2310.8488</v>
      </c>
      <c r="F893" t="n">
        <v>1.0838</v>
      </c>
      <c r="G893" t="n">
        <v>-12.0031</v>
      </c>
      <c r="H893" t="n">
        <v>0.249149</v>
      </c>
      <c r="I893" t="n">
        <v>0.243864</v>
      </c>
      <c r="J893" t="n">
        <v>0.005285</v>
      </c>
      <c r="K893" s="4">
        <f>IFERROR(J893/I893,"")</f>
        <v/>
      </c>
      <c r="L893" s="4">
        <f>IFERROR((D893-E893)/E893,"")</f>
        <v/>
      </c>
    </row>
    <row r="894">
      <c r="A894" t="inlineStr">
        <is>
          <t>2026-06-19</t>
        </is>
      </c>
      <c r="B894" t="inlineStr">
        <is>
          <t>163819</t>
        </is>
      </c>
      <c r="C894" t="inlineStr">
        <is>
          <t>中银信用增利LOF</t>
        </is>
      </c>
      <c r="D894" t="n">
        <v>1351.9525</v>
      </c>
      <c r="E894" t="n">
        <v>1351.9525</v>
      </c>
      <c r="F894" t="n">
        <v>1.2093</v>
      </c>
      <c r="G894" t="n">
        <v>0</v>
      </c>
      <c r="H894" t="n">
        <v>0.163492</v>
      </c>
      <c r="I894" t="n">
        <v>0.163397</v>
      </c>
      <c r="J894" t="n">
        <v>9.500000000000001e-05</v>
      </c>
      <c r="K894" s="4">
        <f>IFERROR(J894/I894,"")</f>
        <v/>
      </c>
      <c r="L894" s="4">
        <f>IFERROR((D894-E894)/E894,"")</f>
        <v/>
      </c>
    </row>
    <row r="895">
      <c r="A895" t="inlineStr">
        <is>
          <t>2026-06-19</t>
        </is>
      </c>
      <c r="B895" t="inlineStr">
        <is>
          <t>163821</t>
        </is>
      </c>
      <c r="C895" t="inlineStr">
        <is>
          <t>沪深300等权LOF</t>
        </is>
      </c>
      <c r="D895" t="n">
        <v>60.9311</v>
      </c>
      <c r="E895" t="n">
        <v>61.2283</v>
      </c>
      <c r="F895" t="n">
        <v>2.1194</v>
      </c>
      <c r="G895" t="n">
        <v>-0.2972</v>
      </c>
      <c r="H895" t="n">
        <v>0.012914</v>
      </c>
      <c r="I895" t="n">
        <v>0.012913</v>
      </c>
      <c r="J895" t="n">
        <v>1e-06</v>
      </c>
      <c r="K895" s="4">
        <f>IFERROR(J895/I895,"")</f>
        <v/>
      </c>
      <c r="L895" s="4">
        <f>IFERROR((D895-E895)/E895,"")</f>
        <v/>
      </c>
    </row>
    <row r="896">
      <c r="A896" t="inlineStr">
        <is>
          <t>2026-06-19</t>
        </is>
      </c>
      <c r="B896" t="inlineStr">
        <is>
          <t>163907</t>
        </is>
      </c>
      <c r="C896" t="inlineStr">
        <is>
          <t>中海惠裕LOF</t>
        </is>
      </c>
      <c r="D896" t="n">
        <v>125.8284</v>
      </c>
      <c r="E896" t="n">
        <v>125.8284</v>
      </c>
      <c r="F896" t="n">
        <v>0.805</v>
      </c>
      <c r="G896" t="n">
        <v>0</v>
      </c>
      <c r="H896" t="n">
        <v>0.010129</v>
      </c>
      <c r="I896" t="n">
        <v>0.010129</v>
      </c>
      <c r="J896" t="n">
        <v>0</v>
      </c>
      <c r="K896" s="4">
        <f>IFERROR(J896/I896,"")</f>
        <v/>
      </c>
      <c r="L896" s="4">
        <f>IFERROR((D896-E896)/E896,"")</f>
        <v/>
      </c>
    </row>
    <row r="897">
      <c r="A897" t="inlineStr">
        <is>
          <t>2026-06-19</t>
        </is>
      </c>
      <c r="B897" t="inlineStr">
        <is>
          <t>164105</t>
        </is>
      </c>
      <c r="C897" t="inlineStr">
        <is>
          <t>华富强债LOF</t>
        </is>
      </c>
      <c r="D897" t="n">
        <v>794.3899</v>
      </c>
      <c r="E897" t="n">
        <v>794.3899</v>
      </c>
      <c r="F897" t="n">
        <v>1.6417</v>
      </c>
      <c r="G897" t="n">
        <v>0</v>
      </c>
      <c r="H897" t="n">
        <v>0.130415</v>
      </c>
      <c r="I897" t="n">
        <v>0.130725</v>
      </c>
      <c r="J897" t="n">
        <v>-0.00031</v>
      </c>
      <c r="K897" s="4">
        <f>IFERROR(J897/I897,"")</f>
        <v/>
      </c>
      <c r="L897" s="4">
        <f>IFERROR((D897-E897)/E897,"")</f>
        <v/>
      </c>
    </row>
    <row r="898">
      <c r="A898" t="inlineStr">
        <is>
          <t>2026-06-19</t>
        </is>
      </c>
      <c r="B898" t="inlineStr">
        <is>
          <t>164206</t>
        </is>
      </c>
      <c r="C898" t="inlineStr">
        <is>
          <t>天弘添利LOF</t>
        </is>
      </c>
      <c r="D898" t="n">
        <v>1208.7793</v>
      </c>
      <c r="E898" t="n">
        <v>1209.0393</v>
      </c>
      <c r="F898" t="n">
        <v>1.6597</v>
      </c>
      <c r="G898" t="n">
        <v>-0.26</v>
      </c>
      <c r="H898" t="n">
        <v>0.200621</v>
      </c>
      <c r="I898" t="n">
        <v>0.200846</v>
      </c>
      <c r="J898" t="n">
        <v>-0.000225</v>
      </c>
      <c r="K898" s="4">
        <f>IFERROR(J898/I898,"")</f>
        <v/>
      </c>
      <c r="L898" s="4">
        <f>IFERROR((D898-E898)/E898,"")</f>
        <v/>
      </c>
    </row>
    <row r="899">
      <c r="A899" t="inlineStr">
        <is>
          <t>2026-06-19</t>
        </is>
      </c>
      <c r="B899" t="inlineStr">
        <is>
          <t>164208</t>
        </is>
      </c>
      <c r="C899" t="inlineStr">
        <is>
          <t>天弘丰利LOF</t>
        </is>
      </c>
      <c r="D899" t="n">
        <v>74.58069999999999</v>
      </c>
      <c r="E899" t="n">
        <v>74.5907</v>
      </c>
      <c r="F899" t="n">
        <v>1.4088</v>
      </c>
      <c r="G899" t="n">
        <v>-0.01</v>
      </c>
      <c r="H899" t="n">
        <v>0.010507</v>
      </c>
      <c r="I899" t="n">
        <v>0.010506</v>
      </c>
      <c r="J899" t="n">
        <v>1e-06</v>
      </c>
      <c r="K899" s="4">
        <f>IFERROR(J899/I899,"")</f>
        <v/>
      </c>
      <c r="L899" s="4">
        <f>IFERROR((D899-E899)/E899,"")</f>
        <v/>
      </c>
    </row>
    <row r="900">
      <c r="A900" t="inlineStr">
        <is>
          <t>2026-06-19</t>
        </is>
      </c>
      <c r="B900" t="inlineStr">
        <is>
          <t>164210</t>
        </is>
      </c>
      <c r="C900" t="inlineStr">
        <is>
          <t>天弘同利LOF</t>
        </is>
      </c>
      <c r="D900" t="n">
        <v>74.7336</v>
      </c>
      <c r="E900" t="n">
        <v>74.7336</v>
      </c>
      <c r="F900" t="n">
        <v>1.255</v>
      </c>
      <c r="G900" t="n">
        <v>0</v>
      </c>
      <c r="H900" t="n">
        <v>0.009379</v>
      </c>
      <c r="I900" t="n">
        <v>0.009377999999999999</v>
      </c>
      <c r="J900" t="n">
        <v>1e-06</v>
      </c>
      <c r="K900" s="4">
        <f>IFERROR(J900/I900,"")</f>
        <v/>
      </c>
      <c r="L900" s="4">
        <f>IFERROR((D900-E900)/E900,"")</f>
        <v/>
      </c>
    </row>
    <row r="901">
      <c r="A901" t="inlineStr">
        <is>
          <t>2026-06-19</t>
        </is>
      </c>
      <c r="B901" t="inlineStr">
        <is>
          <t>164403</t>
        </is>
      </c>
      <c r="C901" t="inlineStr">
        <is>
          <t>农业精选LOF</t>
        </is>
      </c>
      <c r="D901" t="n">
        <v>2241.4305</v>
      </c>
      <c r="E901" t="n">
        <v>2244.5899</v>
      </c>
      <c r="F901" t="n">
        <v>0.8693</v>
      </c>
      <c r="G901" t="n">
        <v>-3.1594</v>
      </c>
      <c r="H901" t="n">
        <v>0.194848</v>
      </c>
      <c r="I901" t="n">
        <v>0.199364</v>
      </c>
      <c r="J901" t="n">
        <v>-0.004516</v>
      </c>
      <c r="K901" s="4">
        <f>IFERROR(J901/I901,"")</f>
        <v/>
      </c>
      <c r="L901" s="4">
        <f>IFERROR((D901-E901)/E901,"")</f>
        <v/>
      </c>
    </row>
    <row r="902">
      <c r="A902" t="inlineStr">
        <is>
          <t>2026-06-19</t>
        </is>
      </c>
      <c r="B902" t="inlineStr">
        <is>
          <t>164508</t>
        </is>
      </c>
      <c r="C902" t="inlineStr">
        <is>
          <t>国富中证A100LOF</t>
        </is>
      </c>
      <c r="D902" t="n">
        <v>134.5695</v>
      </c>
      <c r="E902" t="n">
        <v>135.296</v>
      </c>
      <c r="F902" t="n">
        <v>1.39</v>
      </c>
      <c r="G902" t="n">
        <v>-0.7265</v>
      </c>
      <c r="H902" t="n">
        <v>0.018705</v>
      </c>
      <c r="I902" t="n">
        <v>0.018617</v>
      </c>
      <c r="J902" t="n">
        <v>8.8e-05</v>
      </c>
      <c r="K902" s="4">
        <f>IFERROR(J902/I902,"")</f>
        <v/>
      </c>
      <c r="L902" s="4">
        <f>IFERROR((D902-E902)/E902,"")</f>
        <v/>
      </c>
    </row>
    <row r="903">
      <c r="A903" t="inlineStr">
        <is>
          <t>2026-06-19</t>
        </is>
      </c>
      <c r="B903" t="inlineStr">
        <is>
          <t>164509</t>
        </is>
      </c>
      <c r="C903" t="inlineStr">
        <is>
          <t>国富恒利债券LOF</t>
        </is>
      </c>
      <c r="D903" t="n">
        <v>83.0703</v>
      </c>
      <c r="E903" t="n">
        <v>83.0703</v>
      </c>
      <c r="F903" t="n">
        <v>0.7282999999999999</v>
      </c>
      <c r="G903" t="n">
        <v>0</v>
      </c>
      <c r="H903" t="n">
        <v>0.00605</v>
      </c>
      <c r="I903" t="n">
        <v>0.006048</v>
      </c>
      <c r="J903" t="n">
        <v>2e-06</v>
      </c>
      <c r="K903" s="4">
        <f>IFERROR(J903/I903,"")</f>
        <v/>
      </c>
      <c r="L903" s="4">
        <f>IFERROR((D903-E903)/E903,"")</f>
        <v/>
      </c>
    </row>
    <row r="904">
      <c r="A904" t="inlineStr">
        <is>
          <t>2026-06-19</t>
        </is>
      </c>
      <c r="B904" t="inlineStr">
        <is>
          <t>164606</t>
        </is>
      </c>
      <c r="C904" t="inlineStr">
        <is>
          <t>信用增利LOF</t>
        </is>
      </c>
      <c r="D904" t="n">
        <v>45.7981</v>
      </c>
      <c r="E904" t="n">
        <v>56.1399</v>
      </c>
      <c r="F904" t="n">
        <v>1.2546</v>
      </c>
      <c r="G904" t="n">
        <v>-10.3418</v>
      </c>
      <c r="H904" t="n">
        <v>0.005746</v>
      </c>
      <c r="I904" t="n">
        <v>0.007042</v>
      </c>
      <c r="J904" t="n">
        <v>-0.001296</v>
      </c>
      <c r="K904" s="4">
        <f>IFERROR(J904/I904,"")</f>
        <v/>
      </c>
      <c r="L904" s="4">
        <f>IFERROR((D904-E904)/E904,"")</f>
        <v/>
      </c>
    </row>
    <row r="905">
      <c r="A905" t="inlineStr">
        <is>
          <t>2026-06-19</t>
        </is>
      </c>
      <c r="B905" t="inlineStr">
        <is>
          <t>164701</t>
        </is>
      </c>
      <c r="C905" t="inlineStr">
        <is>
          <t>黄金LOF</t>
        </is>
      </c>
      <c r="D905" t="n">
        <v>32535.0509</v>
      </c>
      <c r="E905" t="n">
        <v>32471.3758</v>
      </c>
      <c r="F905" t="n">
        <v>1.697</v>
      </c>
      <c r="G905" t="n">
        <v>63.6751</v>
      </c>
      <c r="H905" t="n">
        <v>5.521198</v>
      </c>
      <c r="I905" t="n">
        <v>5.494157</v>
      </c>
      <c r="J905" t="n">
        <v>0.027041</v>
      </c>
      <c r="K905" s="4">
        <f>IFERROR(J905/I905,"")</f>
        <v/>
      </c>
      <c r="L905" s="4">
        <f>IFERROR((D905-E905)/E905,"")</f>
        <v/>
      </c>
    </row>
    <row r="906">
      <c r="A906" t="inlineStr">
        <is>
          <t>2026-06-19</t>
        </is>
      </c>
      <c r="B906" t="inlineStr">
        <is>
          <t>164703</t>
        </is>
      </c>
      <c r="C906" t="inlineStr">
        <is>
          <t>汇添富纯债LOF</t>
        </is>
      </c>
      <c r="D906" t="n">
        <v>1366.2505</v>
      </c>
      <c r="E906" t="n">
        <v>1366.0958</v>
      </c>
      <c r="F906" t="n">
        <v>0.8673</v>
      </c>
      <c r="G906" t="n">
        <v>0.1547</v>
      </c>
      <c r="H906" t="n">
        <v>0.118495</v>
      </c>
      <c r="I906" t="n">
        <v>0.118413</v>
      </c>
      <c r="J906" t="n">
        <v>8.2e-05</v>
      </c>
      <c r="K906" s="4">
        <f>IFERROR(J906/I906,"")</f>
        <v/>
      </c>
      <c r="L906" s="4">
        <f>IFERROR((D906-E906)/E906,"")</f>
        <v/>
      </c>
    </row>
    <row r="907">
      <c r="A907" t="inlineStr">
        <is>
          <t>2026-06-19</t>
        </is>
      </c>
      <c r="B907" t="inlineStr">
        <is>
          <t>164705</t>
        </is>
      </c>
      <c r="C907" t="inlineStr">
        <is>
          <t>恒生LOF</t>
        </is>
      </c>
      <c r="D907" t="n">
        <v>4199.7455</v>
      </c>
      <c r="E907" t="n">
        <v>4199.8028</v>
      </c>
      <c r="F907" t="n">
        <v>1.0939</v>
      </c>
      <c r="G907" t="n">
        <v>-0.0573</v>
      </c>
      <c r="H907" t="n">
        <v>0.45941</v>
      </c>
      <c r="I907" t="n">
        <v>0.462608</v>
      </c>
      <c r="J907" t="n">
        <v>-0.003198</v>
      </c>
      <c r="K907" s="4">
        <f>IFERROR(J907/I907,"")</f>
        <v/>
      </c>
      <c r="L907" s="4">
        <f>IFERROR((D907-E907)/E907,"")</f>
        <v/>
      </c>
    </row>
    <row r="908">
      <c r="A908" t="inlineStr">
        <is>
          <t>2026-06-19</t>
        </is>
      </c>
      <c r="B908" t="inlineStr">
        <is>
          <t>164808</t>
        </is>
      </c>
      <c r="C908" t="inlineStr">
        <is>
          <t>工银四季LOF</t>
        </is>
      </c>
      <c r="D908" t="n">
        <v>698.747</v>
      </c>
      <c r="E908" t="n">
        <v>698.747</v>
      </c>
      <c r="F908" t="n">
        <v>1.109</v>
      </c>
      <c r="G908" t="n">
        <v>0</v>
      </c>
      <c r="H908" t="n">
        <v>0.077491</v>
      </c>
      <c r="I908" t="n">
        <v>0.077463</v>
      </c>
      <c r="J908" t="n">
        <v>2.8e-05</v>
      </c>
      <c r="K908" s="4">
        <f>IFERROR(J908/I908,"")</f>
        <v/>
      </c>
      <c r="L908" s="4">
        <f>IFERROR((D908-E908)/E908,"")</f>
        <v/>
      </c>
    </row>
    <row r="909">
      <c r="A909" t="inlineStr">
        <is>
          <t>2026-06-19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1.0244</v>
      </c>
      <c r="G909" t="n">
        <v>0</v>
      </c>
      <c r="H909" t="n">
        <v>0.273839</v>
      </c>
      <c r="I909" t="n">
        <v>0.273732</v>
      </c>
      <c r="J909" t="n">
        <v>0.000107</v>
      </c>
      <c r="K909" s="4">
        <f>IFERROR(J909/I909,"")</f>
        <v/>
      </c>
      <c r="L909" s="4">
        <f>IFERROR((D909-E909)/E909,"")</f>
        <v/>
      </c>
    </row>
    <row r="910">
      <c r="A910" t="inlineStr">
        <is>
          <t>2026-06-19</t>
        </is>
      </c>
      <c r="B910" t="inlineStr">
        <is>
          <t>164814</t>
        </is>
      </c>
      <c r="C910" t="inlineStr">
        <is>
          <t>工银双债LOF</t>
        </is>
      </c>
      <c r="D910" t="n">
        <v>106.2363</v>
      </c>
      <c r="E910" t="n">
        <v>106.5205</v>
      </c>
      <c r="F910" t="n">
        <v>1.26</v>
      </c>
      <c r="G910" t="n">
        <v>-0.2842</v>
      </c>
      <c r="H910" t="n">
        <v>0.013386</v>
      </c>
      <c r="I910" t="n">
        <v>0.013326</v>
      </c>
      <c r="J910" t="n">
        <v>6e-05</v>
      </c>
      <c r="K910" s="4">
        <f>IFERROR(J910/I910,"")</f>
        <v/>
      </c>
      <c r="L910" s="4">
        <f>IFERROR((D910-E910)/E910,"")</f>
        <v/>
      </c>
    </row>
    <row r="911">
      <c r="A911" t="inlineStr">
        <is>
          <t>2026-06-19</t>
        </is>
      </c>
      <c r="B911" t="inlineStr">
        <is>
          <t>164824</t>
        </is>
      </c>
      <c r="C911" t="inlineStr">
        <is>
          <t>印度基金LOF</t>
        </is>
      </c>
      <c r="D911" t="n">
        <v>131697.5734</v>
      </c>
      <c r="E911" t="n">
        <v>131479.6942</v>
      </c>
      <c r="F911" t="n">
        <v>1.3125</v>
      </c>
      <c r="G911" t="n">
        <v>217.8792</v>
      </c>
      <c r="H911" t="n">
        <v>17.285307</v>
      </c>
      <c r="I911" t="n">
        <v>17.208062</v>
      </c>
      <c r="J911" t="n">
        <v>0.07724499999999999</v>
      </c>
      <c r="K911" s="4">
        <f>IFERROR(J911/I911,"")</f>
        <v/>
      </c>
      <c r="L911" s="4">
        <f>IFERROR((D911-E911)/E911,"")</f>
        <v/>
      </c>
    </row>
    <row r="912">
      <c r="A912" t="inlineStr">
        <is>
          <t>2026-06-19</t>
        </is>
      </c>
      <c r="B912" t="inlineStr">
        <is>
          <t>164902</t>
        </is>
      </c>
      <c r="C912" t="inlineStr">
        <is>
          <t>交银添利LOF</t>
        </is>
      </c>
      <c r="D912" t="n">
        <v>51.4693</v>
      </c>
      <c r="E912" t="n">
        <v>51.4693</v>
      </c>
      <c r="F912" t="n">
        <v>1.1816</v>
      </c>
      <c r="G912" t="n">
        <v>0</v>
      </c>
      <c r="H912" t="n">
        <v>0.006082</v>
      </c>
      <c r="I912" t="n">
        <v>0.006073</v>
      </c>
      <c r="J912" t="n">
        <v>9e-06</v>
      </c>
      <c r="K912" s="4">
        <f>IFERROR(J912/I912,"")</f>
        <v/>
      </c>
      <c r="L912" s="4">
        <f>IFERROR((D912-E912)/E912,"")</f>
        <v/>
      </c>
    </row>
    <row r="913">
      <c r="A913" t="inlineStr">
        <is>
          <t>2026-06-19</t>
        </is>
      </c>
      <c r="B913" t="inlineStr">
        <is>
          <t>164906</t>
        </is>
      </c>
      <c r="C913" t="inlineStr">
        <is>
          <t>中概互联网LOF</t>
        </is>
      </c>
      <c r="D913" t="n">
        <v>88898.9495</v>
      </c>
      <c r="E913" t="n">
        <v>88936.78599999999</v>
      </c>
      <c r="F913" t="n">
        <v>0.9319</v>
      </c>
      <c r="G913" t="n">
        <v>-37.8365</v>
      </c>
      <c r="H913" t="n">
        <v>8.284492999999999</v>
      </c>
      <c r="I913" t="n">
        <v>8.509472000000001</v>
      </c>
      <c r="J913" t="n">
        <v>-0.224979</v>
      </c>
      <c r="K913" s="4">
        <f>IFERROR(J913/I913,"")</f>
        <v/>
      </c>
      <c r="L913" s="4">
        <f>IFERROR((D913-E913)/E913,"")</f>
        <v/>
      </c>
    </row>
    <row r="914">
      <c r="A914" t="inlineStr">
        <is>
          <t>2026-06-19</t>
        </is>
      </c>
      <c r="B914" t="inlineStr">
        <is>
          <t>165309</t>
        </is>
      </c>
      <c r="C914" t="inlineStr">
        <is>
          <t>沪深300LOF建信</t>
        </is>
      </c>
      <c r="D914" t="n">
        <v>119.9081</v>
      </c>
      <c r="E914" t="n">
        <v>121.3008</v>
      </c>
      <c r="F914" t="n">
        <v>2.0452</v>
      </c>
      <c r="G914" t="n">
        <v>-1.3927</v>
      </c>
      <c r="H914" t="n">
        <v>0.024524</v>
      </c>
      <c r="I914" t="n">
        <v>0.02458</v>
      </c>
      <c r="J914" t="n">
        <v>-5.6e-05</v>
      </c>
      <c r="K914" s="4">
        <f>IFERROR(J914/I914,"")</f>
        <v/>
      </c>
      <c r="L914" s="4">
        <f>IFERROR((D914-E914)/E914,"")</f>
        <v/>
      </c>
    </row>
    <row r="915">
      <c r="A915" t="inlineStr">
        <is>
          <t>2026-06-19</t>
        </is>
      </c>
      <c r="B915" t="inlineStr">
        <is>
          <t>165311</t>
        </is>
      </c>
      <c r="C915" t="inlineStr">
        <is>
          <t>信用债LOF</t>
        </is>
      </c>
      <c r="D915" t="n">
        <v>46.1673</v>
      </c>
      <c r="E915" t="n">
        <v>46.1673</v>
      </c>
      <c r="F915" t="n">
        <v>1.7359</v>
      </c>
      <c r="G915" t="n">
        <v>0</v>
      </c>
      <c r="H915" t="n">
        <v>0.008014</v>
      </c>
      <c r="I915" t="n">
        <v>0.008018000000000001</v>
      </c>
      <c r="J915" t="n">
        <v>-4e-06</v>
      </c>
      <c r="K915" s="4">
        <f>IFERROR(J915/I915,"")</f>
        <v/>
      </c>
      <c r="L915" s="4">
        <f>IFERROR((D915-E915)/E915,"")</f>
        <v/>
      </c>
    </row>
    <row r="916">
      <c r="A916" t="inlineStr">
        <is>
          <t>2026-06-19</t>
        </is>
      </c>
      <c r="B916" t="inlineStr">
        <is>
          <t>165313</t>
        </is>
      </c>
      <c r="C916" t="inlineStr">
        <is>
          <t>建信优势LOF</t>
        </is>
      </c>
      <c r="D916" t="n">
        <v>2614.1654</v>
      </c>
      <c r="E916" t="n">
        <v>2634.7154</v>
      </c>
      <c r="F916" t="n">
        <v>4.995</v>
      </c>
      <c r="G916" t="n">
        <v>-20.55</v>
      </c>
      <c r="H916" t="n">
        <v>1.305776</v>
      </c>
      <c r="I916" t="n">
        <v>1.275466</v>
      </c>
      <c r="J916" t="n">
        <v>0.03031</v>
      </c>
      <c r="K916" s="4">
        <f>IFERROR(J916/I916,"")</f>
        <v/>
      </c>
      <c r="L916" s="4">
        <f>IFERROR((D916-E916)/E916,"")</f>
        <v/>
      </c>
    </row>
    <row r="917">
      <c r="A917" t="inlineStr">
        <is>
          <t>2026-06-19</t>
        </is>
      </c>
      <c r="B917" t="inlineStr">
        <is>
          <t>165508</t>
        </is>
      </c>
      <c r="C917" t="inlineStr">
        <is>
          <t>中信保诚深度LOF</t>
        </is>
      </c>
      <c r="D917" t="n">
        <v>17.5783</v>
      </c>
      <c r="E917" t="n">
        <v>17.7883</v>
      </c>
      <c r="F917" t="n">
        <v>2.1089</v>
      </c>
      <c r="G917" t="n">
        <v>-0.21</v>
      </c>
      <c r="H917" t="n">
        <v>0.003707</v>
      </c>
      <c r="I917" t="n">
        <v>0.003758</v>
      </c>
      <c r="J917" t="n">
        <v>-5.1e-05</v>
      </c>
      <c r="K917" s="4">
        <f>IFERROR(J917/I917,"")</f>
        <v/>
      </c>
      <c r="L917" s="4">
        <f>IFERROR((D917-E917)/E917,"")</f>
        <v/>
      </c>
    </row>
    <row r="918">
      <c r="A918" t="inlineStr">
        <is>
          <t>2026-06-19</t>
        </is>
      </c>
      <c r="B918" t="inlineStr">
        <is>
          <t>165509</t>
        </is>
      </c>
      <c r="C918" t="inlineStr">
        <is>
          <t>中信保诚增强LOF</t>
        </is>
      </c>
      <c r="D918" t="n">
        <v>114.5085</v>
      </c>
      <c r="E918" t="n">
        <v>114.5085</v>
      </c>
      <c r="F918" t="n">
        <v>1.2631</v>
      </c>
      <c r="G918" t="n">
        <v>0</v>
      </c>
      <c r="H918" t="n">
        <v>0.014464</v>
      </c>
      <c r="I918" t="n">
        <v>0.014409</v>
      </c>
      <c r="J918" t="n">
        <v>5.5e-05</v>
      </c>
      <c r="K918" s="4">
        <f>IFERROR(J918/I918,"")</f>
        <v/>
      </c>
      <c r="L918" s="4">
        <f>IFERROR((D918-E918)/E918,"")</f>
        <v/>
      </c>
    </row>
    <row r="919">
      <c r="A919" t="inlineStr">
        <is>
          <t>2026-06-19</t>
        </is>
      </c>
      <c r="B919" t="inlineStr">
        <is>
          <t>165511</t>
        </is>
      </c>
      <c r="C919" t="inlineStr">
        <is>
          <t>中信保诚500LOF</t>
        </is>
      </c>
      <c r="D919" t="n">
        <v>958.4716</v>
      </c>
      <c r="E919" t="n">
        <v>956.7397</v>
      </c>
      <c r="F919" t="n">
        <v>2.4078</v>
      </c>
      <c r="G919" t="n">
        <v>1.7319</v>
      </c>
      <c r="H919" t="n">
        <v>0.230781</v>
      </c>
      <c r="I919" t="n">
        <v>0.227283</v>
      </c>
      <c r="J919" t="n">
        <v>0.003498</v>
      </c>
      <c r="K919" s="4">
        <f>IFERROR(J919/I919,"")</f>
        <v/>
      </c>
      <c r="L919" s="4">
        <f>IFERROR((D919-E919)/E919,"")</f>
        <v/>
      </c>
    </row>
    <row r="920">
      <c r="A920" t="inlineStr">
        <is>
          <t>2026-06-19</t>
        </is>
      </c>
      <c r="B920" t="inlineStr">
        <is>
          <t>165512</t>
        </is>
      </c>
      <c r="C920" t="inlineStr">
        <is>
          <t>中信保诚机遇LOF</t>
        </is>
      </c>
      <c r="D920" t="n">
        <v>30.3049</v>
      </c>
      <c r="E920" t="n">
        <v>27.1875</v>
      </c>
      <c r="F920" t="n">
        <v>1.2321</v>
      </c>
      <c r="G920" t="n">
        <v>3.1174</v>
      </c>
      <c r="H920" t="n">
        <v>0.003734</v>
      </c>
      <c r="I920" t="n">
        <v>0.003364</v>
      </c>
      <c r="J920" t="n">
        <v>0.00037</v>
      </c>
      <c r="K920" s="4">
        <f>IFERROR(J920/I920,"")</f>
        <v/>
      </c>
      <c r="L920" s="4">
        <f>IFERROR((D920-E920)/E920,"")</f>
        <v/>
      </c>
    </row>
    <row r="921">
      <c r="A921" t="inlineStr">
        <is>
          <t>2026-06-19</t>
        </is>
      </c>
      <c r="B921" t="inlineStr">
        <is>
          <t>165513</t>
        </is>
      </c>
      <c r="C921" t="inlineStr">
        <is>
          <t>中信保诚商品LOF</t>
        </is>
      </c>
      <c r="D921" t="n">
        <v>4353.5795</v>
      </c>
      <c r="E921" t="n">
        <v>4361.2052</v>
      </c>
      <c r="F921" t="n">
        <v>1.0279</v>
      </c>
      <c r="G921" t="n">
        <v>-7.6257</v>
      </c>
      <c r="H921" t="n">
        <v>0.447504</v>
      </c>
      <c r="I921" t="n">
        <v>0.447111</v>
      </c>
      <c r="J921" t="n">
        <v>0.000393</v>
      </c>
      <c r="K921" s="4">
        <f>IFERROR(J921/I921,"")</f>
        <v/>
      </c>
      <c r="L921" s="4">
        <f>IFERROR((D921-E921)/E921,"")</f>
        <v/>
      </c>
    </row>
    <row r="922">
      <c r="A922" t="inlineStr">
        <is>
          <t>2026-06-19</t>
        </is>
      </c>
      <c r="B922" t="inlineStr">
        <is>
          <t>165515</t>
        </is>
      </c>
      <c r="C922" t="inlineStr">
        <is>
          <t>中信保诚300LOF</t>
        </is>
      </c>
      <c r="D922" t="n">
        <v>1820.9967</v>
      </c>
      <c r="E922" t="n">
        <v>1824.9678</v>
      </c>
      <c r="F922" t="n">
        <v>1.3744</v>
      </c>
      <c r="G922" t="n">
        <v>-3.9711</v>
      </c>
      <c r="H922" t="n">
        <v>0.250278</v>
      </c>
      <c r="I922" t="n">
        <v>0.248524</v>
      </c>
      <c r="J922" t="n">
        <v>0.001754</v>
      </c>
      <c r="K922" s="4">
        <f>IFERROR(J922/I922,"")</f>
        <v/>
      </c>
      <c r="L922" s="4">
        <f>IFERROR((D922-E922)/E922,"")</f>
        <v/>
      </c>
    </row>
    <row r="923">
      <c r="A923" t="inlineStr">
        <is>
          <t>2026-06-19</t>
        </is>
      </c>
      <c r="B923" t="inlineStr">
        <is>
          <t>165516</t>
        </is>
      </c>
      <c r="C923" t="inlineStr">
        <is>
          <t>中信保诚周期LOF</t>
        </is>
      </c>
      <c r="D923" t="n">
        <v>419.3998</v>
      </c>
      <c r="E923" t="n">
        <v>419.4569</v>
      </c>
      <c r="F923" t="n">
        <v>8.801299999999999</v>
      </c>
      <c r="G923" t="n">
        <v>-0.0571</v>
      </c>
      <c r="H923" t="n">
        <v>0.369126</v>
      </c>
      <c r="I923" t="n">
        <v>0.364575</v>
      </c>
      <c r="J923" t="n">
        <v>0.004551</v>
      </c>
      <c r="K923" s="4">
        <f>IFERROR(J923/I923,"")</f>
        <v/>
      </c>
      <c r="L923" s="4">
        <f>IFERROR((D923-E923)/E923,"")</f>
        <v/>
      </c>
    </row>
    <row r="924">
      <c r="A924" t="inlineStr">
        <is>
          <t>2026-06-19</t>
        </is>
      </c>
      <c r="B924" t="inlineStr">
        <is>
          <t>165517</t>
        </is>
      </c>
      <c r="C924" t="inlineStr">
        <is>
          <t>中信保诚双盈LOF</t>
        </is>
      </c>
      <c r="D924" t="n">
        <v>234.2073</v>
      </c>
      <c r="E924" t="n">
        <v>234.2073</v>
      </c>
      <c r="F924" t="n">
        <v>1.0477</v>
      </c>
      <c r="G924" t="n">
        <v>0</v>
      </c>
      <c r="H924" t="n">
        <v>0.024538</v>
      </c>
      <c r="I924" t="n">
        <v>0.024554</v>
      </c>
      <c r="J924" t="n">
        <v>-1.6e-05</v>
      </c>
      <c r="K924" s="4">
        <f>IFERROR(J924/I924,"")</f>
        <v/>
      </c>
      <c r="L924" s="4">
        <f>IFERROR((D924-E924)/E924,"")</f>
        <v/>
      </c>
    </row>
    <row r="925">
      <c r="A925" t="inlineStr">
        <is>
          <t>2026-06-19</t>
        </is>
      </c>
      <c r="B925" t="inlineStr">
        <is>
          <t>165519</t>
        </is>
      </c>
      <c r="C925" t="inlineStr">
        <is>
          <t>医药生物科技LOF</t>
        </is>
      </c>
      <c r="D925" t="n">
        <v>1029.7487</v>
      </c>
      <c r="E925" t="n">
        <v>1029.9164</v>
      </c>
      <c r="F925" t="n">
        <v>0.8965</v>
      </c>
      <c r="G925" t="n">
        <v>-0.1677</v>
      </c>
      <c r="H925" t="n">
        <v>0.092317</v>
      </c>
      <c r="I925" t="n">
        <v>0.09286800000000001</v>
      </c>
      <c r="J925" t="n">
        <v>-0.0005509999999999999</v>
      </c>
      <c r="K925" s="4">
        <f>IFERROR(J925/I925,"")</f>
        <v/>
      </c>
      <c r="L925" s="4">
        <f>IFERROR((D925-E925)/E925,"")</f>
        <v/>
      </c>
    </row>
    <row r="926">
      <c r="A926" t="inlineStr">
        <is>
          <t>2026-06-19</t>
        </is>
      </c>
      <c r="B926" t="inlineStr">
        <is>
          <t>165520</t>
        </is>
      </c>
      <c r="C926" t="inlineStr">
        <is>
          <t>有色LOF</t>
        </is>
      </c>
      <c r="D926" t="n">
        <v>2232.8182</v>
      </c>
      <c r="E926" t="n">
        <v>2260.2369</v>
      </c>
      <c r="F926" t="n">
        <v>3.0064</v>
      </c>
      <c r="G926" t="n">
        <v>-27.4187</v>
      </c>
      <c r="H926" t="n">
        <v>0.671274</v>
      </c>
      <c r="I926" t="n">
        <v>0.681868</v>
      </c>
      <c r="J926" t="n">
        <v>-0.010594</v>
      </c>
      <c r="K926" s="4">
        <f>IFERROR(J926/I926,"")</f>
        <v/>
      </c>
      <c r="L926" s="4">
        <f>IFERROR((D926-E926)/E926,"")</f>
        <v/>
      </c>
    </row>
    <row r="927">
      <c r="A927" t="inlineStr">
        <is>
          <t>2026-06-19</t>
        </is>
      </c>
      <c r="B927" t="inlineStr">
        <is>
          <t>165521</t>
        </is>
      </c>
      <c r="C927" t="inlineStr">
        <is>
          <t>金融LOF</t>
        </is>
      </c>
      <c r="D927" t="n">
        <v>5980.8783</v>
      </c>
      <c r="E927" t="n">
        <v>5981.0783</v>
      </c>
      <c r="F927" t="n">
        <v>1.2254</v>
      </c>
      <c r="G927" t="n">
        <v>-0.2</v>
      </c>
      <c r="H927" t="n">
        <v>0.732897</v>
      </c>
      <c r="I927" t="n">
        <v>0.737228</v>
      </c>
      <c r="J927" t="n">
        <v>-0.004331</v>
      </c>
      <c r="K927" s="4">
        <f>IFERROR(J927/I927,"")</f>
        <v/>
      </c>
      <c r="L927" s="4">
        <f>IFERROR((D927-E927)/E927,"")</f>
        <v/>
      </c>
    </row>
    <row r="928">
      <c r="A928" t="inlineStr">
        <is>
          <t>2026-06-19</t>
        </is>
      </c>
      <c r="B928" t="inlineStr">
        <is>
          <t>165522</t>
        </is>
      </c>
      <c r="C928" t="inlineStr">
        <is>
          <t>TMTLOF</t>
        </is>
      </c>
      <c r="D928" t="n">
        <v>816.9283</v>
      </c>
      <c r="E928" t="n">
        <v>813.6202</v>
      </c>
      <c r="F928" t="n">
        <v>1.5516</v>
      </c>
      <c r="G928" t="n">
        <v>3.3081</v>
      </c>
      <c r="H928" t="n">
        <v>0.126755</v>
      </c>
      <c r="I928" t="n">
        <v>0.122726</v>
      </c>
      <c r="J928" t="n">
        <v>0.004029</v>
      </c>
      <c r="K928" s="4">
        <f>IFERROR(J928/I928,"")</f>
        <v/>
      </c>
      <c r="L928" s="4">
        <f>IFERROR((D928-E928)/E928,"")</f>
        <v/>
      </c>
    </row>
    <row r="929">
      <c r="A929" t="inlineStr">
        <is>
          <t>2026-06-19</t>
        </is>
      </c>
      <c r="B929" t="inlineStr">
        <is>
          <t>165525</t>
        </is>
      </c>
      <c r="C929" t="inlineStr">
        <is>
          <t>基建工程LOF</t>
        </is>
      </c>
      <c r="D929" t="n">
        <v>6762.2521</v>
      </c>
      <c r="E929" t="n">
        <v>6765.2365</v>
      </c>
      <c r="F929" t="n">
        <v>0.7596000000000001</v>
      </c>
      <c r="G929" t="n">
        <v>-2.9844</v>
      </c>
      <c r="H929" t="n">
        <v>0.513661</v>
      </c>
      <c r="I929" t="n">
        <v>0.500763</v>
      </c>
      <c r="J929" t="n">
        <v>0.012898</v>
      </c>
      <c r="K929" s="4">
        <f>IFERROR(J929/I929,"")</f>
        <v/>
      </c>
      <c r="L929" s="4">
        <f>IFERROR((D929-E929)/E929,"")</f>
        <v/>
      </c>
    </row>
    <row r="930">
      <c r="A930" t="inlineStr">
        <is>
          <t>2026-06-19</t>
        </is>
      </c>
      <c r="B930" t="inlineStr">
        <is>
          <t>165528</t>
        </is>
      </c>
      <c r="C930" t="inlineStr">
        <is>
          <t>中信保诚鼎利LOF</t>
        </is>
      </c>
      <c r="D930" t="n">
        <v>892.5531</v>
      </c>
      <c r="E930" t="n">
        <v>892.7963</v>
      </c>
      <c r="F930" t="n">
        <v>3.1791</v>
      </c>
      <c r="G930" t="n">
        <v>-0.2432</v>
      </c>
      <c r="H930" t="n">
        <v>0.283752</v>
      </c>
      <c r="I930" t="n">
        <v>0.275035</v>
      </c>
      <c r="J930" t="n">
        <v>0.008717000000000001</v>
      </c>
      <c r="K930" s="4">
        <f>IFERROR(J930/I930,"")</f>
        <v/>
      </c>
      <c r="L930" s="4">
        <f>IFERROR((D930-E930)/E930,"")</f>
        <v/>
      </c>
    </row>
    <row r="931">
      <c r="A931" t="inlineStr">
        <is>
          <t>2026-06-19</t>
        </is>
      </c>
      <c r="B931" t="inlineStr">
        <is>
          <t>166001</t>
        </is>
      </c>
      <c r="C931" t="inlineStr">
        <is>
          <t>中欧趋势LOF</t>
        </is>
      </c>
      <c r="D931" t="n">
        <v>3526.7841</v>
      </c>
      <c r="E931" t="n">
        <v>3581.2709</v>
      </c>
      <c r="F931" t="n">
        <v>1.6883</v>
      </c>
      <c r="G931" t="n">
        <v>-54.4868</v>
      </c>
      <c r="H931" t="n">
        <v>0.595427</v>
      </c>
      <c r="I931" t="n">
        <v>0.603444</v>
      </c>
      <c r="J931" t="n">
        <v>-0.008017</v>
      </c>
      <c r="K931" s="4">
        <f>IFERROR(J931/I931,"")</f>
        <v/>
      </c>
      <c r="L931" s="4">
        <f>IFERROR((D931-E931)/E931,"")</f>
        <v/>
      </c>
    </row>
    <row r="932">
      <c r="A932" t="inlineStr">
        <is>
          <t>2026-06-19</t>
        </is>
      </c>
      <c r="B932" t="inlineStr">
        <is>
          <t>166006</t>
        </is>
      </c>
      <c r="C932" t="inlineStr">
        <is>
          <t>中欧成长LOF</t>
        </is>
      </c>
      <c r="D932" t="n">
        <v>975.3162</v>
      </c>
      <c r="E932" t="n">
        <v>975.3162</v>
      </c>
      <c r="F932" t="n">
        <v>2.5086</v>
      </c>
      <c r="G932" t="n">
        <v>0</v>
      </c>
      <c r="H932" t="n">
        <v>0.244668</v>
      </c>
      <c r="I932" t="n">
        <v>0.243127</v>
      </c>
      <c r="J932" t="n">
        <v>0.001541</v>
      </c>
      <c r="K932" s="4">
        <f>IFERROR(J932/I932,"")</f>
        <v/>
      </c>
      <c r="L932" s="4">
        <f>IFERROR((D932-E932)/E932,"")</f>
        <v/>
      </c>
    </row>
    <row r="933">
      <c r="A933" t="inlineStr">
        <is>
          <t>2026-06-19</t>
        </is>
      </c>
      <c r="B933" t="inlineStr">
        <is>
          <t>166008</t>
        </is>
      </c>
      <c r="C933" t="inlineStr">
        <is>
          <t>中欧强债LOF</t>
        </is>
      </c>
      <c r="D933" t="n">
        <v>88.0363</v>
      </c>
      <c r="E933" t="n">
        <v>88.0363</v>
      </c>
      <c r="F933" t="n">
        <v>1.1489</v>
      </c>
      <c r="G933" t="n">
        <v>0</v>
      </c>
      <c r="H933" t="n">
        <v>0.010114</v>
      </c>
      <c r="I933" t="n">
        <v>0.010119</v>
      </c>
      <c r="J933" t="n">
        <v>-5e-06</v>
      </c>
      <c r="K933" s="4">
        <f>IFERROR(J933/I933,"")</f>
        <v/>
      </c>
      <c r="L933" s="4">
        <f>IFERROR((D933-E933)/E933,"")</f>
        <v/>
      </c>
    </row>
    <row r="934">
      <c r="A934" t="inlineStr">
        <is>
          <t>2026-06-19</t>
        </is>
      </c>
      <c r="B934" t="inlineStr">
        <is>
          <t>166009</t>
        </is>
      </c>
      <c r="C934" t="inlineStr">
        <is>
          <t>中欧动力LOF</t>
        </is>
      </c>
      <c r="D934" t="n">
        <v>84.22190000000001</v>
      </c>
      <c r="E934" t="n">
        <v>84.22190000000001</v>
      </c>
      <c r="F934" t="n">
        <v>3.7069</v>
      </c>
      <c r="G934" t="n">
        <v>0</v>
      </c>
      <c r="H934" t="n">
        <v>0.03122</v>
      </c>
      <c r="I934" t="n">
        <v>0.030912</v>
      </c>
      <c r="J934" t="n">
        <v>0.000308</v>
      </c>
      <c r="K934" s="4">
        <f>IFERROR(J934/I934,"")</f>
        <v/>
      </c>
      <c r="L934" s="4">
        <f>IFERROR((D934-E934)/E934,"")</f>
        <v/>
      </c>
    </row>
    <row r="935">
      <c r="A935" t="inlineStr">
        <is>
          <t>2026-06-19</t>
        </is>
      </c>
      <c r="B935" t="inlineStr">
        <is>
          <t>166011</t>
        </is>
      </c>
      <c r="C935" t="inlineStr">
        <is>
          <t>中欧盛世LOF</t>
        </is>
      </c>
      <c r="D935" t="n">
        <v>612.3561</v>
      </c>
      <c r="E935" t="n">
        <v>612.2669</v>
      </c>
      <c r="F935" t="n">
        <v>2.2073</v>
      </c>
      <c r="G935" t="n">
        <v>0.0892</v>
      </c>
      <c r="H935" t="n">
        <v>0.135165</v>
      </c>
      <c r="I935" t="n">
        <v>0.135813</v>
      </c>
      <c r="J935" t="n">
        <v>-0.000648</v>
      </c>
      <c r="K935" s="4">
        <f>IFERROR(J935/I935,"")</f>
        <v/>
      </c>
      <c r="L935" s="4">
        <f>IFERROR((D935-E935)/E935,"")</f>
        <v/>
      </c>
    </row>
    <row r="936">
      <c r="A936" t="inlineStr">
        <is>
          <t>2026-06-19</t>
        </is>
      </c>
      <c r="B936" t="inlineStr">
        <is>
          <t>166016</t>
        </is>
      </c>
      <c r="C936" t="inlineStr">
        <is>
          <t>中欧纯债LOF</t>
        </is>
      </c>
      <c r="D936" t="n">
        <v>510.9096</v>
      </c>
      <c r="E936" t="n">
        <v>563.3137</v>
      </c>
      <c r="F936" t="n">
        <v>1.1212</v>
      </c>
      <c r="G936" t="n">
        <v>-52.4041</v>
      </c>
      <c r="H936" t="n">
        <v>0.057283</v>
      </c>
      <c r="I936" t="n">
        <v>0.06313100000000001</v>
      </c>
      <c r="J936" t="n">
        <v>-0.005848</v>
      </c>
      <c r="K936" s="4">
        <f>IFERROR(J936/I936,"")</f>
        <v/>
      </c>
      <c r="L936" s="4">
        <f>IFERROR((D936-E936)/E936,"")</f>
        <v/>
      </c>
    </row>
    <row r="937">
      <c r="A937" t="inlineStr">
        <is>
          <t>2026-06-19</t>
        </is>
      </c>
      <c r="B937" t="inlineStr">
        <is>
          <t>166023</t>
        </is>
      </c>
      <c r="C937" t="inlineStr">
        <is>
          <t>中欧瑞丰LOF</t>
        </is>
      </c>
      <c r="D937" t="n">
        <v>732.7378</v>
      </c>
      <c r="E937" t="n">
        <v>737.2678</v>
      </c>
      <c r="F937" t="n">
        <v>1.5949</v>
      </c>
      <c r="G937" t="n">
        <v>-4.53</v>
      </c>
      <c r="H937" t="n">
        <v>0.116864</v>
      </c>
      <c r="I937" t="n">
        <v>0.115876</v>
      </c>
      <c r="J937" t="n">
        <v>0.0009879999999999999</v>
      </c>
      <c r="K937" s="4">
        <f>IFERROR(J937/I937,"")</f>
        <v/>
      </c>
      <c r="L937" s="4">
        <f>IFERROR((D937-E937)/E937,"")</f>
        <v/>
      </c>
    </row>
    <row r="938">
      <c r="A938" t="inlineStr">
        <is>
          <t>2026-06-19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1.1145</v>
      </c>
      <c r="G938" t="n">
        <v>0</v>
      </c>
      <c r="H938" t="n">
        <v>0.958255</v>
      </c>
      <c r="I938" t="n">
        <v>0.952666</v>
      </c>
      <c r="J938" t="n">
        <v>0.005589</v>
      </c>
      <c r="K938" s="4">
        <f>IFERROR(J938/I938,"")</f>
        <v/>
      </c>
      <c r="L938" s="4">
        <f>IFERROR((D938-E938)/E938,"")</f>
        <v/>
      </c>
    </row>
    <row r="939">
      <c r="A939" t="inlineStr">
        <is>
          <t>2026-06-19</t>
        </is>
      </c>
      <c r="B939" t="inlineStr">
        <is>
          <t>166025</t>
        </is>
      </c>
      <c r="C939" t="inlineStr">
        <is>
          <t>中欧远见定开</t>
        </is>
      </c>
      <c r="D939" t="n">
        <v>6247.8957</v>
      </c>
      <c r="E939" t="n">
        <v>6247.8957</v>
      </c>
      <c r="F939" t="n">
        <v>0.6922</v>
      </c>
      <c r="G939" t="n">
        <v>0</v>
      </c>
      <c r="H939" t="n">
        <v>0.432479</v>
      </c>
      <c r="I939" t="n">
        <v>0.432792</v>
      </c>
      <c r="J939" t="n">
        <v>-0.000313</v>
      </c>
      <c r="K939" s="4">
        <f>IFERROR(J939/I939,"")</f>
        <v/>
      </c>
      <c r="L939" s="4">
        <f>IFERROR((D939-E939)/E939,"")</f>
        <v/>
      </c>
    </row>
    <row r="940">
      <c r="A940" t="inlineStr">
        <is>
          <t>2026-06-19</t>
        </is>
      </c>
      <c r="B940" t="inlineStr">
        <is>
          <t>166027</t>
        </is>
      </c>
      <c r="C940" t="inlineStr">
        <is>
          <t>中欧创业定开</t>
        </is>
      </c>
      <c r="D940" t="n">
        <v>7748.0322</v>
      </c>
      <c r="E940" t="n">
        <v>7746.0554</v>
      </c>
      <c r="F940" t="n">
        <v>0.9936</v>
      </c>
      <c r="G940" t="n">
        <v>1.9768</v>
      </c>
      <c r="H940" t="n">
        <v>0.769844</v>
      </c>
      <c r="I940" t="n">
        <v>0.766007</v>
      </c>
      <c r="J940" t="n">
        <v>0.003837</v>
      </c>
      <c r="K940" s="4">
        <f>IFERROR(J940/I940,"")</f>
        <v/>
      </c>
      <c r="L940" s="4">
        <f>IFERROR((D940-E940)/E940,"")</f>
        <v/>
      </c>
    </row>
    <row r="941">
      <c r="A941" t="inlineStr">
        <is>
          <t>2026-06-19</t>
        </is>
      </c>
      <c r="B941" t="inlineStr">
        <is>
          <t>166105</t>
        </is>
      </c>
      <c r="C941" t="inlineStr">
        <is>
          <t>信澳鑫安LOF</t>
        </is>
      </c>
      <c r="D941" t="n">
        <v>54.1602</v>
      </c>
      <c r="E941" t="n">
        <v>54.9892</v>
      </c>
      <c r="F941" t="n">
        <v>0.995</v>
      </c>
      <c r="G941" t="n">
        <v>-0.829</v>
      </c>
      <c r="H941" t="n">
        <v>0.005389</v>
      </c>
      <c r="I941" t="n">
        <v>0.005488</v>
      </c>
      <c r="J941" t="n">
        <v>-9.899999999999999e-05</v>
      </c>
      <c r="K941" s="4">
        <f>IFERROR(J941/I941,"")</f>
        <v/>
      </c>
      <c r="L941" s="4">
        <f>IFERROR((D941-E941)/E941,"")</f>
        <v/>
      </c>
    </row>
    <row r="942">
      <c r="A942" t="inlineStr">
        <is>
          <t>2026-06-19</t>
        </is>
      </c>
      <c r="B942" t="inlineStr">
        <is>
          <t>166107</t>
        </is>
      </c>
      <c r="C942" t="inlineStr">
        <is>
          <t>多因子LOF</t>
        </is>
      </c>
      <c r="D942" t="n">
        <v>122.2321</v>
      </c>
      <c r="E942" t="n">
        <v>122.2321</v>
      </c>
      <c r="F942" t="n">
        <v>1.5669</v>
      </c>
      <c r="G942" t="n">
        <v>0</v>
      </c>
      <c r="H942" t="n">
        <v>0.019153</v>
      </c>
      <c r="I942" t="n">
        <v>0.019021</v>
      </c>
      <c r="J942" t="n">
        <v>0.000132</v>
      </c>
      <c r="K942" s="4">
        <f>IFERROR(J942/I942,"")</f>
        <v/>
      </c>
      <c r="L942" s="4">
        <f>IFERROR((D942-E942)/E942,"")</f>
        <v/>
      </c>
    </row>
    <row r="943">
      <c r="A943" t="inlineStr">
        <is>
          <t>2026-06-19</t>
        </is>
      </c>
      <c r="B943" t="inlineStr">
        <is>
          <t>166401</t>
        </is>
      </c>
      <c r="C943" t="inlineStr">
        <is>
          <t>稳健增利LOF</t>
        </is>
      </c>
      <c r="D943" t="n">
        <v>105.5133</v>
      </c>
      <c r="E943" t="n">
        <v>106.3614</v>
      </c>
      <c r="F943" t="n">
        <v>1.1371</v>
      </c>
      <c r="G943" t="n">
        <v>-0.8481</v>
      </c>
      <c r="H943" t="n">
        <v>0.011998</v>
      </c>
      <c r="I943" t="n">
        <v>0.01209</v>
      </c>
      <c r="J943" t="n">
        <v>-9.2e-05</v>
      </c>
      <c r="K943" s="4">
        <f>IFERROR(J943/I943,"")</f>
        <v/>
      </c>
      <c r="L943" s="4">
        <f>IFERROR((D943-E943)/E943,"")</f>
        <v/>
      </c>
    </row>
    <row r="944">
      <c r="A944" t="inlineStr">
        <is>
          <t>2026-06-19</t>
        </is>
      </c>
      <c r="B944" t="inlineStr">
        <is>
          <t>167001</t>
        </is>
      </c>
      <c r="C944" t="inlineStr">
        <is>
          <t>鼎泰LOF</t>
        </is>
      </c>
      <c r="D944" t="n">
        <v>978.6279</v>
      </c>
      <c r="E944" t="n">
        <v>979.0279</v>
      </c>
      <c r="F944" t="n">
        <v>1.9706</v>
      </c>
      <c r="G944" t="n">
        <v>-0.4</v>
      </c>
      <c r="H944" t="n">
        <v>0.192848</v>
      </c>
      <c r="I944" t="n">
        <v>0.190254</v>
      </c>
      <c r="J944" t="n">
        <v>0.002594</v>
      </c>
      <c r="K944" s="4">
        <f>IFERROR(J944/I944,"")</f>
        <v/>
      </c>
      <c r="L944" s="4">
        <f>IFERROR((D944-E944)/E944,"")</f>
        <v/>
      </c>
    </row>
    <row r="945">
      <c r="A945" t="inlineStr">
        <is>
          <t>2026-06-19</t>
        </is>
      </c>
      <c r="B945" t="inlineStr">
        <is>
          <t>167002</t>
        </is>
      </c>
      <c r="C945" t="inlineStr">
        <is>
          <t>鼎越LOF</t>
        </is>
      </c>
      <c r="D945" t="n">
        <v>712.0669</v>
      </c>
      <c r="E945" t="n">
        <v>713.1653</v>
      </c>
      <c r="F945" t="n">
        <v>6.7063</v>
      </c>
      <c r="G945" t="n">
        <v>-1.0984</v>
      </c>
      <c r="H945" t="n">
        <v>0.477533</v>
      </c>
      <c r="I945" t="n">
        <v>0.460669</v>
      </c>
      <c r="J945" t="n">
        <v>0.016864</v>
      </c>
      <c r="K945" s="4">
        <f>IFERROR(J945/I945,"")</f>
        <v/>
      </c>
      <c r="L945" s="4">
        <f>IFERROR((D945-E945)/E945,"")</f>
        <v/>
      </c>
    </row>
    <row r="946">
      <c r="A946" t="inlineStr">
        <is>
          <t>2026-06-19</t>
        </is>
      </c>
      <c r="B946" t="inlineStr">
        <is>
          <t>167003</t>
        </is>
      </c>
      <c r="C946" t="inlineStr">
        <is>
          <t>鼎弘LOF</t>
        </is>
      </c>
      <c r="D946" t="n">
        <v>254.8854</v>
      </c>
      <c r="E946" t="n">
        <v>261.6345</v>
      </c>
      <c r="F946" t="n">
        <v>1.1816</v>
      </c>
      <c r="G946" t="n">
        <v>-6.7491</v>
      </c>
      <c r="H946" t="n">
        <v>0.030117</v>
      </c>
      <c r="I946" t="n">
        <v>0.030781</v>
      </c>
      <c r="J946" t="n">
        <v>-0.000664</v>
      </c>
      <c r="K946" s="4">
        <f>IFERROR(J946/I946,"")</f>
        <v/>
      </c>
      <c r="L946" s="4">
        <f>IFERROR((D946-E946)/E946,"")</f>
        <v/>
      </c>
    </row>
    <row r="947">
      <c r="A947" t="inlineStr">
        <is>
          <t>2026-06-19</t>
        </is>
      </c>
      <c r="B947" t="inlineStr">
        <is>
          <t>167301</t>
        </is>
      </c>
      <c r="C947" t="inlineStr">
        <is>
          <t>保险主题LOF</t>
        </is>
      </c>
      <c r="D947" t="n">
        <v>34429.2937</v>
      </c>
      <c r="E947" t="n">
        <v>33751.3925</v>
      </c>
      <c r="F947" t="n">
        <v>1.025</v>
      </c>
      <c r="G947" t="n">
        <v>677.9012</v>
      </c>
      <c r="H947" t="n">
        <v>3.529003</v>
      </c>
      <c r="I947" t="n">
        <v>3.479769</v>
      </c>
      <c r="J947" t="n">
        <v>0.049234</v>
      </c>
      <c r="K947" s="4">
        <f>IFERROR(J947/I947,"")</f>
        <v/>
      </c>
      <c r="L947" s="4">
        <f>IFERROR((D947-E947)/E947,"")</f>
        <v/>
      </c>
    </row>
    <row r="948">
      <c r="A948" t="inlineStr">
        <is>
          <t>2026-06-19</t>
        </is>
      </c>
      <c r="B948" t="inlineStr">
        <is>
          <t>167302</t>
        </is>
      </c>
      <c r="C948" t="inlineStr">
        <is>
          <t>大湾区LOF</t>
        </is>
      </c>
      <c r="D948" t="n">
        <v>97.0675</v>
      </c>
      <c r="E948" t="n">
        <v>97.28749999999999</v>
      </c>
      <c r="F948" t="n">
        <v>1.0437</v>
      </c>
      <c r="G948" t="n">
        <v>-0.22</v>
      </c>
      <c r="H948" t="n">
        <v>0.010131</v>
      </c>
      <c r="I948" t="n">
        <v>0.010119</v>
      </c>
      <c r="J948" t="n">
        <v>1.2e-05</v>
      </c>
      <c r="K948" s="4">
        <f>IFERROR(J948/I948,"")</f>
        <v/>
      </c>
      <c r="L948" s="4">
        <f>IFERROR((D948-E948)/E948,"")</f>
        <v/>
      </c>
    </row>
    <row r="949">
      <c r="A949" t="inlineStr">
        <is>
          <t>2026-06-19</t>
        </is>
      </c>
      <c r="B949" t="inlineStr">
        <is>
          <t>167501</t>
        </is>
      </c>
      <c r="C949" t="inlineStr">
        <is>
          <t>安信宝利债券LOF</t>
        </is>
      </c>
      <c r="D949" t="n">
        <v>230.0707</v>
      </c>
      <c r="E949" t="n">
        <v>230.4585</v>
      </c>
      <c r="F949" t="n">
        <v>1.0598</v>
      </c>
      <c r="G949" t="n">
        <v>-0.3878</v>
      </c>
      <c r="H949" t="n">
        <v>0.024383</v>
      </c>
      <c r="I949" t="n">
        <v>0.024426</v>
      </c>
      <c r="J949" t="n">
        <v>-4.3e-05</v>
      </c>
      <c r="K949" s="4">
        <f>IFERROR(J949/I949,"")</f>
        <v/>
      </c>
      <c r="L949" s="4">
        <f>IFERROR((D949-E949)/E949,"")</f>
        <v/>
      </c>
    </row>
    <row r="950">
      <c r="A950" t="inlineStr">
        <is>
          <t>2026-06-19</t>
        </is>
      </c>
      <c r="B950" t="inlineStr">
        <is>
          <t>167506</t>
        </is>
      </c>
      <c r="C950" t="inlineStr">
        <is>
          <t>安信深圳科技LOF</t>
        </is>
      </c>
      <c r="D950" t="n">
        <v>273.4203</v>
      </c>
      <c r="E950" t="n">
        <v>273.4202</v>
      </c>
      <c r="F950" t="n">
        <v>1.9058</v>
      </c>
      <c r="G950" t="n">
        <v>0.0001</v>
      </c>
      <c r="H950" t="n">
        <v>0.052108</v>
      </c>
      <c r="I950" t="n">
        <v>0.051469</v>
      </c>
      <c r="J950" t="n">
        <v>0.000639</v>
      </c>
      <c r="K950" s="4">
        <f>IFERROR(J950/I950,"")</f>
        <v/>
      </c>
      <c r="L950" s="4">
        <f>IFERROR((D950-E950)/E950,"")</f>
        <v/>
      </c>
    </row>
    <row r="951">
      <c r="A951" t="inlineStr">
        <is>
          <t>2026-06-19</t>
        </is>
      </c>
      <c r="B951" t="inlineStr">
        <is>
          <t>167508</t>
        </is>
      </c>
      <c r="C951" t="inlineStr">
        <is>
          <t>安信价值发现定开</t>
        </is>
      </c>
      <c r="D951" t="n">
        <v>2170.4192</v>
      </c>
      <c r="E951" t="n">
        <v>2170.4192</v>
      </c>
      <c r="F951" t="n">
        <v>1.6859</v>
      </c>
      <c r="G951" t="n">
        <v>0</v>
      </c>
      <c r="H951" t="n">
        <v>0.365911</v>
      </c>
      <c r="I951" t="n">
        <v>0.369145</v>
      </c>
      <c r="J951" t="n">
        <v>-0.003234</v>
      </c>
      <c r="K951" s="4">
        <f>IFERROR(J951/I951,"")</f>
        <v/>
      </c>
      <c r="L951" s="4">
        <f>IFERROR((D951-E951)/E951,"")</f>
        <v/>
      </c>
    </row>
    <row r="952">
      <c r="A952" t="inlineStr">
        <is>
          <t>2026-06-19</t>
        </is>
      </c>
      <c r="B952" t="inlineStr">
        <is>
          <t>168101</t>
        </is>
      </c>
      <c r="C952" t="inlineStr">
        <is>
          <t>九泰锐智LOF</t>
        </is>
      </c>
      <c r="D952" t="n">
        <v>449.771</v>
      </c>
      <c r="E952" t="n">
        <v>454.091</v>
      </c>
      <c r="F952" t="n">
        <v>1.372</v>
      </c>
      <c r="G952" t="n">
        <v>-4.32</v>
      </c>
      <c r="H952" t="n">
        <v>0.061709</v>
      </c>
      <c r="I952" t="n">
        <v>0.062483</v>
      </c>
      <c r="J952" t="n">
        <v>-0.0007739999999999999</v>
      </c>
      <c r="K952" s="4">
        <f>IFERROR(J952/I952,"")</f>
        <v/>
      </c>
      <c r="L952" s="4">
        <f>IFERROR((D952-E952)/E952,"")</f>
        <v/>
      </c>
    </row>
    <row r="953">
      <c r="A953" t="inlineStr">
        <is>
          <t>2026-06-19</t>
        </is>
      </c>
      <c r="B953" t="inlineStr">
        <is>
          <t>168102</t>
        </is>
      </c>
      <c r="C953" t="inlineStr">
        <is>
          <t>九泰锐富LOF</t>
        </is>
      </c>
      <c r="D953" t="n">
        <v>806.1545</v>
      </c>
      <c r="E953" t="n">
        <v>806.1545</v>
      </c>
      <c r="F953" t="n">
        <v>1.078</v>
      </c>
      <c r="G953" t="n">
        <v>0</v>
      </c>
      <c r="H953" t="n">
        <v>0.08690299999999999</v>
      </c>
      <c r="I953" t="n">
        <v>0.087468</v>
      </c>
      <c r="J953" t="n">
        <v>-0.000565</v>
      </c>
      <c r="K953" s="4">
        <f>IFERROR(J953/I953,"")</f>
        <v/>
      </c>
      <c r="L953" s="4">
        <f>IFERROR((D953-E953)/E953,"")</f>
        <v/>
      </c>
    </row>
    <row r="954">
      <c r="A954" t="inlineStr">
        <is>
          <t>2026-06-19</t>
        </is>
      </c>
      <c r="B954" t="inlineStr">
        <is>
          <t>168103</t>
        </is>
      </c>
      <c r="C954" t="inlineStr">
        <is>
          <t>九泰锐益LOF</t>
        </is>
      </c>
      <c r="D954" t="n">
        <v>4604.6545</v>
      </c>
      <c r="E954" t="n">
        <v>4604.6545</v>
      </c>
      <c r="F954" t="n">
        <v>1.393</v>
      </c>
      <c r="G954" t="n">
        <v>0</v>
      </c>
      <c r="H954" t="n">
        <v>0.641428</v>
      </c>
      <c r="I954" t="n">
        <v>0.6423489999999999</v>
      </c>
      <c r="J954" t="n">
        <v>-0.0009210000000000001</v>
      </c>
      <c r="K954" s="4">
        <f>IFERROR(J954/I954,"")</f>
        <v/>
      </c>
      <c r="L954" s="4">
        <f>IFERROR((D954-E954)/E954,"")</f>
        <v/>
      </c>
    </row>
    <row r="955">
      <c r="A955" t="inlineStr">
        <is>
          <t>2026-06-19</t>
        </is>
      </c>
      <c r="B955" t="inlineStr">
        <is>
          <t>168104</t>
        </is>
      </c>
      <c r="C955" t="inlineStr">
        <is>
          <t>九泰锐丰LOF</t>
        </is>
      </c>
      <c r="D955" t="n">
        <v>95.6686</v>
      </c>
      <c r="E955" t="n">
        <v>95.6686</v>
      </c>
      <c r="F955" t="n">
        <v>0.7889</v>
      </c>
      <c r="G955" t="n">
        <v>0</v>
      </c>
      <c r="H955" t="n">
        <v>0.007547</v>
      </c>
      <c r="I955" t="n">
        <v>0.007589</v>
      </c>
      <c r="J955" t="n">
        <v>-4.2e-05</v>
      </c>
      <c r="K955" s="4">
        <f>IFERROR(J955/I955,"")</f>
        <v/>
      </c>
      <c r="L955" s="4">
        <f>IFERROR((D955-E955)/E955,"")</f>
        <v/>
      </c>
    </row>
    <row r="956">
      <c r="A956" t="inlineStr">
        <is>
          <t>2026-06-19</t>
        </is>
      </c>
      <c r="B956" t="inlineStr">
        <is>
          <t>168105</t>
        </is>
      </c>
      <c r="C956" t="inlineStr">
        <is>
          <t>九泰泰富LOF</t>
        </is>
      </c>
      <c r="D956" t="n">
        <v>513.4098</v>
      </c>
      <c r="E956" t="n">
        <v>513.1436</v>
      </c>
      <c r="F956" t="n">
        <v>2.6709</v>
      </c>
      <c r="G956" t="n">
        <v>0.2662</v>
      </c>
      <c r="H956" t="n">
        <v>0.137127</v>
      </c>
      <c r="I956" t="n">
        <v>0.131888</v>
      </c>
      <c r="J956" t="n">
        <v>0.005239</v>
      </c>
      <c r="K956" s="4">
        <f>IFERROR(J956/I956,"")</f>
        <v/>
      </c>
      <c r="L956" s="4">
        <f>IFERROR((D956-E956)/E956,"")</f>
        <v/>
      </c>
    </row>
    <row r="957">
      <c r="A957" t="inlineStr">
        <is>
          <t>2026-06-19</t>
        </is>
      </c>
      <c r="B957" t="inlineStr">
        <is>
          <t>168203</t>
        </is>
      </c>
      <c r="C957" t="inlineStr">
        <is>
          <t>钢铁LOF</t>
        </is>
      </c>
      <c r="D957" t="n">
        <v>294.3836</v>
      </c>
      <c r="E957" t="n">
        <v>296.1527</v>
      </c>
      <c r="F957" t="n">
        <v>1.21</v>
      </c>
      <c r="G957" t="n">
        <v>-1.7691</v>
      </c>
      <c r="H957" t="n">
        <v>0.03562</v>
      </c>
      <c r="I957" t="n">
        <v>0.036456</v>
      </c>
      <c r="J957" t="n">
        <v>-0.000836</v>
      </c>
      <c r="K957" s="4">
        <f>IFERROR(J957/I957,"")</f>
        <v/>
      </c>
      <c r="L957" s="4">
        <f>IFERROR((D957-E957)/E957,"")</f>
        <v/>
      </c>
    </row>
    <row r="958">
      <c r="A958" t="inlineStr">
        <is>
          <t>2026-06-19</t>
        </is>
      </c>
      <c r="B958" t="inlineStr">
        <is>
          <t>168204</t>
        </is>
      </c>
      <c r="C958" t="inlineStr">
        <is>
          <t>煤炭LOF</t>
        </is>
      </c>
      <c r="D958" t="n">
        <v>1627.9045</v>
      </c>
      <c r="E958" t="n">
        <v>1655.8447</v>
      </c>
      <c r="F958" t="n">
        <v>2.013</v>
      </c>
      <c r="G958" t="n">
        <v>-27.9402</v>
      </c>
      <c r="H958" t="n">
        <v>0.327697</v>
      </c>
      <c r="I958" t="n">
        <v>0.341932</v>
      </c>
      <c r="J958" t="n">
        <v>-0.014235</v>
      </c>
      <c r="K958" s="4">
        <f>IFERROR(J958/I958,"")</f>
        <v/>
      </c>
      <c r="L958" s="4">
        <f>IFERROR((D958-E958)/E958,"")</f>
        <v/>
      </c>
    </row>
    <row r="959">
      <c r="A959" t="inlineStr">
        <is>
          <t>2026-06-19</t>
        </is>
      </c>
      <c r="B959" t="inlineStr">
        <is>
          <t>168301</t>
        </is>
      </c>
      <c r="C959" t="inlineStr">
        <is>
          <t>东海祥龙LOF</t>
        </is>
      </c>
      <c r="D959" t="n">
        <v>336.0605</v>
      </c>
      <c r="E959" t="n">
        <v>336.0605</v>
      </c>
      <c r="F959" t="n">
        <v>0.8584000000000001</v>
      </c>
      <c r="G959" t="n">
        <v>0</v>
      </c>
      <c r="H959" t="n">
        <v>0.028847</v>
      </c>
      <c r="I959" t="n">
        <v>0.028629</v>
      </c>
      <c r="J959" t="n">
        <v>0.000218</v>
      </c>
      <c r="K959" s="4">
        <f>IFERROR(J959/I959,"")</f>
        <v/>
      </c>
      <c r="L959" s="4">
        <f>IFERROR((D959-E959)/E959,"")</f>
        <v/>
      </c>
    </row>
    <row r="960">
      <c r="A960" t="inlineStr">
        <is>
          <t>2026-06-19</t>
        </is>
      </c>
      <c r="B960" t="inlineStr">
        <is>
          <t>168401</t>
        </is>
      </c>
      <c r="C960" t="inlineStr">
        <is>
          <t>红土创新精选LOF</t>
        </is>
      </c>
      <c r="D960" t="n">
        <v>1044.6863</v>
      </c>
      <c r="E960" t="n">
        <v>1026.9673</v>
      </c>
      <c r="F960" t="n">
        <v>7.9922</v>
      </c>
      <c r="G960" t="n">
        <v>17.719</v>
      </c>
      <c r="H960" t="n">
        <v>0.834934</v>
      </c>
      <c r="I960" t="n">
        <v>0.795396</v>
      </c>
      <c r="J960" t="n">
        <v>0.039538</v>
      </c>
      <c r="K960" s="4">
        <f>IFERROR(J960/I960,"")</f>
        <v/>
      </c>
      <c r="L960" s="4">
        <f>IFERROR((D960-E960)/E960,"")</f>
        <v/>
      </c>
    </row>
    <row r="961">
      <c r="A961" t="inlineStr">
        <is>
          <t>2026-06-19</t>
        </is>
      </c>
      <c r="B961" t="inlineStr">
        <is>
          <t>168701</t>
        </is>
      </c>
      <c r="C961" t="inlineStr">
        <is>
          <t>金融科技LOF</t>
        </is>
      </c>
      <c r="D961" t="n">
        <v>1088.9476</v>
      </c>
      <c r="E961" t="n">
        <v>1097.4145</v>
      </c>
      <c r="F961" t="n">
        <v>0.9971</v>
      </c>
      <c r="G961" t="n">
        <v>-8.466900000000001</v>
      </c>
      <c r="H961" t="n">
        <v>0.108579</v>
      </c>
      <c r="I961" t="n">
        <v>0.109544</v>
      </c>
      <c r="J961" t="n">
        <v>-0.000965</v>
      </c>
      <c r="K961" s="4">
        <f>IFERROR(J961/I961,"")</f>
        <v/>
      </c>
      <c r="L961" s="4">
        <f>IFERROR((D961-E961)/E961,"")</f>
        <v/>
      </c>
    </row>
    <row r="962">
      <c r="A962" t="inlineStr">
        <is>
          <t>2026-06-19</t>
        </is>
      </c>
      <c r="B962" t="inlineStr">
        <is>
          <t>169101</t>
        </is>
      </c>
      <c r="C962" t="inlineStr">
        <is>
          <t>东方红睿丰LOF</t>
        </is>
      </c>
      <c r="D962" t="n">
        <v>2469.9534</v>
      </c>
      <c r="E962" t="n">
        <v>2470.5334</v>
      </c>
      <c r="F962" t="n">
        <v>2.703</v>
      </c>
      <c r="G962" t="n">
        <v>-0.58</v>
      </c>
      <c r="H962" t="n">
        <v>0.667628</v>
      </c>
      <c r="I962" t="n">
        <v>0.652962</v>
      </c>
      <c r="J962" t="n">
        <v>0.014666</v>
      </c>
      <c r="K962" s="4">
        <f>IFERROR(J962/I962,"")</f>
        <v/>
      </c>
      <c r="L962" s="4">
        <f>IFERROR((D962-E962)/E962,"")</f>
        <v/>
      </c>
    </row>
    <row r="963">
      <c r="A963" t="inlineStr">
        <is>
          <t>2026-06-19</t>
        </is>
      </c>
      <c r="B963" t="inlineStr">
        <is>
          <t>169104</t>
        </is>
      </c>
      <c r="C963" t="inlineStr">
        <is>
          <t>东方红睿满LOF</t>
        </is>
      </c>
      <c r="D963" t="n">
        <v>1025.4009</v>
      </c>
      <c r="E963" t="n">
        <v>1025.4209</v>
      </c>
      <c r="F963" t="n">
        <v>3.216</v>
      </c>
      <c r="G963" t="n">
        <v>-0.02</v>
      </c>
      <c r="H963" t="n">
        <v>0.329769</v>
      </c>
      <c r="I963" t="n">
        <v>0.324956</v>
      </c>
      <c r="J963" t="n">
        <v>0.004813</v>
      </c>
      <c r="K963" s="4">
        <f>IFERROR(J963/I963,"")</f>
        <v/>
      </c>
      <c r="L963" s="4">
        <f>IFERROR((D963-E963)/E963,"")</f>
        <v/>
      </c>
    </row>
    <row r="964">
      <c r="A964" t="inlineStr">
        <is>
          <t>2026-06-19</t>
        </is>
      </c>
      <c r="B964" t="inlineStr">
        <is>
          <t>169105</t>
        </is>
      </c>
      <c r="C964" t="inlineStr">
        <is>
          <t>东方红睿华LOF</t>
        </is>
      </c>
      <c r="D964" t="n">
        <v>3376.0347</v>
      </c>
      <c r="E964" t="n">
        <v>3376.0347</v>
      </c>
      <c r="F964" t="n">
        <v>2.1565</v>
      </c>
      <c r="G964" t="n">
        <v>0</v>
      </c>
      <c r="H964" t="n">
        <v>0.728042</v>
      </c>
      <c r="I964" t="n">
        <v>0.714943</v>
      </c>
      <c r="J964" t="n">
        <v>0.013099</v>
      </c>
      <c r="K964" s="4">
        <f>IFERROR(J964/I964,"")</f>
        <v/>
      </c>
      <c r="L964" s="4">
        <f>IFERROR((D964-E964)/E964,"")</f>
        <v/>
      </c>
    </row>
    <row r="965">
      <c r="A965" t="inlineStr">
        <is>
          <t>2026-06-19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1.1136</v>
      </c>
      <c r="G965" t="n">
        <v>0</v>
      </c>
      <c r="H965" t="n">
        <v>0.609858</v>
      </c>
      <c r="I965" t="n">
        <v>0.608434</v>
      </c>
      <c r="J965" t="n">
        <v>0.001424</v>
      </c>
      <c r="K965" s="4">
        <f>IFERROR(J965/I965,"")</f>
        <v/>
      </c>
      <c r="L965" s="4">
        <f>IFERROR((D965-E965)/E965,"")</f>
        <v/>
      </c>
    </row>
    <row r="966">
      <c r="A966" t="inlineStr">
        <is>
          <t>2026-06-19</t>
        </is>
      </c>
      <c r="B966" t="inlineStr">
        <is>
          <t>169201</t>
        </is>
      </c>
      <c r="C966" t="inlineStr">
        <is>
          <t>浙商鼎盈LOF</t>
        </is>
      </c>
      <c r="D966" t="n">
        <v>127.7017</v>
      </c>
      <c r="E966" t="n">
        <v>123.5948</v>
      </c>
      <c r="F966" t="n">
        <v>2.318</v>
      </c>
      <c r="G966" t="n">
        <v>4.1069</v>
      </c>
      <c r="H966" t="n">
        <v>0.029601</v>
      </c>
      <c r="I966" t="n">
        <v>0.028365</v>
      </c>
      <c r="J966" t="n">
        <v>0.001236</v>
      </c>
      <c r="K966" s="4">
        <f>IFERROR(J966/I966,"")</f>
        <v/>
      </c>
      <c r="L966" s="4">
        <f>IFERROR((D966-E966)/E966,"")</f>
        <v/>
      </c>
    </row>
    <row r="967">
      <c r="A967" t="inlineStr">
        <is>
          <t>2026-06-19</t>
        </is>
      </c>
      <c r="B967" t="inlineStr">
        <is>
          <t>510010</t>
        </is>
      </c>
      <c r="C967" t="inlineStr">
        <is>
          <t>180治理ETF交银</t>
        </is>
      </c>
      <c r="D967" t="n">
        <v>13352.44</v>
      </c>
      <c r="E967" t="n">
        <v>13352.44</v>
      </c>
      <c r="F967" t="n">
        <v>1.691</v>
      </c>
      <c r="G967" t="n">
        <v>0</v>
      </c>
      <c r="H967" t="n">
        <v>2.257897</v>
      </c>
      <c r="I967" t="n">
        <v>2.307093</v>
      </c>
      <c r="J967" t="n">
        <v>-0.049196</v>
      </c>
      <c r="K967" s="4">
        <f>IFERROR(J967/I967,"")</f>
        <v/>
      </c>
      <c r="L967" s="4">
        <f>IFERROR((D967-E967)/E967,"")</f>
        <v/>
      </c>
    </row>
    <row r="968">
      <c r="A968" t="inlineStr">
        <is>
          <t>2026-06-19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3.871</v>
      </c>
      <c r="G968" t="n">
        <v>0</v>
      </c>
      <c r="H968" t="n">
        <v>1.387676</v>
      </c>
      <c r="I968" t="n">
        <v>1.380507</v>
      </c>
      <c r="J968" t="n">
        <v>0.007169</v>
      </c>
      <c r="K968" s="4">
        <f>IFERROR(J968/I968,"")</f>
        <v/>
      </c>
      <c r="L968" s="4">
        <f>IFERROR((D968-E968)/E968,"")</f>
        <v/>
      </c>
    </row>
    <row r="969">
      <c r="A969" t="inlineStr">
        <is>
          <t>2026-06-19</t>
        </is>
      </c>
      <c r="B969" t="inlineStr">
        <is>
          <t>510030</t>
        </is>
      </c>
      <c r="C969" t="inlineStr">
        <is>
          <t>价值ETF华宝</t>
        </is>
      </c>
      <c r="D969" t="n">
        <v>16122.98</v>
      </c>
      <c r="E969" t="n">
        <v>15872.98</v>
      </c>
      <c r="F969" t="n">
        <v>0.992</v>
      </c>
      <c r="G969" t="n">
        <v>250</v>
      </c>
      <c r="H969" t="n">
        <v>1.5746</v>
      </c>
      <c r="I969" t="n">
        <v>1.624144</v>
      </c>
      <c r="J969" t="n">
        <v>-0.049544</v>
      </c>
      <c r="K969" s="4">
        <f>IFERROR(J969/I969,"")</f>
        <v/>
      </c>
      <c r="L969" s="4">
        <f>IFERROR((D969-E969)/E969,"")</f>
        <v/>
      </c>
    </row>
    <row r="970">
      <c r="A970" t="inlineStr">
        <is>
          <t>2026-06-19</t>
        </is>
      </c>
      <c r="B970" t="inlineStr">
        <is>
          <t>510040</t>
        </is>
      </c>
      <c r="C970" t="inlineStr">
        <is>
          <t>上证180ETF鹏华</t>
        </is>
      </c>
      <c r="D970" t="n">
        <v>3248</v>
      </c>
      <c r="E970" t="n">
        <v>3248</v>
      </c>
      <c r="F970" t="n">
        <v>1.192</v>
      </c>
      <c r="G970" t="n">
        <v>0</v>
      </c>
      <c r="H970" t="n">
        <v>0.387162</v>
      </c>
      <c r="I970" t="n">
        <v>0.387811</v>
      </c>
      <c r="J970" t="n">
        <v>-0.0006489999999999999</v>
      </c>
      <c r="K970" s="4">
        <f>IFERROR(J970/I970,"")</f>
        <v/>
      </c>
      <c r="L970" s="4">
        <f>IFERROR((D970-E970)/E970,"")</f>
        <v/>
      </c>
    </row>
    <row r="971">
      <c r="A971" t="inlineStr">
        <is>
          <t>2026-06-19</t>
        </is>
      </c>
      <c r="B971" t="inlineStr">
        <is>
          <t>510050</t>
        </is>
      </c>
      <c r="C971" t="inlineStr">
        <is>
          <t>上证50ETF华夏</t>
        </is>
      </c>
      <c r="D971" t="n">
        <v>769926.6800000001</v>
      </c>
      <c r="E971" t="n">
        <v>775956.6800000001</v>
      </c>
      <c r="F971" t="n">
        <v>3.017</v>
      </c>
      <c r="G971" t="n">
        <v>-6030</v>
      </c>
      <c r="H971" t="n">
        <v>234.106129</v>
      </c>
      <c r="I971" t="n">
        <v>251.154528</v>
      </c>
      <c r="J971" t="n">
        <v>-17.048399</v>
      </c>
      <c r="K971" s="4">
        <f>IFERROR(J971/I971,"")</f>
        <v/>
      </c>
      <c r="L971" s="4">
        <f>IFERROR((D971-E971)/E971,"")</f>
        <v/>
      </c>
    </row>
    <row r="972">
      <c r="A972" t="inlineStr">
        <is>
          <t>2026-06-19</t>
        </is>
      </c>
      <c r="B972" t="inlineStr">
        <is>
          <t>510060</t>
        </is>
      </c>
      <c r="C972" t="inlineStr">
        <is>
          <t>央企ETF工银</t>
        </is>
      </c>
      <c r="D972" t="n">
        <v>3695.92</v>
      </c>
      <c r="E972" t="n">
        <v>3695.92</v>
      </c>
      <c r="F972" t="n">
        <v>2.518</v>
      </c>
      <c r="G972" t="n">
        <v>0</v>
      </c>
      <c r="H972" t="n">
        <v>0.930633</v>
      </c>
      <c r="I972" t="n">
        <v>0.946156</v>
      </c>
      <c r="J972" t="n">
        <v>-0.015523</v>
      </c>
      <c r="K972" s="4">
        <f>IFERROR(J972/I972,"")</f>
        <v/>
      </c>
      <c r="L972" s="4">
        <f>IFERROR((D972-E972)/E972,"")</f>
        <v/>
      </c>
    </row>
    <row r="973">
      <c r="A973" t="inlineStr">
        <is>
          <t>2026-06-19</t>
        </is>
      </c>
      <c r="B973" t="inlineStr">
        <is>
          <t>510090</t>
        </is>
      </c>
      <c r="C973" t="inlineStr">
        <is>
          <t>责任ETF建信</t>
        </is>
      </c>
      <c r="D973" t="n">
        <v>2608.11</v>
      </c>
      <c r="E973" t="n">
        <v>2608.11</v>
      </c>
      <c r="F973" t="n">
        <v>2.455</v>
      </c>
      <c r="G973" t="n">
        <v>0</v>
      </c>
      <c r="H973" t="n">
        <v>0.6402910000000001</v>
      </c>
      <c r="I973" t="n">
        <v>0.649681</v>
      </c>
      <c r="J973" t="n">
        <v>-0.009390000000000001</v>
      </c>
      <c r="K973" s="4">
        <f>IFERROR(J973/I973,"")</f>
        <v/>
      </c>
      <c r="L973" s="4">
        <f>IFERROR((D973-E973)/E973,"")</f>
        <v/>
      </c>
    </row>
    <row r="974">
      <c r="A974" t="inlineStr">
        <is>
          <t>2026-06-19</t>
        </is>
      </c>
      <c r="B974" t="inlineStr">
        <is>
          <t>510100</t>
        </is>
      </c>
      <c r="C974" t="inlineStr">
        <is>
          <t>上证50ETF易方达</t>
        </is>
      </c>
      <c r="D974" t="n">
        <v>120290.68</v>
      </c>
      <c r="E974" t="n">
        <v>118130.68</v>
      </c>
      <c r="F974" t="n">
        <v>2.961</v>
      </c>
      <c r="G974" t="n">
        <v>2160</v>
      </c>
      <c r="H974" t="n">
        <v>34.978495</v>
      </c>
      <c r="I974" t="n">
        <v>35.831263</v>
      </c>
      <c r="J974" t="n">
        <v>-0.852768</v>
      </c>
      <c r="K974" s="4">
        <f>IFERROR(J974/I974,"")</f>
        <v/>
      </c>
      <c r="L974" s="4">
        <f>IFERROR((D974-E974)/E974,"")</f>
        <v/>
      </c>
    </row>
    <row r="975">
      <c r="A975" t="inlineStr">
        <is>
          <t>2026-06-19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3188.51</v>
      </c>
      <c r="F975" t="n">
        <v>7.558</v>
      </c>
      <c r="G975" t="n">
        <v>-40</v>
      </c>
      <c r="H975" t="n">
        <v>2.409875</v>
      </c>
      <c r="I975" t="n">
        <v>2.415295</v>
      </c>
      <c r="J975" t="n">
        <v>-0.00542</v>
      </c>
      <c r="K975" s="4">
        <f>IFERROR(J975/I975,"")</f>
        <v/>
      </c>
      <c r="L975" s="4">
        <f>IFERROR((D975-E975)/E975,"")</f>
        <v/>
      </c>
    </row>
    <row r="976">
      <c r="A976" t="inlineStr">
        <is>
          <t>2026-06-19</t>
        </is>
      </c>
      <c r="B976" t="inlineStr">
        <is>
          <t>510150</t>
        </is>
      </c>
      <c r="C976" t="inlineStr">
        <is>
          <t>消费ETF招商</t>
        </is>
      </c>
      <c r="D976" t="n">
        <v>303517.86</v>
      </c>
      <c r="E976" t="n">
        <v>304717.86</v>
      </c>
      <c r="F976" t="n">
        <v>0.458</v>
      </c>
      <c r="G976" t="n">
        <v>-1200</v>
      </c>
      <c r="H976" t="n">
        <v>13.956078</v>
      </c>
      <c r="I976" t="n">
        <v>13.928598</v>
      </c>
      <c r="J976" t="n">
        <v>0.02748</v>
      </c>
      <c r="K976" s="4">
        <f>IFERROR(J976/I976,"")</f>
        <v/>
      </c>
      <c r="L976" s="4">
        <f>IFERROR((D976-E976)/E976,"")</f>
        <v/>
      </c>
    </row>
    <row r="977">
      <c r="A977" t="inlineStr">
        <is>
          <t>2026-06-19</t>
        </is>
      </c>
      <c r="B977" t="inlineStr">
        <is>
          <t>510160</t>
        </is>
      </c>
      <c r="C977" t="inlineStr">
        <is>
          <t>产业升级ETF南方</t>
        </is>
      </c>
      <c r="D977" t="n">
        <v>19605.74</v>
      </c>
      <c r="E977" t="n">
        <v>19605.74</v>
      </c>
      <c r="F977" t="n">
        <v>0.866</v>
      </c>
      <c r="G977" t="n">
        <v>0</v>
      </c>
      <c r="H977" t="n">
        <v>1.697857</v>
      </c>
      <c r="I977" t="n">
        <v>1.729226</v>
      </c>
      <c r="J977" t="n">
        <v>-0.031369</v>
      </c>
      <c r="K977" s="4">
        <f>IFERROR(J977/I977,"")</f>
        <v/>
      </c>
      <c r="L977" s="4">
        <f>IFERROR((D977-E977)/E977,"")</f>
        <v/>
      </c>
    </row>
    <row r="978">
      <c r="A978" t="inlineStr">
        <is>
          <t>2026-06-19</t>
        </is>
      </c>
      <c r="B978" t="inlineStr">
        <is>
          <t>510170</t>
        </is>
      </c>
      <c r="C978" t="inlineStr">
        <is>
          <t>大宗商品ETF国联安</t>
        </is>
      </c>
      <c r="D978" t="n">
        <v>39291.48</v>
      </c>
      <c r="E978" t="n">
        <v>39091.48</v>
      </c>
      <c r="F978" t="n">
        <v>1.436</v>
      </c>
      <c r="G978" t="n">
        <v>200</v>
      </c>
      <c r="H978" t="n">
        <v>5.613537</v>
      </c>
      <c r="I978" t="n">
        <v>5.61593</v>
      </c>
      <c r="J978" t="n">
        <v>-0.002393</v>
      </c>
      <c r="K978" s="4">
        <f>IFERROR(J978/I978,"")</f>
        <v/>
      </c>
      <c r="L978" s="4">
        <f>IFERROR((D978-E978)/E978,"")</f>
        <v/>
      </c>
    </row>
    <row r="979">
      <c r="A979" t="inlineStr">
        <is>
          <t>2026-06-19</t>
        </is>
      </c>
      <c r="B979" t="inlineStr">
        <is>
          <t>510180</t>
        </is>
      </c>
      <c r="C979" t="inlineStr">
        <is>
          <t>上证180ETF华安</t>
        </is>
      </c>
      <c r="D979" t="n">
        <v>466305.77</v>
      </c>
      <c r="E979" t="n">
        <v>471005.77</v>
      </c>
      <c r="F979" t="n">
        <v>4.097</v>
      </c>
      <c r="G979" t="n">
        <v>-4700</v>
      </c>
      <c r="H979" t="n">
        <v>192.971063</v>
      </c>
      <c r="I979" t="n">
        <v>194.317536</v>
      </c>
      <c r="J979" t="n">
        <v>-1.346473</v>
      </c>
      <c r="K979" s="4">
        <f>IFERROR(J979/I979,"")</f>
        <v/>
      </c>
      <c r="L979" s="4">
        <f>IFERROR((D979-E979)/E979,"")</f>
        <v/>
      </c>
    </row>
    <row r="980">
      <c r="A980" t="inlineStr">
        <is>
          <t>2026-06-19</t>
        </is>
      </c>
      <c r="B980" t="inlineStr">
        <is>
          <t>510190</t>
        </is>
      </c>
      <c r="C980" t="inlineStr">
        <is>
          <t>上证50ETF华安</t>
        </is>
      </c>
      <c r="D980" t="n">
        <v>2565.08</v>
      </c>
      <c r="E980" t="n">
        <v>2565.08</v>
      </c>
      <c r="F980" t="n">
        <v>4.298</v>
      </c>
      <c r="G980" t="n">
        <v>0</v>
      </c>
      <c r="H980" t="n">
        <v>1.102471</v>
      </c>
      <c r="I980" t="n">
        <v>1.101958</v>
      </c>
      <c r="J980" t="n">
        <v>0.000513</v>
      </c>
      <c r="K980" s="4">
        <f>IFERROR(J980/I980,"")</f>
        <v/>
      </c>
      <c r="L980" s="4">
        <f>IFERROR((D980-E980)/E980,"")</f>
        <v/>
      </c>
    </row>
    <row r="981">
      <c r="A981" t="inlineStr">
        <is>
          <t>2026-06-19</t>
        </is>
      </c>
      <c r="B981" t="inlineStr">
        <is>
          <t>510200</t>
        </is>
      </c>
      <c r="C981" t="inlineStr">
        <is>
          <t>上证券商ETF汇安</t>
        </is>
      </c>
      <c r="D981" t="n">
        <v>15988.55</v>
      </c>
      <c r="E981" t="n">
        <v>15988.55</v>
      </c>
      <c r="F981" t="n">
        <v>1.144</v>
      </c>
      <c r="G981" t="n">
        <v>0</v>
      </c>
      <c r="H981" t="n">
        <v>1.829091</v>
      </c>
      <c r="I981" t="n">
        <v>1.883452</v>
      </c>
      <c r="J981" t="n">
        <v>-0.054361</v>
      </c>
      <c r="K981" s="4">
        <f>IFERROR(J981/I981,"")</f>
        <v/>
      </c>
      <c r="L981" s="4">
        <f>IFERROR((D981-E981)/E981,"")</f>
        <v/>
      </c>
    </row>
    <row r="982">
      <c r="A982" t="inlineStr">
        <is>
          <t>2026-06-19</t>
        </is>
      </c>
      <c r="B982" t="inlineStr">
        <is>
          <t>510210</t>
        </is>
      </c>
      <c r="C982" t="inlineStr">
        <is>
          <t>上证指数ETF富国</t>
        </is>
      </c>
      <c r="D982" t="n">
        <v>824319.26</v>
      </c>
      <c r="E982" t="n">
        <v>806619.26</v>
      </c>
      <c r="F982" t="n">
        <v>1.028</v>
      </c>
      <c r="G982" t="n">
        <v>17700</v>
      </c>
      <c r="H982" t="n">
        <v>82.92046000000001</v>
      </c>
      <c r="I982" t="n">
        <v>83.323769</v>
      </c>
      <c r="J982" t="n">
        <v>-0.403309</v>
      </c>
      <c r="K982" s="4">
        <f>IFERROR(J982/I982,"")</f>
        <v/>
      </c>
      <c r="L982" s="4">
        <f>IFERROR((D982-E982)/E982,"")</f>
        <v/>
      </c>
    </row>
    <row r="983">
      <c r="A983" t="inlineStr">
        <is>
          <t>2026-06-19</t>
        </is>
      </c>
      <c r="B983" t="inlineStr">
        <is>
          <t>510230</t>
        </is>
      </c>
      <c r="C983" t="inlineStr">
        <is>
          <t>金融ETF国泰</t>
        </is>
      </c>
      <c r="D983" t="n">
        <v>191980.8</v>
      </c>
      <c r="E983" t="n">
        <v>196280.8</v>
      </c>
      <c r="F983" t="n">
        <v>1.242</v>
      </c>
      <c r="G983" t="n">
        <v>-4300</v>
      </c>
      <c r="H983" t="n">
        <v>24.378076</v>
      </c>
      <c r="I983" t="n">
        <v>26.358055</v>
      </c>
      <c r="J983" t="n">
        <v>-1.979979</v>
      </c>
      <c r="K983" s="4">
        <f>IFERROR(J983/I983,"")</f>
        <v/>
      </c>
      <c r="L983" s="4">
        <f>IFERROR((D983-E983)/E983,"")</f>
        <v/>
      </c>
    </row>
    <row r="984">
      <c r="A984" t="inlineStr">
        <is>
          <t>2026-06-19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1.482</v>
      </c>
      <c r="G984" t="n">
        <v>0</v>
      </c>
      <c r="H984" t="n">
        <v>0.234631</v>
      </c>
      <c r="I984" t="n">
        <v>0.238906</v>
      </c>
      <c r="J984" t="n">
        <v>-0.004275</v>
      </c>
      <c r="K984" s="4">
        <f>IFERROR(J984/I984,"")</f>
        <v/>
      </c>
      <c r="L984" s="4">
        <f>IFERROR((D984-E984)/E984,"")</f>
        <v/>
      </c>
    </row>
    <row r="985">
      <c r="A985" t="inlineStr">
        <is>
          <t>2026-06-19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2.783</v>
      </c>
      <c r="G985" t="n">
        <v>0</v>
      </c>
      <c r="H985" t="n">
        <v>1.570973</v>
      </c>
      <c r="I985" t="n">
        <v>1.56928</v>
      </c>
      <c r="J985" t="n">
        <v>0.001693</v>
      </c>
      <c r="K985" s="4">
        <f>IFERROR(J985/I985,"")</f>
        <v/>
      </c>
      <c r="L985" s="4">
        <f>IFERROR((D985-E985)/E985,"")</f>
        <v/>
      </c>
    </row>
    <row r="986">
      <c r="A986" t="inlineStr">
        <is>
          <t>2026-06-19</t>
        </is>
      </c>
      <c r="B986" t="inlineStr">
        <is>
          <t>510300</t>
        </is>
      </c>
      <c r="C986" t="inlineStr">
        <is>
          <t>沪深300ETF华泰柏瑞</t>
        </is>
      </c>
      <c r="D986" t="n">
        <v>2652708.77</v>
      </c>
      <c r="E986" t="n">
        <v>2708238.77</v>
      </c>
      <c r="F986" t="n">
        <v>4.984</v>
      </c>
      <c r="G986" t="n">
        <v>-55530</v>
      </c>
      <c r="H986" t="n">
        <v>1349.786202</v>
      </c>
      <c r="I986" t="n">
        <v>1386.786696</v>
      </c>
      <c r="J986" t="n">
        <v>-37.000494</v>
      </c>
      <c r="K986" s="4">
        <f>IFERROR(J986/I986,"")</f>
        <v/>
      </c>
      <c r="L986" s="4">
        <f>IFERROR((D986-E986)/E986,"")</f>
        <v/>
      </c>
    </row>
    <row r="987">
      <c r="A987" t="inlineStr">
        <is>
          <t>2026-06-19</t>
        </is>
      </c>
      <c r="B987" t="inlineStr">
        <is>
          <t>510310</t>
        </is>
      </c>
      <c r="C987" t="inlineStr">
        <is>
          <t>沪深300ETF易方达</t>
        </is>
      </c>
      <c r="D987" t="n">
        <v>1900054.4</v>
      </c>
      <c r="E987" t="n">
        <v>1951084.4</v>
      </c>
      <c r="F987" t="n">
        <v>4.828</v>
      </c>
      <c r="G987" t="n">
        <v>-51030</v>
      </c>
      <c r="H987" t="n">
        <v>941.983549</v>
      </c>
      <c r="I987" t="n">
        <v>988.384851</v>
      </c>
      <c r="J987" t="n">
        <v>-46.401302</v>
      </c>
      <c r="K987" s="4">
        <f>IFERROR(J987/I987,"")</f>
        <v/>
      </c>
      <c r="L987" s="4">
        <f>IFERROR((D987-E987)/E987,"")</f>
        <v/>
      </c>
    </row>
    <row r="988">
      <c r="A988" t="inlineStr">
        <is>
          <t>2026-06-19</t>
        </is>
      </c>
      <c r="B988" t="inlineStr">
        <is>
          <t>510320</t>
        </is>
      </c>
      <c r="C988" t="inlineStr">
        <is>
          <t>沪深300ETF中金</t>
        </is>
      </c>
      <c r="D988" t="n">
        <v>59206.85</v>
      </c>
      <c r="E988" t="n">
        <v>59206.85</v>
      </c>
      <c r="F988" t="n">
        <v>1.338</v>
      </c>
      <c r="G988" t="n">
        <v>0</v>
      </c>
      <c r="H988" t="n">
        <v>7.921876</v>
      </c>
      <c r="I988" t="n">
        <v>7.920361</v>
      </c>
      <c r="J988" t="n">
        <v>0.001515</v>
      </c>
      <c r="K988" s="4">
        <f>IFERROR(J988/I988,"")</f>
        <v/>
      </c>
      <c r="L988" s="4">
        <f>IFERROR((D988-E988)/E988,"")</f>
        <v/>
      </c>
    </row>
    <row r="989">
      <c r="A989" t="inlineStr">
        <is>
          <t>2026-06-19</t>
        </is>
      </c>
      <c r="B989" t="inlineStr">
        <is>
          <t>510330</t>
        </is>
      </c>
      <c r="C989" t="inlineStr">
        <is>
          <t>沪深300ETF华夏</t>
        </is>
      </c>
      <c r="D989" t="n">
        <v>1288914.98</v>
      </c>
      <c r="E989" t="n">
        <v>1317084.98</v>
      </c>
      <c r="F989" t="n">
        <v>5.191</v>
      </c>
      <c r="G989" t="n">
        <v>-28170</v>
      </c>
      <c r="H989" t="n">
        <v>683.698815</v>
      </c>
      <c r="I989" t="n">
        <v>694.731229</v>
      </c>
      <c r="J989" t="n">
        <v>-11.032414</v>
      </c>
      <c r="K989" s="4">
        <f>IFERROR(J989/I989,"")</f>
        <v/>
      </c>
      <c r="L989" s="4">
        <f>IFERROR((D989-E989)/E989,"")</f>
        <v/>
      </c>
    </row>
    <row r="990">
      <c r="A990" t="inlineStr">
        <is>
          <t>2026-06-19</t>
        </is>
      </c>
      <c r="B990" t="inlineStr">
        <is>
          <t>510350</t>
        </is>
      </c>
      <c r="C990" t="inlineStr">
        <is>
          <t>沪深300ETF工银</t>
        </is>
      </c>
      <c r="D990" t="n">
        <v>69041.47</v>
      </c>
      <c r="E990" t="n">
        <v>68951.47</v>
      </c>
      <c r="F990" t="n">
        <v>5.216</v>
      </c>
      <c r="G990" t="n">
        <v>90</v>
      </c>
      <c r="H990" t="n">
        <v>35.965087</v>
      </c>
      <c r="I990" t="n">
        <v>35.704672</v>
      </c>
      <c r="J990" t="n">
        <v>0.260415</v>
      </c>
      <c r="K990" s="4">
        <f>IFERROR(J990/I990,"")</f>
        <v/>
      </c>
      <c r="L990" s="4">
        <f>IFERROR((D990-E990)/E990,"")</f>
        <v/>
      </c>
    </row>
    <row r="991">
      <c r="A991" t="inlineStr">
        <is>
          <t>2026-06-19</t>
        </is>
      </c>
      <c r="B991" t="inlineStr">
        <is>
          <t>510360</t>
        </is>
      </c>
      <c r="C991" t="inlineStr">
        <is>
          <t>沪深300ETF广发</t>
        </is>
      </c>
      <c r="D991" t="n">
        <v>149638.12</v>
      </c>
      <c r="E991" t="n">
        <v>149638.12</v>
      </c>
      <c r="F991" t="n">
        <v>1.895</v>
      </c>
      <c r="G991" t="n">
        <v>0</v>
      </c>
      <c r="H991" t="n">
        <v>28.356423</v>
      </c>
      <c r="I991" t="n">
        <v>28.263335</v>
      </c>
      <c r="J991" t="n">
        <v>0.093088</v>
      </c>
      <c r="K991" s="4">
        <f>IFERROR(J991/I991,"")</f>
        <v/>
      </c>
      <c r="L991" s="4">
        <f>IFERROR((D991-E991)/E991,"")</f>
        <v/>
      </c>
    </row>
    <row r="992">
      <c r="A992" t="inlineStr">
        <is>
          <t>2026-06-19</t>
        </is>
      </c>
      <c r="B992" t="inlineStr">
        <is>
          <t>510370</t>
        </is>
      </c>
      <c r="C992" t="inlineStr">
        <is>
          <t>沪深300ETF兴业</t>
        </is>
      </c>
      <c r="D992" t="n">
        <v>7825.81</v>
      </c>
      <c r="E992" t="n">
        <v>7825.81</v>
      </c>
      <c r="F992" t="n">
        <v>1.103</v>
      </c>
      <c r="G992" t="n">
        <v>0</v>
      </c>
      <c r="H992" t="n">
        <v>0.863187</v>
      </c>
      <c r="I992" t="n">
        <v>0.8938390000000001</v>
      </c>
      <c r="J992" t="n">
        <v>-0.030652</v>
      </c>
      <c r="K992" s="4">
        <f>IFERROR(J992/I992,"")</f>
        <v/>
      </c>
      <c r="L992" s="4">
        <f>IFERROR((D992-E992)/E992,"")</f>
        <v/>
      </c>
    </row>
    <row r="993">
      <c r="A993" t="inlineStr">
        <is>
          <t>2026-06-19</t>
        </is>
      </c>
      <c r="B993" t="inlineStr">
        <is>
          <t>510380</t>
        </is>
      </c>
      <c r="C993" t="inlineStr">
        <is>
          <t>沪深300ETF国寿</t>
        </is>
      </c>
      <c r="D993" t="n">
        <v>120680.24</v>
      </c>
      <c r="E993" t="n">
        <v>120680.24</v>
      </c>
      <c r="F993" t="n">
        <v>1.467</v>
      </c>
      <c r="G993" t="n">
        <v>0</v>
      </c>
      <c r="H993" t="n">
        <v>17.703791</v>
      </c>
      <c r="I993" t="n">
        <v>17.679655</v>
      </c>
      <c r="J993" t="n">
        <v>0.024136</v>
      </c>
      <c r="K993" s="4">
        <f>IFERROR(J993/I993,"")</f>
        <v/>
      </c>
      <c r="L993" s="4">
        <f>IFERROR((D993-E993)/E993,"")</f>
        <v/>
      </c>
    </row>
    <row r="994">
      <c r="A994" t="inlineStr">
        <is>
          <t>2026-06-19</t>
        </is>
      </c>
      <c r="B994" t="inlineStr">
        <is>
          <t>510390</t>
        </is>
      </c>
      <c r="C994" t="inlineStr">
        <is>
          <t>沪深300ETF平安</t>
        </is>
      </c>
      <c r="D994" t="n">
        <v>10955</v>
      </c>
      <c r="E994" t="n">
        <v>10955</v>
      </c>
      <c r="F994" t="n">
        <v>5.59</v>
      </c>
      <c r="G994" t="n">
        <v>0</v>
      </c>
      <c r="H994" t="n">
        <v>6.123845</v>
      </c>
      <c r="I994" t="n">
        <v>6.146542</v>
      </c>
      <c r="J994" t="n">
        <v>-0.022697</v>
      </c>
      <c r="K994" s="4">
        <f>IFERROR(J994/I994,"")</f>
        <v/>
      </c>
      <c r="L994" s="4">
        <f>IFERROR((D994-E994)/E994,"")</f>
        <v/>
      </c>
    </row>
    <row r="995">
      <c r="A995" t="inlineStr">
        <is>
          <t>2026-06-19</t>
        </is>
      </c>
      <c r="B995" t="inlineStr">
        <is>
          <t>510410</t>
        </is>
      </c>
      <c r="C995" t="inlineStr">
        <is>
          <t>资源ETF博时</t>
        </is>
      </c>
      <c r="D995" t="n">
        <v>45725.84</v>
      </c>
      <c r="E995" t="n">
        <v>45725.84</v>
      </c>
      <c r="F995" t="n">
        <v>2.005</v>
      </c>
      <c r="G995" t="n">
        <v>0</v>
      </c>
      <c r="H995" t="n">
        <v>9.168030999999999</v>
      </c>
      <c r="I995" t="n">
        <v>9.039078999999999</v>
      </c>
      <c r="J995" t="n">
        <v>0.128952</v>
      </c>
      <c r="K995" s="4">
        <f>IFERROR(J995/I995,"")</f>
        <v/>
      </c>
      <c r="L995" s="4">
        <f>IFERROR((D995-E995)/E995,"")</f>
        <v/>
      </c>
    </row>
    <row r="996">
      <c r="A996" t="inlineStr">
        <is>
          <t>2026-06-19</t>
        </is>
      </c>
      <c r="B996" t="inlineStr">
        <is>
          <t>510500</t>
        </is>
      </c>
      <c r="C996" t="inlineStr">
        <is>
          <t>中证500ETF南方</t>
        </is>
      </c>
      <c r="D996" t="n">
        <v>458216.86</v>
      </c>
      <c r="E996" t="n">
        <v>457856.86</v>
      </c>
      <c r="F996" t="n">
        <v>8.827999999999999</v>
      </c>
      <c r="G996" t="n">
        <v>360</v>
      </c>
      <c r="H996" t="n">
        <v>404.196038</v>
      </c>
      <c r="I996" t="n">
        <v>401.95606</v>
      </c>
      <c r="J996" t="n">
        <v>2.239978</v>
      </c>
      <c r="K996" s="4">
        <f>IFERROR(J996/I996,"")</f>
        <v/>
      </c>
      <c r="L996" s="4">
        <f>IFERROR((D996-E996)/E996,"")</f>
        <v/>
      </c>
    </row>
    <row r="997">
      <c r="A997" t="inlineStr">
        <is>
          <t>2026-06-19</t>
        </is>
      </c>
      <c r="B997" t="inlineStr">
        <is>
          <t>510510</t>
        </is>
      </c>
      <c r="C997" t="inlineStr">
        <is>
          <t>中证500ETF广发</t>
        </is>
      </c>
      <c r="D997" t="n">
        <v>80703.83</v>
      </c>
      <c r="E997" t="n">
        <v>79103.83</v>
      </c>
      <c r="F997" t="n">
        <v>2.791</v>
      </c>
      <c r="G997" t="n">
        <v>1600</v>
      </c>
      <c r="H997" t="n">
        <v>22.077879</v>
      </c>
      <c r="I997" t="n">
        <v>21.975092</v>
      </c>
      <c r="J997" t="n">
        <v>0.102787</v>
      </c>
      <c r="K997" s="4">
        <f>IFERROR(J997/I997,"")</f>
        <v/>
      </c>
      <c r="L997" s="4">
        <f>IFERROR((D997-E997)/E997,"")</f>
        <v/>
      </c>
    </row>
    <row r="998">
      <c r="A998" t="inlineStr">
        <is>
          <t>2026-06-19</t>
        </is>
      </c>
      <c r="B998" t="inlineStr">
        <is>
          <t>510530</t>
        </is>
      </c>
      <c r="C998" t="inlineStr">
        <is>
          <t>中证500ETF工银</t>
        </is>
      </c>
      <c r="D998" t="n">
        <v>4547.94</v>
      </c>
      <c r="E998" t="n">
        <v>4547.94</v>
      </c>
      <c r="F998" t="n">
        <v>9.613</v>
      </c>
      <c r="G998" t="n">
        <v>0</v>
      </c>
      <c r="H998" t="n">
        <v>4.371933</v>
      </c>
      <c r="I998" t="n">
        <v>4.3451</v>
      </c>
      <c r="J998" t="n">
        <v>0.026833</v>
      </c>
      <c r="K998" s="4">
        <f>IFERROR(J998/I998,"")</f>
        <v/>
      </c>
      <c r="L998" s="4">
        <f>IFERROR((D998-E998)/E998,"")</f>
        <v/>
      </c>
    </row>
    <row r="999">
      <c r="A999" t="inlineStr">
        <is>
          <t>2026-06-19</t>
        </is>
      </c>
      <c r="B999" t="inlineStr">
        <is>
          <t>510550</t>
        </is>
      </c>
      <c r="C999" t="inlineStr">
        <is>
          <t>中证500ETF方正富邦</t>
        </is>
      </c>
      <c r="D999" t="n">
        <v>2174.33</v>
      </c>
      <c r="E999" t="n">
        <v>2174.33</v>
      </c>
      <c r="F999" t="n">
        <v>2.223</v>
      </c>
      <c r="G999" t="n">
        <v>0</v>
      </c>
      <c r="H999" t="n">
        <v>0.483354</v>
      </c>
      <c r="I999" t="n">
        <v>0.479875</v>
      </c>
      <c r="J999" t="n">
        <v>0.003479</v>
      </c>
      <c r="K999" s="4">
        <f>IFERROR(J999/I999,"")</f>
        <v/>
      </c>
      <c r="L999" s="4">
        <f>IFERROR((D999-E999)/E999,"")</f>
        <v/>
      </c>
    </row>
    <row r="1000">
      <c r="A1000" t="inlineStr">
        <is>
          <t>2026-06-19</t>
        </is>
      </c>
      <c r="B1000" t="inlineStr">
        <is>
          <t>510560</t>
        </is>
      </c>
      <c r="C1000" t="inlineStr">
        <is>
          <t>中证500ETF国寿</t>
        </is>
      </c>
      <c r="D1000" t="n">
        <v>6231.87</v>
      </c>
      <c r="E1000" t="n">
        <v>6231.87</v>
      </c>
      <c r="F1000" t="n">
        <v>2.143</v>
      </c>
      <c r="G1000" t="n">
        <v>0</v>
      </c>
      <c r="H1000" t="n">
        <v>1.335489</v>
      </c>
      <c r="I1000" t="n">
        <v>1.327388</v>
      </c>
      <c r="J1000" t="n">
        <v>0.008101000000000001</v>
      </c>
      <c r="K1000" s="4">
        <f>IFERROR(J1000/I1000,"")</f>
        <v/>
      </c>
      <c r="L1000" s="4">
        <f>IFERROR((D1000-E1000)/E1000,"")</f>
        <v/>
      </c>
    </row>
    <row r="1001">
      <c r="A1001" t="inlineStr">
        <is>
          <t>2026-06-19</t>
        </is>
      </c>
      <c r="B1001" t="inlineStr">
        <is>
          <t>510570</t>
        </is>
      </c>
      <c r="C1001" t="inlineStr">
        <is>
          <t>中证500ETF兴业</t>
        </is>
      </c>
      <c r="D1001" t="n">
        <v>2556.06</v>
      </c>
      <c r="E1001" t="n">
        <v>4556.06</v>
      </c>
      <c r="F1001" t="n">
        <v>1.367</v>
      </c>
      <c r="G1001" t="n">
        <v>-2000</v>
      </c>
      <c r="H1001" t="n">
        <v>0.6228129999999999</v>
      </c>
      <c r="I1001" t="n">
        <v>0.620991</v>
      </c>
      <c r="J1001" t="n">
        <v>0.001822</v>
      </c>
      <c r="K1001" s="4">
        <f>IFERROR(J1001/I1001,"")</f>
        <v/>
      </c>
      <c r="L1001" s="4">
        <f>IFERROR((D1001-E1001)/E1001,"")</f>
        <v/>
      </c>
    </row>
    <row r="1002">
      <c r="A1002" t="inlineStr">
        <is>
          <t>2026-06-19</t>
        </is>
      </c>
      <c r="B1002" t="inlineStr">
        <is>
          <t>510580</t>
        </is>
      </c>
      <c r="C1002" t="inlineStr">
        <is>
          <t>中证500ETF易方达</t>
        </is>
      </c>
      <c r="D1002" t="n">
        <v>96856.83</v>
      </c>
      <c r="E1002" t="n">
        <v>96776.83</v>
      </c>
      <c r="F1002" t="n">
        <v>4.543</v>
      </c>
      <c r="G1002" t="n">
        <v>80</v>
      </c>
      <c r="H1002" t="n">
        <v>43.965716</v>
      </c>
      <c r="I1002" t="n">
        <v>43.732414</v>
      </c>
      <c r="J1002" t="n">
        <v>0.233302</v>
      </c>
      <c r="K1002" s="4">
        <f>IFERROR(J1002/I1002,"")</f>
        <v/>
      </c>
      <c r="L1002" s="4">
        <f>IFERROR((D1002-E1002)/E1002,"")</f>
        <v/>
      </c>
    </row>
    <row r="1003">
      <c r="A1003" t="inlineStr">
        <is>
          <t>2026-06-19</t>
        </is>
      </c>
      <c r="B1003" t="inlineStr">
        <is>
          <t>510590</t>
        </is>
      </c>
      <c r="C1003" t="inlineStr">
        <is>
          <t>中证500ETF平安</t>
        </is>
      </c>
      <c r="D1003" t="n">
        <v>13958.61</v>
      </c>
      <c r="E1003" t="n">
        <v>13998.61</v>
      </c>
      <c r="F1003" t="n">
        <v>9.321</v>
      </c>
      <c r="G1003" t="n">
        <v>-40</v>
      </c>
      <c r="H1003" t="n">
        <v>13.048106</v>
      </c>
      <c r="I1003" t="n">
        <v>12.986512</v>
      </c>
      <c r="J1003" t="n">
        <v>0.061594</v>
      </c>
      <c r="K1003" s="4">
        <f>IFERROR(J1003/I1003,"")</f>
        <v/>
      </c>
      <c r="L1003" s="4">
        <f>IFERROR((D1003-E1003)/E1003,"")</f>
        <v/>
      </c>
    </row>
    <row r="1004">
      <c r="A1004" t="inlineStr">
        <is>
          <t>2026-06-19</t>
        </is>
      </c>
      <c r="B1004" t="inlineStr">
        <is>
          <t>510600</t>
        </is>
      </c>
      <c r="C1004" t="inlineStr">
        <is>
          <t>上证50ETF申万菱信</t>
        </is>
      </c>
      <c r="D1004" t="n">
        <v>1361.51</v>
      </c>
      <c r="E1004" t="n">
        <v>1331.51</v>
      </c>
      <c r="F1004" t="n">
        <v>3.877</v>
      </c>
      <c r="G1004" t="n">
        <v>30</v>
      </c>
      <c r="H1004" t="n">
        <v>0.516227</v>
      </c>
      <c r="I1004" t="n">
        <v>0.515029</v>
      </c>
      <c r="J1004" t="n">
        <v>0.001198</v>
      </c>
      <c r="K1004" s="4">
        <f>IFERROR(J1004/I1004,"")</f>
        <v/>
      </c>
      <c r="L1004" s="4">
        <f>IFERROR((D1004-E1004)/E1004,"")</f>
        <v/>
      </c>
    </row>
    <row r="1005">
      <c r="A1005" t="inlineStr">
        <is>
          <t>2026-06-19</t>
        </is>
      </c>
      <c r="B1005" t="inlineStr">
        <is>
          <t>510630</t>
        </is>
      </c>
      <c r="C1005" t="inlineStr">
        <is>
          <t>消费ETF华夏</t>
        </is>
      </c>
      <c r="D1005" t="n">
        <v>55736.15</v>
      </c>
      <c r="E1005" t="n">
        <v>55436.15</v>
      </c>
      <c r="F1005" t="n">
        <v>0.764</v>
      </c>
      <c r="G1005" t="n">
        <v>300</v>
      </c>
      <c r="H1005" t="n">
        <v>4.235322</v>
      </c>
      <c r="I1005" t="n">
        <v>4.315159</v>
      </c>
      <c r="J1005" t="n">
        <v>-0.07983700000000001</v>
      </c>
      <c r="K1005" s="4">
        <f>IFERROR(J1005/I1005,"")</f>
        <v/>
      </c>
      <c r="L1005" s="4">
        <f>IFERROR((D1005-E1005)/E1005,"")</f>
        <v/>
      </c>
    </row>
    <row r="1006">
      <c r="A1006" t="inlineStr">
        <is>
          <t>2026-06-19</t>
        </is>
      </c>
      <c r="B1006" t="inlineStr">
        <is>
          <t>510650</t>
        </is>
      </c>
      <c r="C1006" t="inlineStr">
        <is>
          <t>金融地产ETF华夏</t>
        </is>
      </c>
      <c r="D1006" t="n">
        <v>1145.25</v>
      </c>
      <c r="E1006" t="n">
        <v>1145.25</v>
      </c>
      <c r="F1006" t="n">
        <v>2.688</v>
      </c>
      <c r="G1006" t="n">
        <v>0</v>
      </c>
      <c r="H1006" t="n">
        <v>0.307842</v>
      </c>
      <c r="I1006" t="n">
        <v>0.317921</v>
      </c>
      <c r="J1006" t="n">
        <v>-0.010079</v>
      </c>
      <c r="K1006" s="4">
        <f>IFERROR(J1006/I1006,"")</f>
        <v/>
      </c>
      <c r="L1006" s="4">
        <f>IFERROR((D1006-E1006)/E1006,"")</f>
        <v/>
      </c>
    </row>
    <row r="1007">
      <c r="A1007" t="inlineStr">
        <is>
          <t>2026-06-19</t>
        </is>
      </c>
      <c r="B1007" t="inlineStr">
        <is>
          <t>510660</t>
        </is>
      </c>
      <c r="C1007" t="inlineStr">
        <is>
          <t>医药ETF华夏</t>
        </is>
      </c>
      <c r="D1007" t="n">
        <v>4587.97</v>
      </c>
      <c r="E1007" t="n">
        <v>4637.97</v>
      </c>
      <c r="F1007" t="n">
        <v>2.162</v>
      </c>
      <c r="G1007" t="n">
        <v>-50</v>
      </c>
      <c r="H1007" t="n">
        <v>1.00273</v>
      </c>
      <c r="I1007" t="n">
        <v>0.984641</v>
      </c>
      <c r="J1007" t="n">
        <v>0.018089</v>
      </c>
      <c r="K1007" s="4">
        <f>IFERROR(J1007/I1007,"")</f>
        <v/>
      </c>
      <c r="L1007" s="4">
        <f>IFERROR((D1007-E1007)/E1007,"")</f>
        <v/>
      </c>
    </row>
    <row r="1008">
      <c r="A1008" t="inlineStr">
        <is>
          <t>2026-06-19</t>
        </is>
      </c>
      <c r="B1008" t="inlineStr">
        <is>
          <t>510670</t>
        </is>
      </c>
      <c r="C1008" t="inlineStr">
        <is>
          <t>上证180ETF华夏</t>
        </is>
      </c>
      <c r="D1008" t="n">
        <v>23799.3</v>
      </c>
      <c r="E1008" t="n">
        <v>24299.3</v>
      </c>
      <c r="F1008" t="n">
        <v>1.008</v>
      </c>
      <c r="G1008" t="n">
        <v>-500</v>
      </c>
      <c r="H1008" t="n">
        <v>2.449369</v>
      </c>
      <c r="I1008" t="n">
        <v>2.46966</v>
      </c>
      <c r="J1008" t="n">
        <v>-0.020291</v>
      </c>
      <c r="K1008" s="4">
        <f>IFERROR(J1008/I1008,"")</f>
        <v/>
      </c>
      <c r="L1008" s="4">
        <f>IFERROR((D1008-E1008)/E1008,"")</f>
        <v/>
      </c>
    </row>
    <row r="1009">
      <c r="A1009" t="inlineStr">
        <is>
          <t>2026-06-19</t>
        </is>
      </c>
      <c r="B1009" t="inlineStr">
        <is>
          <t>510680</t>
        </is>
      </c>
      <c r="C1009" t="inlineStr">
        <is>
          <t>上证50ETF万家</t>
        </is>
      </c>
      <c r="D1009" t="n">
        <v>2172.47</v>
      </c>
      <c r="E1009" t="n">
        <v>2262.47</v>
      </c>
      <c r="F1009" t="n">
        <v>3.193</v>
      </c>
      <c r="G1009" t="n">
        <v>-90</v>
      </c>
      <c r="H1009" t="n">
        <v>0.722405</v>
      </c>
      <c r="I1009" t="n">
        <v>0.711263</v>
      </c>
      <c r="J1009" t="n">
        <v>0.011142</v>
      </c>
      <c r="K1009" s="4">
        <f>IFERROR(J1009/I1009,"")</f>
        <v/>
      </c>
      <c r="L1009" s="4">
        <f>IFERROR((D1009-E1009)/E1009,"")</f>
        <v/>
      </c>
    </row>
    <row r="1010">
      <c r="A1010" t="inlineStr">
        <is>
          <t>2026-06-19</t>
        </is>
      </c>
      <c r="B1010" t="inlineStr">
        <is>
          <t>510710</t>
        </is>
      </c>
      <c r="C1010" t="inlineStr">
        <is>
          <t>上证50ETF博时</t>
        </is>
      </c>
      <c r="D1010" t="n">
        <v>10791.89</v>
      </c>
      <c r="E1010" t="n">
        <v>10761.89</v>
      </c>
      <c r="F1010" t="n">
        <v>4.288</v>
      </c>
      <c r="G1010" t="n">
        <v>30</v>
      </c>
      <c r="H1010" t="n">
        <v>4.614697</v>
      </c>
      <c r="I1010" t="n">
        <v>4.606088</v>
      </c>
      <c r="J1010" t="n">
        <v>0.008609</v>
      </c>
      <c r="K1010" s="4">
        <f>IFERROR(J1010/I1010,"")</f>
        <v/>
      </c>
      <c r="L1010" s="4">
        <f>IFERROR((D1010-E1010)/E1010,"")</f>
        <v/>
      </c>
    </row>
    <row r="1011">
      <c r="A1011" t="inlineStr">
        <is>
          <t>2026-06-19</t>
        </is>
      </c>
      <c r="B1011" t="inlineStr">
        <is>
          <t>510720</t>
        </is>
      </c>
      <c r="C1011" t="inlineStr">
        <is>
          <t>红利国企ETF国泰</t>
        </is>
      </c>
      <c r="D1011" t="n">
        <v>254276.6</v>
      </c>
      <c r="E1011" t="n">
        <v>211576.6</v>
      </c>
      <c r="F1011" t="n">
        <v>0.965</v>
      </c>
      <c r="G1011" t="n">
        <v>42700</v>
      </c>
      <c r="H1011" t="n">
        <v>20.417142</v>
      </c>
      <c r="I1011" t="n">
        <v>18.820433</v>
      </c>
      <c r="J1011" t="n">
        <v>1.596709</v>
      </c>
      <c r="K1011" s="4">
        <f>IFERROR(J1011/I1011,"")</f>
        <v/>
      </c>
      <c r="L1011" s="4">
        <f>IFERROR((D1011-E1011)/E1011,"")</f>
        <v/>
      </c>
    </row>
    <row r="1012">
      <c r="A1012" t="inlineStr">
        <is>
          <t>2026-06-19</t>
        </is>
      </c>
      <c r="B1012" t="inlineStr">
        <is>
          <t>510760</t>
        </is>
      </c>
      <c r="C1012" t="inlineStr">
        <is>
          <t>上证指数ETF国泰</t>
        </is>
      </c>
      <c r="D1012" t="n">
        <v>211750.37</v>
      </c>
      <c r="E1012" t="n">
        <v>214450.37</v>
      </c>
      <c r="F1012" t="n">
        <v>1.328</v>
      </c>
      <c r="G1012" t="n">
        <v>-2700</v>
      </c>
      <c r="H1012" t="n">
        <v>28.479009</v>
      </c>
      <c r="I1012" t="n">
        <v>28.687719</v>
      </c>
      <c r="J1012" t="n">
        <v>-0.20871</v>
      </c>
      <c r="K1012" s="4">
        <f>IFERROR(J1012/I1012,"")</f>
        <v/>
      </c>
      <c r="L1012" s="4">
        <f>IFERROR((D1012-E1012)/E1012,"")</f>
        <v/>
      </c>
    </row>
    <row r="1013">
      <c r="A1013" t="inlineStr">
        <is>
          <t>2026-06-19</t>
        </is>
      </c>
      <c r="B1013" t="inlineStr">
        <is>
          <t>510770</t>
        </is>
      </c>
      <c r="C1013" t="inlineStr">
        <is>
          <t>G60创新ETF申万菱信</t>
        </is>
      </c>
      <c r="D1013" t="n">
        <v>2761.07</v>
      </c>
      <c r="E1013" t="n">
        <v>2611.07</v>
      </c>
      <c r="F1013" t="n">
        <v>1.194</v>
      </c>
      <c r="G1013" t="n">
        <v>150</v>
      </c>
      <c r="H1013" t="n">
        <v>0.311761</v>
      </c>
      <c r="I1013" t="n">
        <v>0.285484</v>
      </c>
      <c r="J1013" t="n">
        <v>0.026277</v>
      </c>
      <c r="K1013" s="4">
        <f>IFERROR(J1013/I1013,"")</f>
        <v/>
      </c>
      <c r="L1013" s="4">
        <f>IFERROR((D1013-E1013)/E1013,"")</f>
        <v/>
      </c>
    </row>
    <row r="1014">
      <c r="A1014" t="inlineStr">
        <is>
          <t>2026-06-19</t>
        </is>
      </c>
      <c r="B1014" t="inlineStr">
        <is>
          <t>510800</t>
        </is>
      </c>
      <c r="C1014" t="inlineStr">
        <is>
          <t>上证50ETF建信</t>
        </is>
      </c>
      <c r="D1014" t="n">
        <v>19257.6</v>
      </c>
      <c r="E1014" t="n">
        <v>19257.6</v>
      </c>
      <c r="F1014" t="n">
        <v>1.393</v>
      </c>
      <c r="G1014" t="n">
        <v>0</v>
      </c>
      <c r="H1014" t="n">
        <v>2.682584</v>
      </c>
      <c r="I1014" t="n">
        <v>2.680658</v>
      </c>
      <c r="J1014" t="n">
        <v>0.001926</v>
      </c>
      <c r="K1014" s="4">
        <f>IFERROR(J1014/I1014,"")</f>
        <v/>
      </c>
      <c r="L1014" s="4">
        <f>IFERROR((D1014-E1014)/E1014,"")</f>
        <v/>
      </c>
    </row>
    <row r="1015">
      <c r="A1015" t="inlineStr">
        <is>
          <t>2026-06-19</t>
        </is>
      </c>
      <c r="B1015" t="inlineStr">
        <is>
          <t>510810</t>
        </is>
      </c>
      <c r="C1015" t="inlineStr">
        <is>
          <t>上海国企ETF汇添富</t>
        </is>
      </c>
      <c r="D1015" t="n">
        <v>606679.37</v>
      </c>
      <c r="E1015" t="n">
        <v>606289.37</v>
      </c>
      <c r="F1015" t="n">
        <v>0.823</v>
      </c>
      <c r="G1015" t="n">
        <v>390</v>
      </c>
      <c r="H1015" t="n">
        <v>49.897615</v>
      </c>
      <c r="I1015" t="n">
        <v>50.674923</v>
      </c>
      <c r="J1015" t="n">
        <v>-0.777308</v>
      </c>
      <c r="K1015" s="4">
        <f>IFERROR(J1015/I1015,"")</f>
        <v/>
      </c>
      <c r="L1015" s="4">
        <f>IFERROR((D1015-E1015)/E1015,"")</f>
        <v/>
      </c>
    </row>
    <row r="1016">
      <c r="A1016" t="inlineStr">
        <is>
          <t>2026-06-19</t>
        </is>
      </c>
      <c r="B1016" t="inlineStr">
        <is>
          <t>510850</t>
        </is>
      </c>
      <c r="C1016" t="inlineStr">
        <is>
          <t>上证50ETF工银</t>
        </is>
      </c>
      <c r="D1016" t="n">
        <v>5389.89</v>
      </c>
      <c r="E1016" t="n">
        <v>5389.89</v>
      </c>
      <c r="F1016" t="n">
        <v>3.554</v>
      </c>
      <c r="G1016" t="n">
        <v>0</v>
      </c>
      <c r="H1016" t="n">
        <v>1.915567</v>
      </c>
      <c r="I1016" t="n">
        <v>1.893177</v>
      </c>
      <c r="J1016" t="n">
        <v>0.02239</v>
      </c>
      <c r="K1016" s="4">
        <f>IFERROR(J1016/I1016,"")</f>
        <v/>
      </c>
      <c r="L1016" s="4">
        <f>IFERROR((D1016-E1016)/E1016,"")</f>
        <v/>
      </c>
    </row>
    <row r="1017">
      <c r="A1017" t="inlineStr">
        <is>
          <t>2026-06-19</t>
        </is>
      </c>
      <c r="B1017" t="inlineStr">
        <is>
          <t>510880</t>
        </is>
      </c>
      <c r="C1017" t="inlineStr">
        <is>
          <t>红利ETF华泰柏瑞</t>
        </is>
      </c>
      <c r="D1017" t="n">
        <v>657467.5699999999</v>
      </c>
      <c r="E1017" t="n">
        <v>630567.5699999999</v>
      </c>
      <c r="F1017" t="n">
        <v>3.098</v>
      </c>
      <c r="G1017" t="n">
        <v>26900</v>
      </c>
      <c r="H1017" t="n">
        <v>195.349833</v>
      </c>
      <c r="I1017" t="n">
        <v>194.029552</v>
      </c>
      <c r="J1017" t="n">
        <v>1.320281</v>
      </c>
      <c r="K1017" s="4">
        <f>IFERROR(J1017/I1017,"")</f>
        <v/>
      </c>
      <c r="L1017" s="4">
        <f>IFERROR((D1017-E1017)/E1017,"")</f>
        <v/>
      </c>
    </row>
    <row r="1018">
      <c r="A1018" t="inlineStr">
        <is>
          <t>2026-06-19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361002.19</v>
      </c>
      <c r="E1018" t="n">
        <v>361002.19</v>
      </c>
      <c r="F1018" t="n">
        <v>0.981</v>
      </c>
      <c r="G1018" t="n">
        <v>0</v>
      </c>
      <c r="H1018" t="n">
        <v>35.414315</v>
      </c>
      <c r="I1018" t="n">
        <v>36.20852</v>
      </c>
      <c r="J1018" t="n">
        <v>-0.794205</v>
      </c>
      <c r="K1018" s="4">
        <f>IFERROR(J1018/I1018,"")</f>
        <v/>
      </c>
      <c r="L1018" s="4">
        <f>IFERROR((D1018-E1018)/E1018,"")</f>
        <v/>
      </c>
    </row>
    <row r="1019">
      <c r="A1019" t="inlineStr">
        <is>
          <t>2026-06-19</t>
        </is>
      </c>
      <c r="B1019" t="inlineStr">
        <is>
          <t>510910</t>
        </is>
      </c>
      <c r="C1019" t="inlineStr">
        <is>
          <t>上证指数ETF南方</t>
        </is>
      </c>
      <c r="D1019" t="n">
        <v>10579.6</v>
      </c>
      <c r="E1019" t="n">
        <v>10879.6</v>
      </c>
      <c r="F1019" t="n">
        <v>1.009</v>
      </c>
      <c r="G1019" t="n">
        <v>-300</v>
      </c>
      <c r="H1019" t="n">
        <v>1.097752</v>
      </c>
      <c r="I1019" t="n">
        <v>1.187384</v>
      </c>
      <c r="J1019" t="n">
        <v>-0.089632</v>
      </c>
      <c r="K1019" s="4">
        <f>IFERROR(J1019/I1019,"")</f>
        <v/>
      </c>
      <c r="L1019" s="4">
        <f>IFERROR((D1019-E1019)/E1019,"")</f>
        <v/>
      </c>
    </row>
    <row r="1020">
      <c r="A1020" t="inlineStr">
        <is>
          <t>2026-06-19</t>
        </is>
      </c>
      <c r="B1020" t="inlineStr">
        <is>
          <t>510950</t>
        </is>
      </c>
      <c r="C1020" t="inlineStr">
        <is>
          <t>上证50ETF广发</t>
        </is>
      </c>
      <c r="D1020" t="n">
        <v>11272.08</v>
      </c>
      <c r="E1020" t="n">
        <v>11542.08</v>
      </c>
      <c r="F1020" t="n">
        <v>0.988</v>
      </c>
      <c r="G1020" t="n">
        <v>-270</v>
      </c>
      <c r="H1020" t="n">
        <v>1.140358</v>
      </c>
      <c r="I1020" t="n">
        <v>1.103672</v>
      </c>
      <c r="J1020" t="n">
        <v>0.036686</v>
      </c>
      <c r="K1020" s="4">
        <f>IFERROR(J1020/I1020,"")</f>
        <v/>
      </c>
      <c r="L1020" s="4">
        <f>IFERROR((D1020-E1020)/E1020,"")</f>
        <v/>
      </c>
    </row>
    <row r="1021">
      <c r="A1021" t="inlineStr">
        <is>
          <t>2026-06-19</t>
        </is>
      </c>
      <c r="B1021" t="inlineStr">
        <is>
          <t>510980</t>
        </is>
      </c>
      <c r="C1021" t="inlineStr">
        <is>
          <t>上证指数ETF汇添富</t>
        </is>
      </c>
      <c r="D1021" t="n">
        <v>47379.8</v>
      </c>
      <c r="E1021" t="n">
        <v>47379.8</v>
      </c>
      <c r="F1021" t="n">
        <v>1.436</v>
      </c>
      <c r="G1021" t="n">
        <v>0</v>
      </c>
      <c r="H1021" t="n">
        <v>6.803739</v>
      </c>
      <c r="I1021" t="n">
        <v>6.889899</v>
      </c>
      <c r="J1021" t="n">
        <v>-0.08616</v>
      </c>
      <c r="K1021" s="4">
        <f>IFERROR(J1021/I1021,"")</f>
        <v/>
      </c>
      <c r="L1021" s="4">
        <f>IFERROR((D1021-E1021)/E1021,"")</f>
        <v/>
      </c>
    </row>
    <row r="1022">
      <c r="A1022" t="inlineStr">
        <is>
          <t>2026-06-19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1.05</v>
      </c>
      <c r="G1022" t="n">
        <v>0</v>
      </c>
      <c r="H1022" t="n">
        <v>0.429961</v>
      </c>
      <c r="I1022" t="n">
        <v>0.431599</v>
      </c>
      <c r="J1022" t="n">
        <v>-0.001638</v>
      </c>
      <c r="K1022" s="4">
        <f>IFERROR(J1022/I1022,"")</f>
        <v/>
      </c>
      <c r="L1022" s="4">
        <f>IFERROR((D1022-E1022)/E1022,"")</f>
        <v/>
      </c>
    </row>
    <row r="1023">
      <c r="A1023" t="inlineStr">
        <is>
          <t>2026-06-19</t>
        </is>
      </c>
      <c r="B1023" t="inlineStr">
        <is>
          <t>511010</t>
        </is>
      </c>
      <c r="C1023" t="inlineStr">
        <is>
          <t>国债ETF国泰</t>
        </is>
      </c>
      <c r="D1023" t="n">
        <v>3557.63</v>
      </c>
      <c r="E1023" t="n">
        <v>3528.63</v>
      </c>
      <c r="F1023" t="n">
        <v>141.431</v>
      </c>
      <c r="G1023" t="n">
        <v>29</v>
      </c>
      <c r="H1023" t="n">
        <v>49.905749</v>
      </c>
      <c r="I1023" t="n">
        <v>49.862326</v>
      </c>
      <c r="J1023" t="n">
        <v>0.043423</v>
      </c>
      <c r="K1023" s="4">
        <f>IFERROR(J1023/I1023,"")</f>
        <v/>
      </c>
      <c r="L1023" s="4">
        <f>IFERROR((D1023-E1023)/E1023,"")</f>
        <v/>
      </c>
    </row>
    <row r="1024">
      <c r="A1024" t="inlineStr">
        <is>
          <t>2026-06-19</t>
        </is>
      </c>
      <c r="B1024" t="inlineStr">
        <is>
          <t>511020</t>
        </is>
      </c>
      <c r="C1024" t="inlineStr">
        <is>
          <t>国债ETF平安</t>
        </is>
      </c>
      <c r="D1024" t="n">
        <v>2773.75</v>
      </c>
      <c r="E1024" t="n">
        <v>2331.25</v>
      </c>
      <c r="F1024" t="n">
        <v>117.473</v>
      </c>
      <c r="G1024" t="n">
        <v>442.5</v>
      </c>
      <c r="H1024" t="n">
        <v>27.385922</v>
      </c>
      <c r="I1024" t="n">
        <v>20.402293</v>
      </c>
      <c r="J1024" t="n">
        <v>6.983629</v>
      </c>
      <c r="K1024" s="4">
        <f>IFERROR(J1024/I1024,"")</f>
        <v/>
      </c>
      <c r="L1024" s="4">
        <f>IFERROR((D1024-E1024)/E1024,"")</f>
        <v/>
      </c>
    </row>
    <row r="1025">
      <c r="A1025" t="inlineStr">
        <is>
          <t>2026-06-19</t>
        </is>
      </c>
      <c r="B1025" t="inlineStr">
        <is>
          <t>511030</t>
        </is>
      </c>
      <c r="C1025" t="inlineStr">
        <is>
          <t>公司债ETF平安</t>
        </is>
      </c>
      <c r="D1025" t="n">
        <v>38155.07</v>
      </c>
      <c r="E1025" t="n">
        <v>38155.07</v>
      </c>
      <c r="F1025" t="n">
        <v>108.007</v>
      </c>
      <c r="G1025" t="n">
        <v>0</v>
      </c>
      <c r="H1025" t="n">
        <v>412.101498</v>
      </c>
      <c r="I1025" t="n">
        <v>408.981485</v>
      </c>
      <c r="J1025" t="n">
        <v>3.120013</v>
      </c>
      <c r="K1025" s="4">
        <f>IFERROR(J1025/I1025,"")</f>
        <v/>
      </c>
      <c r="L1025" s="4">
        <f>IFERROR((D1025-E1025)/E1025,"")</f>
        <v/>
      </c>
    </row>
    <row r="1026">
      <c r="A1026" t="inlineStr">
        <is>
          <t>2026-06-19</t>
        </is>
      </c>
      <c r="B1026" t="inlineStr">
        <is>
          <t>511060</t>
        </is>
      </c>
      <c r="C1026" t="inlineStr">
        <is>
          <t>5年地方债ETF海富通</t>
        </is>
      </c>
      <c r="D1026" t="n">
        <v>1457.63</v>
      </c>
      <c r="E1026" t="n">
        <v>1417.63</v>
      </c>
      <c r="F1026" t="n">
        <v>108.194</v>
      </c>
      <c r="G1026" t="n">
        <v>40</v>
      </c>
      <c r="H1026" t="n">
        <v>15.33789</v>
      </c>
      <c r="I1026" t="n">
        <v>15.115632</v>
      </c>
      <c r="J1026" t="n">
        <v>0.222258</v>
      </c>
      <c r="K1026" s="4">
        <f>IFERROR(J1026/I1026,"")</f>
        <v/>
      </c>
      <c r="L1026" s="4">
        <f>IFERROR((D1026-E1026)/E1026,"")</f>
        <v/>
      </c>
    </row>
    <row r="1027">
      <c r="A1027" t="inlineStr">
        <is>
          <t>2026-06-19</t>
        </is>
      </c>
      <c r="B1027" t="inlineStr">
        <is>
          <t>511070</t>
        </is>
      </c>
      <c r="C1027" t="inlineStr">
        <is>
          <t>公司债ETF南方</t>
        </is>
      </c>
      <c r="D1027" t="n">
        <v>24182.1</v>
      </c>
      <c r="E1027" t="n">
        <v>24162.1</v>
      </c>
      <c r="F1027" t="n">
        <v>102.423</v>
      </c>
      <c r="G1027" t="n">
        <v>20</v>
      </c>
      <c r="H1027" t="n">
        <v>247.475446</v>
      </c>
      <c r="I1027" t="n">
        <v>246.124917</v>
      </c>
      <c r="J1027" t="n">
        <v>1.350529</v>
      </c>
      <c r="K1027" s="4">
        <f>IFERROR(J1027/I1027,"")</f>
        <v/>
      </c>
      <c r="L1027" s="4">
        <f>IFERROR((D1027-E1027)/E1027,"")</f>
        <v/>
      </c>
    </row>
    <row r="1028">
      <c r="A1028" t="inlineStr">
        <is>
          <t>2026-06-19</t>
        </is>
      </c>
      <c r="B1028" t="inlineStr">
        <is>
          <t>511090</t>
        </is>
      </c>
      <c r="C1028" t="inlineStr">
        <is>
          <t>30年国债ETF鹏扬</t>
        </is>
      </c>
      <c r="D1028" t="n">
        <v>25457.81</v>
      </c>
      <c r="E1028" t="n">
        <v>25154.81</v>
      </c>
      <c r="F1028" t="n">
        <v>116.827</v>
      </c>
      <c r="G1028" t="n">
        <v>303</v>
      </c>
      <c r="H1028" t="n">
        <v>293.876153</v>
      </c>
      <c r="I1028" t="n">
        <v>293.205219</v>
      </c>
      <c r="J1028" t="n">
        <v>0.670934</v>
      </c>
      <c r="K1028" s="4">
        <f>IFERROR(J1028/I1028,"")</f>
        <v/>
      </c>
      <c r="L1028" s="4">
        <f>IFERROR((D1028-E1028)/E1028,"")</f>
        <v/>
      </c>
    </row>
    <row r="1029">
      <c r="A1029" t="inlineStr">
        <is>
          <t>2026-06-19</t>
        </is>
      </c>
      <c r="B1029" t="inlineStr">
        <is>
          <t>511100</t>
        </is>
      </c>
      <c r="C1029" t="inlineStr">
        <is>
          <t>国债ETF华夏</t>
        </is>
      </c>
      <c r="D1029" t="n">
        <v>11032.05</v>
      </c>
      <c r="E1029" t="n">
        <v>11059.05</v>
      </c>
      <c r="F1029" t="n">
        <v>109.289</v>
      </c>
      <c r="G1029" t="n">
        <v>-27</v>
      </c>
      <c r="H1029" t="n">
        <v>120.863256</v>
      </c>
      <c r="I1029" t="n">
        <v>120.688161</v>
      </c>
      <c r="J1029" t="n">
        <v>0.175095</v>
      </c>
      <c r="K1029" s="4">
        <f>IFERROR(J1029/I1029,"")</f>
        <v/>
      </c>
      <c r="L1029" s="4">
        <f>IFERROR((D1029-E1029)/E1029,"")</f>
        <v/>
      </c>
    </row>
    <row r="1030">
      <c r="A1030" t="inlineStr">
        <is>
          <t>2026-06-19</t>
        </is>
      </c>
      <c r="B1030" t="inlineStr">
        <is>
          <t>511110</t>
        </is>
      </c>
      <c r="C1030" t="inlineStr">
        <is>
          <t>公司债ETF易方达</t>
        </is>
      </c>
      <c r="D1030" t="n">
        <v>26619.96</v>
      </c>
      <c r="E1030" t="n">
        <v>26599.96</v>
      </c>
      <c r="F1030" t="n">
        <v>102.704</v>
      </c>
      <c r="G1030" t="n">
        <v>20</v>
      </c>
      <c r="H1030" t="n">
        <v>273.192248</v>
      </c>
      <c r="I1030" t="n">
        <v>271.748569</v>
      </c>
      <c r="J1030" t="n">
        <v>1.443679</v>
      </c>
      <c r="K1030" s="4">
        <f>IFERROR(J1030/I1030,"")</f>
        <v/>
      </c>
      <c r="L1030" s="4">
        <f>IFERROR((D1030-E1030)/E1030,"")</f>
        <v/>
      </c>
    </row>
    <row r="1031">
      <c r="A1031" t="inlineStr">
        <is>
          <t>2026-06-19</t>
        </is>
      </c>
      <c r="B1031" t="inlineStr">
        <is>
          <t>511120</t>
        </is>
      </c>
      <c r="C1031" t="inlineStr">
        <is>
          <t>科创债ETF广发</t>
        </is>
      </c>
      <c r="D1031" t="n">
        <v>10288.06</v>
      </c>
      <c r="E1031" t="n">
        <v>10288.06</v>
      </c>
      <c r="F1031" t="n">
        <v>101.462</v>
      </c>
      <c r="G1031" t="n">
        <v>0</v>
      </c>
      <c r="H1031" t="n">
        <v>104.384713</v>
      </c>
      <c r="I1031" t="n">
        <v>104.246863</v>
      </c>
      <c r="J1031" t="n">
        <v>0.13785</v>
      </c>
      <c r="K1031" s="4">
        <f>IFERROR(J1031/I1031,"")</f>
        <v/>
      </c>
      <c r="L1031" s="4">
        <f>IFERROR((D1031-E1031)/E1031,"")</f>
        <v/>
      </c>
    </row>
    <row r="1032">
      <c r="A1032" t="inlineStr">
        <is>
          <t>2026-06-19</t>
        </is>
      </c>
      <c r="B1032" t="inlineStr">
        <is>
          <t>511130</t>
        </is>
      </c>
      <c r="C1032" t="inlineStr">
        <is>
          <t>30年国债ETF博时</t>
        </is>
      </c>
      <c r="D1032" t="n">
        <v>17247.97</v>
      </c>
      <c r="E1032" t="n">
        <v>17430.97</v>
      </c>
      <c r="F1032" t="n">
        <v>106.375</v>
      </c>
      <c r="G1032" t="n">
        <v>-183</v>
      </c>
      <c r="H1032" t="n">
        <v>185.421901</v>
      </c>
      <c r="I1032" t="n">
        <v>187.046421</v>
      </c>
      <c r="J1032" t="n">
        <v>-1.62452</v>
      </c>
      <c r="K1032" s="4">
        <f>IFERROR(J1032/I1032,"")</f>
        <v/>
      </c>
      <c r="L1032" s="4">
        <f>IFERROR((D1032-E1032)/E1032,"")</f>
        <v/>
      </c>
    </row>
    <row r="1033">
      <c r="A1033" t="inlineStr">
        <is>
          <t>2026-06-19</t>
        </is>
      </c>
      <c r="B1033" t="inlineStr">
        <is>
          <t>511150</t>
        </is>
      </c>
      <c r="C1033" t="inlineStr">
        <is>
          <t>科创债ETF永赢</t>
        </is>
      </c>
      <c r="D1033" t="n">
        <v>11299.09</v>
      </c>
      <c r="E1033" t="n">
        <v>11219.09</v>
      </c>
      <c r="F1033" t="n">
        <v>101.866</v>
      </c>
      <c r="G1033" t="n">
        <v>80</v>
      </c>
      <c r="H1033" t="n">
        <v>114.284385</v>
      </c>
      <c r="I1033" t="n">
        <v>109.222687</v>
      </c>
      <c r="J1033" t="n">
        <v>5.061698</v>
      </c>
      <c r="K1033" s="4">
        <f>IFERROR(J1033/I1033,"")</f>
        <v/>
      </c>
      <c r="L1033" s="4">
        <f>IFERROR((D1033-E1033)/E1033,"")</f>
        <v/>
      </c>
    </row>
    <row r="1034">
      <c r="A1034" t="inlineStr">
        <is>
          <t>2026-06-19</t>
        </is>
      </c>
      <c r="B1034" t="inlineStr">
        <is>
          <t>511160</t>
        </is>
      </c>
      <c r="C1034" t="inlineStr">
        <is>
          <t>国债ETF东财</t>
        </is>
      </c>
      <c r="D1034" t="n">
        <v>2595.09</v>
      </c>
      <c r="E1034" t="n">
        <v>2641.09</v>
      </c>
      <c r="F1034" t="n">
        <v>101.821</v>
      </c>
      <c r="G1034" t="n">
        <v>-46</v>
      </c>
      <c r="H1034" t="n">
        <v>26.891858</v>
      </c>
      <c r="I1034" t="n">
        <v>26.779512</v>
      </c>
      <c r="J1034" t="n">
        <v>0.112346</v>
      </c>
      <c r="K1034" s="4">
        <f>IFERROR(J1034/I1034,"")</f>
        <v/>
      </c>
      <c r="L1034" s="4">
        <f>IFERROR((D1034-E1034)/E1034,"")</f>
        <v/>
      </c>
    </row>
    <row r="1035">
      <c r="A1035" t="inlineStr">
        <is>
          <t>2026-06-19</t>
        </is>
      </c>
      <c r="B1035" t="inlineStr">
        <is>
          <t>511180</t>
        </is>
      </c>
      <c r="C1035" t="inlineStr">
        <is>
          <t>可转债ETF海富通</t>
        </is>
      </c>
      <c r="D1035" t="n">
        <v>85845.97</v>
      </c>
      <c r="E1035" t="n">
        <v>85235.97</v>
      </c>
      <c r="F1035" t="n">
        <v>12.809</v>
      </c>
      <c r="G1035" t="n">
        <v>610</v>
      </c>
      <c r="H1035" t="n">
        <v>109.178758</v>
      </c>
      <c r="I1035" t="n">
        <v>109.069175</v>
      </c>
      <c r="J1035" t="n">
        <v>0.109583</v>
      </c>
      <c r="K1035" s="4">
        <f>IFERROR(J1035/I1035,"")</f>
        <v/>
      </c>
      <c r="L1035" s="4">
        <f>IFERROR((D1035-E1035)/E1035,"")</f>
        <v/>
      </c>
    </row>
    <row r="1036">
      <c r="A1036" t="inlineStr">
        <is>
          <t>2026-06-19</t>
        </is>
      </c>
      <c r="B1036" t="inlineStr">
        <is>
          <t>511190</t>
        </is>
      </c>
      <c r="C1036" t="inlineStr">
        <is>
          <t>信用债ETF海富通</t>
        </is>
      </c>
      <c r="D1036" t="n">
        <v>12041.43</v>
      </c>
      <c r="E1036" t="n">
        <v>11821.43</v>
      </c>
      <c r="F1036" t="n">
        <v>102.21</v>
      </c>
      <c r="G1036" t="n">
        <v>220</v>
      </c>
      <c r="H1036" t="n">
        <v>120.826838</v>
      </c>
      <c r="I1036" t="n">
        <v>119.546491</v>
      </c>
      <c r="J1036" t="n">
        <v>1.280347</v>
      </c>
      <c r="K1036" s="4">
        <f>IFERROR(J1036/I1036,"")</f>
        <v/>
      </c>
      <c r="L1036" s="4">
        <f>IFERROR((D1036-E1036)/E1036,"")</f>
        <v/>
      </c>
    </row>
    <row r="1037">
      <c r="A1037" t="inlineStr">
        <is>
          <t>2026-06-19</t>
        </is>
      </c>
      <c r="B1037" t="inlineStr">
        <is>
          <t>511200</t>
        </is>
      </c>
      <c r="C1037" t="inlineStr">
        <is>
          <t>信用债ETF华夏</t>
        </is>
      </c>
      <c r="D1037" t="n">
        <v>19395.75</v>
      </c>
      <c r="E1037" t="n">
        <v>19395.75</v>
      </c>
      <c r="F1037" t="n">
        <v>102.741</v>
      </c>
      <c r="G1037" t="n">
        <v>0</v>
      </c>
      <c r="H1037" t="n">
        <v>199.273826</v>
      </c>
      <c r="I1037" t="n">
        <v>199.093542</v>
      </c>
      <c r="J1037" t="n">
        <v>0.180284</v>
      </c>
      <c r="K1037" s="4">
        <f>IFERROR(J1037/I1037,"")</f>
        <v/>
      </c>
      <c r="L1037" s="4">
        <f>IFERROR((D1037-E1037)/E1037,"")</f>
        <v/>
      </c>
    </row>
    <row r="1038">
      <c r="A1038" t="inlineStr">
        <is>
          <t>2026-06-19</t>
        </is>
      </c>
      <c r="B1038" t="inlineStr">
        <is>
          <t>511220</t>
        </is>
      </c>
      <c r="C1038" t="inlineStr">
        <is>
          <t>城投债ETF海富通</t>
        </is>
      </c>
      <c r="D1038" t="n">
        <v>527228.14</v>
      </c>
      <c r="E1038" t="n">
        <v>525228.14</v>
      </c>
      <c r="F1038" t="n">
        <v>10.374</v>
      </c>
      <c r="G1038" t="n">
        <v>2000</v>
      </c>
      <c r="H1038" t="n">
        <v>544.871667</v>
      </c>
      <c r="I1038" t="n">
        <v>542.535253</v>
      </c>
      <c r="J1038" t="n">
        <v>2.336414</v>
      </c>
      <c r="K1038" s="4">
        <f>IFERROR(J1038/I1038,"")</f>
        <v/>
      </c>
      <c r="L1038" s="4">
        <f>IFERROR((D1038-E1038)/E1038,"")</f>
        <v/>
      </c>
    </row>
    <row r="1039">
      <c r="A1039" t="inlineStr">
        <is>
          <t>2026-06-19</t>
        </is>
      </c>
      <c r="B1039" t="inlineStr">
        <is>
          <t>511260</t>
        </is>
      </c>
      <c r="C1039" t="inlineStr">
        <is>
          <t>十年国债ETF国泰</t>
        </is>
      </c>
      <c r="D1039" t="n">
        <v>14615.65</v>
      </c>
      <c r="E1039" t="n">
        <v>14567.65</v>
      </c>
      <c r="F1039" t="n">
        <v>135.984</v>
      </c>
      <c r="G1039" t="n">
        <v>48</v>
      </c>
      <c r="H1039" t="n">
        <v>198.096696</v>
      </c>
      <c r="I1039" t="n">
        <v>197.411501</v>
      </c>
      <c r="J1039" t="n">
        <v>0.685195</v>
      </c>
      <c r="K1039" s="4">
        <f>IFERROR(J1039/I1039,"")</f>
        <v/>
      </c>
      <c r="L1039" s="4">
        <f>IFERROR((D1039-E1039)/E1039,"")</f>
        <v/>
      </c>
    </row>
    <row r="1040">
      <c r="A1040" t="inlineStr">
        <is>
          <t>2026-06-19</t>
        </is>
      </c>
      <c r="B1040" t="inlineStr">
        <is>
          <t>511270</t>
        </is>
      </c>
      <c r="C1040" t="inlineStr">
        <is>
          <t>10年地方债ETF海富通</t>
        </is>
      </c>
      <c r="D1040" t="n">
        <v>7992.75</v>
      </c>
      <c r="E1040" t="n">
        <v>7896.75</v>
      </c>
      <c r="F1040" t="n">
        <v>120.165</v>
      </c>
      <c r="G1040" t="n">
        <v>96</v>
      </c>
      <c r="H1040" t="n">
        <v>94.891262</v>
      </c>
      <c r="I1040" t="n">
        <v>87.42756</v>
      </c>
      <c r="J1040" t="n">
        <v>7.463702</v>
      </c>
      <c r="K1040" s="4">
        <f>IFERROR(J1040/I1040,"")</f>
        <v/>
      </c>
      <c r="L1040" s="4">
        <f>IFERROR((D1040-E1040)/E1040,"")</f>
        <v/>
      </c>
    </row>
    <row r="1041">
      <c r="A1041" t="inlineStr">
        <is>
          <t>2026-06-19</t>
        </is>
      </c>
      <c r="B1041" t="inlineStr">
        <is>
          <t>511360</t>
        </is>
      </c>
      <c r="C1041" t="inlineStr">
        <is>
          <t>短融ETF海富通</t>
        </is>
      </c>
      <c r="D1041" t="n">
        <v>74797.86</v>
      </c>
      <c r="E1041" t="n">
        <v>74802.86</v>
      </c>
      <c r="F1041" t="n">
        <v>113.557</v>
      </c>
      <c r="G1041" t="n">
        <v>-5</v>
      </c>
      <c r="H1041" t="n">
        <v>849.438878</v>
      </c>
      <c r="I1041" t="n">
        <v>850.6248890000001</v>
      </c>
      <c r="J1041" t="n">
        <v>-1.186011</v>
      </c>
      <c r="K1041" s="4">
        <f>IFERROR(J1041/I1041,"")</f>
        <v/>
      </c>
      <c r="L1041" s="4">
        <f>IFERROR((D1041-E1041)/E1041,"")</f>
        <v/>
      </c>
    </row>
    <row r="1042">
      <c r="A1042" t="inlineStr">
        <is>
          <t>2026-06-19</t>
        </is>
      </c>
      <c r="B1042" t="inlineStr">
        <is>
          <t>511380</t>
        </is>
      </c>
      <c r="C1042" t="inlineStr">
        <is>
          <t>可转债ETF博时</t>
        </is>
      </c>
      <c r="D1042" t="n">
        <v>437718.67</v>
      </c>
      <c r="E1042" t="n">
        <v>438408.67</v>
      </c>
      <c r="F1042" t="n">
        <v>14.067</v>
      </c>
      <c r="G1042" t="n">
        <v>-690</v>
      </c>
      <c r="H1042" t="n">
        <v>616.709472</v>
      </c>
      <c r="I1042" t="n">
        <v>630.2981150000001</v>
      </c>
      <c r="J1042" t="n">
        <v>-13.588643</v>
      </c>
      <c r="K1042" s="4">
        <f>IFERROR(J1042/I1042,"")</f>
        <v/>
      </c>
      <c r="L1042" s="4">
        <f>IFERROR((D1042-E1042)/E1042,"")</f>
        <v/>
      </c>
    </row>
    <row r="1043">
      <c r="A1043" t="inlineStr">
        <is>
          <t>2026-06-19</t>
        </is>
      </c>
      <c r="B1043" t="inlineStr">
        <is>
          <t>511520</t>
        </is>
      </c>
      <c r="C1043" t="inlineStr">
        <is>
          <t>政金债ETF富国</t>
        </is>
      </c>
      <c r="D1043" t="n">
        <v>34639.65</v>
      </c>
      <c r="E1043" t="n">
        <v>34439.65</v>
      </c>
      <c r="F1043" t="n">
        <v>117.869</v>
      </c>
      <c r="G1043" t="n">
        <v>200</v>
      </c>
      <c r="H1043" t="n">
        <v>405.936695</v>
      </c>
      <c r="I1043" t="n">
        <v>403.356758</v>
      </c>
      <c r="J1043" t="n">
        <v>2.579937</v>
      </c>
      <c r="K1043" s="4">
        <f>IFERROR(J1043/I1043,"")</f>
        <v/>
      </c>
      <c r="L1043" s="4">
        <f>IFERROR((D1043-E1043)/E1043,"")</f>
        <v/>
      </c>
    </row>
    <row r="1044">
      <c r="A1044" t="inlineStr">
        <is>
          <t>2026-06-19</t>
        </is>
      </c>
      <c r="B1044" t="inlineStr">
        <is>
          <t>511580</t>
        </is>
      </c>
      <c r="C1044" t="inlineStr">
        <is>
          <t>国债政金债ETF招商</t>
        </is>
      </c>
      <c r="D1044" t="n">
        <v>6666.68</v>
      </c>
      <c r="E1044" t="n">
        <v>6626.68</v>
      </c>
      <c r="F1044" t="n">
        <v>109.34</v>
      </c>
      <c r="G1044" t="n">
        <v>40</v>
      </c>
      <c r="H1044" t="n">
        <v>72.456131</v>
      </c>
      <c r="I1044" t="n">
        <v>72.221294</v>
      </c>
      <c r="J1044" t="n">
        <v>0.234837</v>
      </c>
      <c r="K1044" s="4">
        <f>IFERROR(J1044/I1044,"")</f>
        <v/>
      </c>
      <c r="L1044" s="4">
        <f>IFERROR((D1044-E1044)/E1044,"")</f>
        <v/>
      </c>
    </row>
    <row r="1045">
      <c r="A1045" t="inlineStr">
        <is>
          <t>2026-06-19</t>
        </is>
      </c>
      <c r="B1045" t="inlineStr">
        <is>
          <t>512000</t>
        </is>
      </c>
      <c r="C1045" t="inlineStr">
        <is>
          <t>券商ETF华宝</t>
        </is>
      </c>
      <c r="D1045" t="n">
        <v>7239603.54</v>
      </c>
      <c r="E1045" t="n">
        <v>7210323.54</v>
      </c>
      <c r="F1045" t="n">
        <v>0.502</v>
      </c>
      <c r="G1045" t="n">
        <v>29280</v>
      </c>
      <c r="H1045" t="n">
        <v>361.958242</v>
      </c>
      <c r="I1045" t="n">
        <v>375.922257</v>
      </c>
      <c r="J1045" t="n">
        <v>-13.964015</v>
      </c>
      <c r="K1045" s="4">
        <f>IFERROR(J1045/I1045,"")</f>
        <v/>
      </c>
      <c r="L1045" s="4">
        <f>IFERROR((D1045-E1045)/E1045,"")</f>
        <v/>
      </c>
    </row>
    <row r="1046">
      <c r="A1046" t="inlineStr">
        <is>
          <t>2026-06-19</t>
        </is>
      </c>
      <c r="B1046" t="inlineStr">
        <is>
          <t>512010</t>
        </is>
      </c>
      <c r="C1046" t="inlineStr">
        <is>
          <t>医药ETF易方达</t>
        </is>
      </c>
      <c r="D1046" t="n">
        <v>5010269.49</v>
      </c>
      <c r="E1046" t="n">
        <v>5049669.49</v>
      </c>
      <c r="F1046" t="n">
        <v>0.326</v>
      </c>
      <c r="G1046" t="n">
        <v>-39400</v>
      </c>
      <c r="H1046" t="n">
        <v>164.619225</v>
      </c>
      <c r="I1046" t="n">
        <v>163.201225</v>
      </c>
      <c r="J1046" t="n">
        <v>1.418</v>
      </c>
      <c r="K1046" s="4">
        <f>IFERROR(J1046/I1046,"")</f>
        <v/>
      </c>
      <c r="L1046" s="4">
        <f>IFERROR((D1046-E1046)/E1046,"")</f>
        <v/>
      </c>
    </row>
    <row r="1047">
      <c r="A1047" t="inlineStr">
        <is>
          <t>2026-06-19</t>
        </is>
      </c>
      <c r="B1047" t="inlineStr">
        <is>
          <t>512020</t>
        </is>
      </c>
      <c r="C1047" t="inlineStr">
        <is>
          <t>A500ETF鹏华</t>
        </is>
      </c>
      <c r="D1047" t="n">
        <v>94401.27</v>
      </c>
      <c r="E1047" t="n">
        <v>95601.27</v>
      </c>
      <c r="F1047" t="n">
        <v>1.393</v>
      </c>
      <c r="G1047" t="n">
        <v>-1200</v>
      </c>
      <c r="H1047" t="n">
        <v>13.317256</v>
      </c>
      <c r="I1047" t="n">
        <v>13.304635</v>
      </c>
      <c r="J1047" t="n">
        <v>0.012621</v>
      </c>
      <c r="K1047" s="4">
        <f>IFERROR(J1047/I1047,"")</f>
        <v/>
      </c>
      <c r="L1047" s="4">
        <f>IFERROR((D1047-E1047)/E1047,"")</f>
        <v/>
      </c>
    </row>
    <row r="1048">
      <c r="A1048" t="inlineStr">
        <is>
          <t>2026-06-19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4424</v>
      </c>
      <c r="E1048" t="n">
        <v>4424</v>
      </c>
      <c r="F1048" t="n">
        <v>1.126</v>
      </c>
      <c r="G1048" t="n">
        <v>0</v>
      </c>
      <c r="H1048" t="n">
        <v>0.498142</v>
      </c>
      <c r="I1048" t="n">
        <v>0.496815</v>
      </c>
      <c r="J1048" t="n">
        <v>0.001327</v>
      </c>
      <c r="K1048" s="4">
        <f>IFERROR(J1048/I1048,"")</f>
        <v/>
      </c>
      <c r="L1048" s="4">
        <f>IFERROR((D1048-E1048)/E1048,"")</f>
        <v/>
      </c>
    </row>
    <row r="1049">
      <c r="A1049" t="inlineStr">
        <is>
          <t>2026-06-19</t>
        </is>
      </c>
      <c r="B1049" t="inlineStr">
        <is>
          <t>512040</t>
        </is>
      </c>
      <c r="C1049" t="inlineStr">
        <is>
          <t>价值100ETF富国</t>
        </is>
      </c>
      <c r="D1049" t="n">
        <v>386171.59</v>
      </c>
      <c r="E1049" t="n">
        <v>381771.59</v>
      </c>
      <c r="F1049" t="n">
        <v>1.172</v>
      </c>
      <c r="G1049" t="n">
        <v>4400</v>
      </c>
      <c r="H1049" t="n">
        <v>44.74363</v>
      </c>
      <c r="I1049" t="n">
        <v>45.565557</v>
      </c>
      <c r="J1049" t="n">
        <v>-0.821927</v>
      </c>
      <c r="K1049" s="4">
        <f>IFERROR(J1049/I1049,"")</f>
        <v/>
      </c>
      <c r="L1049" s="4">
        <f>IFERROR((D1049-E1049)/E1049,"")</f>
        <v/>
      </c>
    </row>
    <row r="1050">
      <c r="A1050" t="inlineStr">
        <is>
          <t>2026-06-19</t>
        </is>
      </c>
      <c r="B1050" t="inlineStr">
        <is>
          <t>512050</t>
        </is>
      </c>
      <c r="C1050" t="inlineStr">
        <is>
          <t>A500ETF华夏</t>
        </is>
      </c>
      <c r="D1050" t="n">
        <v>1390699.22</v>
      </c>
      <c r="E1050" t="n">
        <v>1420699.22</v>
      </c>
      <c r="F1050" t="n">
        <v>1.317</v>
      </c>
      <c r="G1050" t="n">
        <v>-30000</v>
      </c>
      <c r="H1050" t="n">
        <v>187.106087</v>
      </c>
      <c r="I1050" t="n">
        <v>187.433568</v>
      </c>
      <c r="J1050" t="n">
        <v>-0.327481</v>
      </c>
      <c r="K1050" s="4">
        <f>IFERROR(J1050/I1050,"")</f>
        <v/>
      </c>
      <c r="L1050" s="4">
        <f>IFERROR((D1050-E1050)/E1050,"")</f>
        <v/>
      </c>
    </row>
    <row r="1051">
      <c r="A1051" t="inlineStr">
        <is>
          <t>2026-06-19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1.282</v>
      </c>
      <c r="G1051" t="n">
        <v>0</v>
      </c>
      <c r="H1051" t="n">
        <v>0.114457</v>
      </c>
      <c r="I1051" t="n">
        <v>0.113832</v>
      </c>
      <c r="J1051" t="n">
        <v>0.000625</v>
      </c>
      <c r="K1051" s="4">
        <f>IFERROR(J1051/I1051,"")</f>
        <v/>
      </c>
      <c r="L1051" s="4">
        <f>IFERROR((D1051-E1051)/E1051,"")</f>
        <v/>
      </c>
    </row>
    <row r="1052">
      <c r="A1052" t="inlineStr">
        <is>
          <t>2026-06-19</t>
        </is>
      </c>
      <c r="B1052" t="inlineStr">
        <is>
          <t>512070</t>
        </is>
      </c>
      <c r="C1052" t="inlineStr">
        <is>
          <t>证券保险ETF易方达</t>
        </is>
      </c>
      <c r="D1052" t="n">
        <v>1697847.97</v>
      </c>
      <c r="E1052" t="n">
        <v>1701947.97</v>
      </c>
      <c r="F1052" t="n">
        <v>0.756</v>
      </c>
      <c r="G1052" t="n">
        <v>-4100</v>
      </c>
      <c r="H1052" t="n">
        <v>128.667266</v>
      </c>
      <c r="I1052" t="n">
        <v>134.686085</v>
      </c>
      <c r="J1052" t="n">
        <v>-6.018819</v>
      </c>
      <c r="K1052" s="4">
        <f>IFERROR(J1052/I1052,"")</f>
        <v/>
      </c>
      <c r="L1052" s="4">
        <f>IFERROR((D1052-E1052)/E1052,"")</f>
        <v/>
      </c>
    </row>
    <row r="1053">
      <c r="A1053" t="inlineStr">
        <is>
          <t>2026-06-19</t>
        </is>
      </c>
      <c r="B1053" t="inlineStr">
        <is>
          <t>512080</t>
        </is>
      </c>
      <c r="C1053" t="inlineStr">
        <is>
          <t>A500ETF中金</t>
        </is>
      </c>
      <c r="D1053" t="n">
        <v>53918.61</v>
      </c>
      <c r="E1053" t="n">
        <v>53618.61</v>
      </c>
      <c r="F1053" t="n">
        <v>1.413</v>
      </c>
      <c r="G1053" t="n">
        <v>300</v>
      </c>
      <c r="H1053" t="n">
        <v>7.576309</v>
      </c>
      <c r="I1053" t="n">
        <v>7.517329</v>
      </c>
      <c r="J1053" t="n">
        <v>0.05898</v>
      </c>
      <c r="K1053" s="4">
        <f>IFERROR(J1053/I1053,"")</f>
        <v/>
      </c>
      <c r="L1053" s="4">
        <f>IFERROR((D1053-E1053)/E1053,"")</f>
        <v/>
      </c>
    </row>
    <row r="1054">
      <c r="A1054" t="inlineStr">
        <is>
          <t>2026-06-19</t>
        </is>
      </c>
      <c r="B1054" t="inlineStr">
        <is>
          <t>512090</t>
        </is>
      </c>
      <c r="C1054" t="inlineStr">
        <is>
          <t>MSCIA股ETF易方达</t>
        </is>
      </c>
      <c r="D1054" t="n">
        <v>31359.23</v>
      </c>
      <c r="E1054" t="n">
        <v>31159.23</v>
      </c>
      <c r="F1054" t="n">
        <v>2.101</v>
      </c>
      <c r="G1054" t="n">
        <v>200</v>
      </c>
      <c r="H1054" t="n">
        <v>6.546555</v>
      </c>
      <c r="I1054" t="n">
        <v>6.537207</v>
      </c>
      <c r="J1054" t="n">
        <v>0.009348</v>
      </c>
      <c r="K1054" s="4">
        <f>IFERROR(J1054/I1054,"")</f>
        <v/>
      </c>
      <c r="L1054" s="4">
        <f>IFERROR((D1054-E1054)/E1054,"")</f>
        <v/>
      </c>
    </row>
    <row r="1055">
      <c r="A1055" t="inlineStr">
        <is>
          <t>2026-06-19</t>
        </is>
      </c>
      <c r="B1055" t="inlineStr">
        <is>
          <t>512100</t>
        </is>
      </c>
      <c r="C1055" t="inlineStr">
        <is>
          <t>中证1000ETF南方</t>
        </is>
      </c>
      <c r="D1055" t="n">
        <v>323321.76</v>
      </c>
      <c r="E1055" t="n">
        <v>324321.76</v>
      </c>
      <c r="F1055" t="n">
        <v>3.544</v>
      </c>
      <c r="G1055" t="n">
        <v>-1000</v>
      </c>
      <c r="H1055" t="n">
        <v>114.939633</v>
      </c>
      <c r="I1055" t="n">
        <v>112.298949</v>
      </c>
      <c r="J1055" t="n">
        <v>2.640684</v>
      </c>
      <c r="K1055" s="4">
        <f>IFERROR(J1055/I1055,"")</f>
        <v/>
      </c>
      <c r="L1055" s="4">
        <f>IFERROR((D1055-E1055)/E1055,"")</f>
        <v/>
      </c>
    </row>
    <row r="1056">
      <c r="A1056" t="inlineStr">
        <is>
          <t>2026-06-19</t>
        </is>
      </c>
      <c r="B1056" t="inlineStr">
        <is>
          <t>512120</t>
        </is>
      </c>
      <c r="C1056" t="inlineStr">
        <is>
          <t>医药ETF华安</t>
        </is>
      </c>
      <c r="D1056" t="n">
        <v>85724.19</v>
      </c>
      <c r="E1056" t="n">
        <v>85024.19</v>
      </c>
      <c r="F1056" t="n">
        <v>0.402</v>
      </c>
      <c r="G1056" t="n">
        <v>700</v>
      </c>
      <c r="H1056" t="n">
        <v>3.417973</v>
      </c>
      <c r="I1056" t="n">
        <v>3.346013</v>
      </c>
      <c r="J1056" t="n">
        <v>0.07196</v>
      </c>
      <c r="K1056" s="4">
        <f>IFERROR(J1056/I1056,"")</f>
        <v/>
      </c>
      <c r="L1056" s="4">
        <f>IFERROR((D1056-E1056)/E1056,"")</f>
        <v/>
      </c>
    </row>
    <row r="1057">
      <c r="A1057" t="inlineStr">
        <is>
          <t>2026-06-19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1.146</v>
      </c>
      <c r="G1057" t="n">
        <v>0</v>
      </c>
      <c r="H1057" t="n">
        <v>0.159237</v>
      </c>
      <c r="I1057" t="n">
        <v>0.171888</v>
      </c>
      <c r="J1057" t="n">
        <v>-0.012651</v>
      </c>
      <c r="K1057" s="4">
        <f>IFERROR(J1057/I1057,"")</f>
        <v/>
      </c>
      <c r="L1057" s="4">
        <f>IFERROR((D1057-E1057)/E1057,"")</f>
        <v/>
      </c>
    </row>
    <row r="1058">
      <c r="A1058" t="inlineStr">
        <is>
          <t>2026-06-19</t>
        </is>
      </c>
      <c r="B1058" t="inlineStr">
        <is>
          <t>512140</t>
        </is>
      </c>
      <c r="C1058" t="inlineStr">
        <is>
          <t>电力ETF华安</t>
        </is>
      </c>
      <c r="D1058" t="n">
        <v>16504.9</v>
      </c>
      <c r="E1058" t="n">
        <v>16204.9</v>
      </c>
      <c r="F1058" t="n">
        <v>0.962</v>
      </c>
      <c r="G1058" t="n">
        <v>300</v>
      </c>
      <c r="H1058" t="n">
        <v>1.558911</v>
      </c>
      <c r="I1058" t="n">
        <v>1.612388</v>
      </c>
      <c r="J1058" t="n">
        <v>-0.053477</v>
      </c>
      <c r="K1058" s="4">
        <f>IFERROR(J1058/I1058,"")</f>
        <v/>
      </c>
      <c r="L1058" s="4">
        <f>IFERROR((D1058-E1058)/E1058,"")</f>
        <v/>
      </c>
    </row>
    <row r="1059">
      <c r="A1059" t="inlineStr">
        <is>
          <t>2026-06-19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1.983</v>
      </c>
      <c r="G1059" t="n">
        <v>0</v>
      </c>
      <c r="H1059" t="n">
        <v>0.378225</v>
      </c>
      <c r="I1059" t="n">
        <v>0.375936</v>
      </c>
      <c r="J1059" t="n">
        <v>0.002289</v>
      </c>
      <c r="K1059" s="4">
        <f>IFERROR(J1059/I1059,"")</f>
        <v/>
      </c>
      <c r="L1059" s="4">
        <f>IFERROR((D1059-E1059)/E1059,"")</f>
        <v/>
      </c>
    </row>
    <row r="1060">
      <c r="A1060" t="inlineStr">
        <is>
          <t>2026-06-19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12377.78</v>
      </c>
      <c r="F1060" t="n">
        <v>1.613</v>
      </c>
      <c r="G1060" t="n">
        <v>-200</v>
      </c>
      <c r="H1060" t="n">
        <v>1.996536</v>
      </c>
      <c r="I1060" t="n">
        <v>1.984158</v>
      </c>
      <c r="J1060" t="n">
        <v>0.012378</v>
      </c>
      <c r="K1060" s="4">
        <f>IFERROR(J1060/I1060,"")</f>
        <v/>
      </c>
      <c r="L1060" s="4">
        <f>IFERROR((D1060-E1060)/E1060,"")</f>
        <v/>
      </c>
    </row>
    <row r="1061">
      <c r="A1061" t="inlineStr">
        <is>
          <t>2026-06-19</t>
        </is>
      </c>
      <c r="B1061" t="inlineStr">
        <is>
          <t>512170</t>
        </is>
      </c>
      <c r="C1061" t="inlineStr">
        <is>
          <t>医疗ETF华宝</t>
        </is>
      </c>
      <c r="D1061" t="n">
        <v>8531682.050000001</v>
      </c>
      <c r="E1061" t="n">
        <v>8566182.050000001</v>
      </c>
      <c r="F1061" t="n">
        <v>0.296</v>
      </c>
      <c r="G1061" t="n">
        <v>-34500</v>
      </c>
      <c r="H1061" t="n">
        <v>253.558989</v>
      </c>
      <c r="I1061" t="n">
        <v>252.721872</v>
      </c>
      <c r="J1061" t="n">
        <v>0.837117</v>
      </c>
      <c r="K1061" s="4">
        <f>IFERROR(J1061/I1061,"")</f>
        <v/>
      </c>
      <c r="L1061" s="4">
        <f>IFERROR((D1061-E1061)/E1061,"")</f>
        <v/>
      </c>
    </row>
    <row r="1062">
      <c r="A1062" t="inlineStr">
        <is>
          <t>2026-06-19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1.808</v>
      </c>
      <c r="G1062" t="n">
        <v>0</v>
      </c>
      <c r="H1062" t="n">
        <v>0.868708</v>
      </c>
      <c r="I1062" t="n">
        <v>0.865825</v>
      </c>
      <c r="J1062" t="n">
        <v>0.002883</v>
      </c>
      <c r="K1062" s="4">
        <f>IFERROR(J1062/I1062,"")</f>
        <v/>
      </c>
      <c r="L1062" s="4">
        <f>IFERROR((D1062-E1062)/E1062,"")</f>
        <v/>
      </c>
    </row>
    <row r="1063">
      <c r="A1063" t="inlineStr">
        <is>
          <t>2026-06-19</t>
        </is>
      </c>
      <c r="B1063" t="inlineStr">
        <is>
          <t>512190</t>
        </is>
      </c>
      <c r="C1063" t="inlineStr">
        <is>
          <t>浙商之江凤凰ETF</t>
        </is>
      </c>
      <c r="D1063" t="n">
        <v>15881.84</v>
      </c>
      <c r="E1063" t="n">
        <v>15951.84</v>
      </c>
      <c r="F1063" t="n">
        <v>2.827</v>
      </c>
      <c r="G1063" t="n">
        <v>-70</v>
      </c>
      <c r="H1063" t="n">
        <v>4.509586</v>
      </c>
      <c r="I1063" t="n">
        <v>4.541489</v>
      </c>
      <c r="J1063" t="n">
        <v>-0.031903</v>
      </c>
      <c r="K1063" s="4">
        <f>IFERROR(J1063/I1063,"")</f>
        <v/>
      </c>
      <c r="L1063" s="4">
        <f>IFERROR((D1063-E1063)/E1063,"")</f>
        <v/>
      </c>
    </row>
    <row r="1064">
      <c r="A1064" t="inlineStr">
        <is>
          <t>2026-06-19</t>
        </is>
      </c>
      <c r="B1064" t="inlineStr">
        <is>
          <t>512200</t>
        </is>
      </c>
      <c r="C1064" t="inlineStr">
        <is>
          <t>房地产ETF南方</t>
        </is>
      </c>
      <c r="D1064" t="n">
        <v>287784.79</v>
      </c>
      <c r="E1064" t="n">
        <v>300459.79</v>
      </c>
      <c r="F1064" t="n">
        <v>1.243</v>
      </c>
      <c r="G1064" t="n">
        <v>-12675</v>
      </c>
      <c r="H1064" t="n">
        <v>37.347152</v>
      </c>
      <c r="I1064" t="n">
        <v>40.772026</v>
      </c>
      <c r="J1064" t="n">
        <v>-3.424874</v>
      </c>
      <c r="K1064" s="4">
        <f>IFERROR(J1064/I1064,"")</f>
        <v/>
      </c>
      <c r="L1064" s="4">
        <f>IFERROR((D1064-E1064)/E1064,"")</f>
        <v/>
      </c>
    </row>
    <row r="1065">
      <c r="A1065" t="inlineStr">
        <is>
          <t>2026-06-19</t>
        </is>
      </c>
      <c r="B1065" t="inlineStr">
        <is>
          <t>512220</t>
        </is>
      </c>
      <c r="C1065" t="inlineStr">
        <is>
          <t>TMTETF景顺</t>
        </is>
      </c>
      <c r="D1065" t="n">
        <v>17546.76</v>
      </c>
      <c r="E1065" t="n">
        <v>17546.76</v>
      </c>
      <c r="F1065" t="n">
        <v>4.758</v>
      </c>
      <c r="G1065" t="n">
        <v>0</v>
      </c>
      <c r="H1065" t="n">
        <v>8.348750000000001</v>
      </c>
      <c r="I1065" t="n">
        <v>8.069756999999999</v>
      </c>
      <c r="J1065" t="n">
        <v>0.278993</v>
      </c>
      <c r="K1065" s="4">
        <f>IFERROR(J1065/I1065,"")</f>
        <v/>
      </c>
      <c r="L1065" s="4">
        <f>IFERROR((D1065-E1065)/E1065,"")</f>
        <v/>
      </c>
    </row>
    <row r="1066">
      <c r="A1066" t="inlineStr">
        <is>
          <t>2026-06-19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F1066" t="n">
        <v>1.192</v>
      </c>
      <c r="G1066" t="n">
        <v>0</v>
      </c>
      <c r="H1066" t="n">
        <v>0.240617</v>
      </c>
      <c r="I1066" t="n">
        <v>0.240415</v>
      </c>
      <c r="J1066" t="n">
        <v>0.000202</v>
      </c>
      <c r="K1066" s="4">
        <f>IFERROR(J1066/I1066,"")</f>
        <v/>
      </c>
      <c r="L1066" s="4">
        <f>IFERROR((D1066-E1066)/E1066,"")</f>
        <v/>
      </c>
    </row>
    <row r="1067">
      <c r="A1067" t="inlineStr">
        <is>
          <t>2026-06-19</t>
        </is>
      </c>
      <c r="B1067" t="inlineStr">
        <is>
          <t>512250</t>
        </is>
      </c>
      <c r="C1067" t="inlineStr">
        <is>
          <t>A50ETF招商</t>
        </is>
      </c>
      <c r="D1067" t="n">
        <v>13910.01</v>
      </c>
      <c r="E1067" t="n">
        <v>14060.01</v>
      </c>
      <c r="F1067" t="n">
        <v>1.273</v>
      </c>
      <c r="G1067" t="n">
        <v>-150</v>
      </c>
      <c r="H1067" t="n">
        <v>1.789839</v>
      </c>
      <c r="I1067" t="n">
        <v>1.804671</v>
      </c>
      <c r="J1067" t="n">
        <v>-0.014832</v>
      </c>
      <c r="K1067" s="4">
        <f>IFERROR(J1067/I1067,"")</f>
        <v/>
      </c>
      <c r="L1067" s="4">
        <f>IFERROR((D1067-E1067)/E1067,"")</f>
        <v/>
      </c>
    </row>
    <row r="1068">
      <c r="A1068" t="inlineStr">
        <is>
          <t>2026-06-19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1.978</v>
      </c>
      <c r="G1068" t="n">
        <v>0</v>
      </c>
      <c r="H1068" t="n">
        <v>0.421269</v>
      </c>
      <c r="I1068" t="n">
        <v>0.423186</v>
      </c>
      <c r="J1068" t="n">
        <v>-0.001917</v>
      </c>
      <c r="K1068" s="4">
        <f>IFERROR(J1068/I1068,"")</f>
        <v/>
      </c>
      <c r="L1068" s="4">
        <f>IFERROR((D1068-E1068)/E1068,"")</f>
        <v/>
      </c>
    </row>
    <row r="1069">
      <c r="A1069" t="inlineStr">
        <is>
          <t>2026-06-19</t>
        </is>
      </c>
      <c r="B1069" t="inlineStr">
        <is>
          <t>512290</t>
        </is>
      </c>
      <c r="C1069" t="inlineStr">
        <is>
          <t>生物医药ETF国泰</t>
        </is>
      </c>
      <c r="D1069" t="n">
        <v>402882.07</v>
      </c>
      <c r="E1069" t="n">
        <v>406282.07</v>
      </c>
      <c r="F1069" t="n">
        <v>0.876</v>
      </c>
      <c r="G1069" t="n">
        <v>-3400</v>
      </c>
      <c r="H1069" t="n">
        <v>35.590309</v>
      </c>
      <c r="I1069" t="n">
        <v>35.008865</v>
      </c>
      <c r="J1069" t="n">
        <v>0.581444</v>
      </c>
      <c r="K1069" s="4">
        <f>IFERROR(J1069/I1069,"")</f>
        <v/>
      </c>
      <c r="L1069" s="4">
        <f>IFERROR((D1069-E1069)/E1069,"")</f>
        <v/>
      </c>
    </row>
    <row r="1070">
      <c r="A1070" t="inlineStr">
        <is>
          <t>2026-06-19</t>
        </is>
      </c>
      <c r="B1070" t="inlineStr">
        <is>
          <t>512330</t>
        </is>
      </c>
      <c r="C1070" t="inlineStr">
        <is>
          <t>信息科技ETF南方</t>
        </is>
      </c>
      <c r="D1070" t="n">
        <v>36268.8</v>
      </c>
      <c r="E1070" t="n">
        <v>36568.8</v>
      </c>
      <c r="F1070" t="n">
        <v>2.106</v>
      </c>
      <c r="G1070" t="n">
        <v>-300</v>
      </c>
      <c r="H1070" t="n">
        <v>7.701389</v>
      </c>
      <c r="I1070" t="n">
        <v>7.583912</v>
      </c>
      <c r="J1070" t="n">
        <v>0.117477</v>
      </c>
      <c r="K1070" s="4">
        <f>IFERROR(J1070/I1070,"")</f>
        <v/>
      </c>
      <c r="L1070" s="4">
        <f>IFERROR((D1070-E1070)/E1070,"")</f>
        <v/>
      </c>
    </row>
    <row r="1071">
      <c r="A1071" t="inlineStr">
        <is>
          <t>2026-06-19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1.908</v>
      </c>
      <c r="G1071" t="n">
        <v>0</v>
      </c>
      <c r="H1071" t="n">
        <v>0.521603</v>
      </c>
      <c r="I1071" t="n">
        <v>0.5202369999999999</v>
      </c>
      <c r="J1071" t="n">
        <v>0.001366</v>
      </c>
      <c r="K1071" s="4">
        <f>IFERROR(J1071/I1071,"")</f>
        <v/>
      </c>
      <c r="L1071" s="4">
        <f>IFERROR((D1071-E1071)/E1071,"")</f>
        <v/>
      </c>
    </row>
    <row r="1072">
      <c r="A1072" t="inlineStr">
        <is>
          <t>2026-06-19</t>
        </is>
      </c>
      <c r="B1072" t="inlineStr">
        <is>
          <t>512370</t>
        </is>
      </c>
      <c r="C1072" t="inlineStr">
        <is>
          <t>A500增强ETF华夏</t>
        </is>
      </c>
      <c r="D1072" t="n">
        <v>36231.3</v>
      </c>
      <c r="E1072" t="n">
        <v>36831.3</v>
      </c>
      <c r="F1072" t="n">
        <v>1.259</v>
      </c>
      <c r="G1072" t="n">
        <v>-600</v>
      </c>
      <c r="H1072" t="n">
        <v>4.637061</v>
      </c>
      <c r="I1072" t="n">
        <v>4.791413</v>
      </c>
      <c r="J1072" t="n">
        <v>-0.154352</v>
      </c>
      <c r="K1072" s="4">
        <f>IFERROR(J1072/I1072,"")</f>
        <v/>
      </c>
      <c r="L1072" s="4">
        <f>IFERROR((D1072-E1072)/E1072,"")</f>
        <v/>
      </c>
    </row>
    <row r="1073">
      <c r="A1073" t="inlineStr">
        <is>
          <t>2026-06-19</t>
        </is>
      </c>
      <c r="B1073" t="inlineStr">
        <is>
          <t>512380</t>
        </is>
      </c>
      <c r="C1073" t="inlineStr">
        <is>
          <t>MSCI中国ETF银华</t>
        </is>
      </c>
      <c r="D1073" t="n">
        <v>6980.56</v>
      </c>
      <c r="E1073" t="n">
        <v>7280.56</v>
      </c>
      <c r="F1073" t="n">
        <v>1.716</v>
      </c>
      <c r="G1073" t="n">
        <v>-300</v>
      </c>
      <c r="H1073" t="n">
        <v>1.249344</v>
      </c>
      <c r="I1073" t="n">
        <v>1.241335</v>
      </c>
      <c r="J1073" t="n">
        <v>0.008009</v>
      </c>
      <c r="K1073" s="4">
        <f>IFERROR(J1073/I1073,"")</f>
        <v/>
      </c>
      <c r="L1073" s="4">
        <f>IFERROR((D1073-E1073)/E1073,"")</f>
        <v/>
      </c>
    </row>
    <row r="1074">
      <c r="A1074" t="inlineStr">
        <is>
          <t>2026-06-19</t>
        </is>
      </c>
      <c r="B1074" t="inlineStr">
        <is>
          <t>512390</t>
        </is>
      </c>
      <c r="C1074" t="inlineStr">
        <is>
          <t>中国低波ETF平安</t>
        </is>
      </c>
      <c r="D1074" t="n">
        <v>1868.2</v>
      </c>
      <c r="E1074" t="n">
        <v>1868.2</v>
      </c>
      <c r="F1074" t="n">
        <v>1.275</v>
      </c>
      <c r="G1074" t="n">
        <v>0</v>
      </c>
      <c r="H1074" t="n">
        <v>0.238195</v>
      </c>
      <c r="I1074" t="n">
        <v>0.238756</v>
      </c>
      <c r="J1074" t="n">
        <v>-0.000561</v>
      </c>
      <c r="K1074" s="4">
        <f>IFERROR(J1074/I1074,"")</f>
        <v/>
      </c>
      <c r="L1074" s="4">
        <f>IFERROR((D1074-E1074)/E1074,"")</f>
        <v/>
      </c>
    </row>
    <row r="1075">
      <c r="A1075" t="inlineStr">
        <is>
          <t>2026-06-19</t>
        </is>
      </c>
      <c r="B1075" t="inlineStr">
        <is>
          <t>512400</t>
        </is>
      </c>
      <c r="C1075" t="inlineStr">
        <is>
          <t>有色金属ETF南方</t>
        </is>
      </c>
      <c r="D1075" t="n">
        <v>1299703.9</v>
      </c>
      <c r="E1075" t="n">
        <v>1326203.9</v>
      </c>
      <c r="F1075" t="n">
        <v>2.05</v>
      </c>
      <c r="G1075" t="n">
        <v>-26500</v>
      </c>
      <c r="H1075" t="n">
        <v>271.8718</v>
      </c>
      <c r="I1075" t="n">
        <v>274.163723</v>
      </c>
      <c r="J1075" t="n">
        <v>-2.291923</v>
      </c>
      <c r="K1075" s="4">
        <f>IFERROR(J1075/I1075,"")</f>
        <v/>
      </c>
      <c r="L1075" s="4">
        <f>IFERROR((D1075-E1075)/E1075,"")</f>
        <v/>
      </c>
    </row>
    <row r="1076">
      <c r="A1076" t="inlineStr">
        <is>
          <t>2026-06-19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3272</v>
      </c>
      <c r="E1076" t="n">
        <v>3272</v>
      </c>
      <c r="F1076" t="n">
        <v>0.953</v>
      </c>
      <c r="G1076" t="n">
        <v>0</v>
      </c>
      <c r="H1076" t="n">
        <v>0.311822</v>
      </c>
      <c r="I1076" t="n">
        <v>0.325735</v>
      </c>
      <c r="J1076" t="n">
        <v>-0.013913</v>
      </c>
      <c r="K1076" s="4">
        <f>IFERROR(J1076/I1076,"")</f>
        <v/>
      </c>
      <c r="L1076" s="4">
        <f>IFERROR((D1076-E1076)/E1076,"")</f>
        <v/>
      </c>
    </row>
    <row r="1077">
      <c r="A1077" t="inlineStr">
        <is>
          <t>2026-06-19</t>
        </is>
      </c>
      <c r="B1077" t="inlineStr">
        <is>
          <t>512450</t>
        </is>
      </c>
      <c r="C1077" t="inlineStr">
        <is>
          <t>畜牧养殖ETF广发</t>
        </is>
      </c>
      <c r="D1077" t="n">
        <v>12186.7</v>
      </c>
      <c r="E1077" t="n">
        <v>12036.7</v>
      </c>
      <c r="F1077" t="n">
        <v>0.8100000000000001</v>
      </c>
      <c r="G1077" t="n">
        <v>150</v>
      </c>
      <c r="H1077" t="n">
        <v>0.974973</v>
      </c>
      <c r="I1077" t="n">
        <v>0.962984</v>
      </c>
      <c r="J1077" t="n">
        <v>0.011989</v>
      </c>
      <c r="K1077" s="4">
        <f>IFERROR(J1077/I1077,"")</f>
        <v/>
      </c>
      <c r="L1077" s="4">
        <f>IFERROR((D1077-E1077)/E1077,"")</f>
        <v/>
      </c>
    </row>
    <row r="1078">
      <c r="A1078" t="inlineStr">
        <is>
          <t>2026-06-19</t>
        </is>
      </c>
      <c r="B1078" t="inlineStr">
        <is>
          <t>512460</t>
        </is>
      </c>
      <c r="C1078" t="inlineStr">
        <is>
          <t>电池ETF华夏</t>
        </is>
      </c>
      <c r="D1078" t="n">
        <v>16082.3</v>
      </c>
      <c r="E1078" t="n">
        <v>16082.3</v>
      </c>
      <c r="F1078" t="n">
        <v>1.056</v>
      </c>
      <c r="G1078" t="n">
        <v>0</v>
      </c>
      <c r="H1078" t="n">
        <v>1.698291</v>
      </c>
      <c r="I1078" t="n">
        <v>1.725033</v>
      </c>
      <c r="J1078" t="n">
        <v>-0.026742</v>
      </c>
      <c r="K1078" s="4">
        <f>IFERROR(J1078/I1078,"")</f>
        <v/>
      </c>
      <c r="L1078" s="4">
        <f>IFERROR((D1078-E1078)/E1078,"")</f>
        <v/>
      </c>
    </row>
    <row r="1079">
      <c r="A1079" t="inlineStr">
        <is>
          <t>2026-06-19</t>
        </is>
      </c>
      <c r="B1079" t="inlineStr">
        <is>
          <t>512480</t>
        </is>
      </c>
      <c r="C1079" t="inlineStr">
        <is>
          <t>半导体ETF国联安</t>
        </is>
      </c>
      <c r="D1079" t="n">
        <v>824900.36</v>
      </c>
      <c r="E1079" t="n">
        <v>825100.36</v>
      </c>
      <c r="F1079" t="n">
        <v>2.481</v>
      </c>
      <c r="G1079" t="n">
        <v>-200</v>
      </c>
      <c r="H1079" t="n">
        <v>204.707399</v>
      </c>
      <c r="I1079" t="n">
        <v>199.386196</v>
      </c>
      <c r="J1079" t="n">
        <v>5.321203</v>
      </c>
      <c r="K1079" s="4">
        <f>IFERROR(J1079/I1079,"")</f>
        <v/>
      </c>
      <c r="L1079" s="4">
        <f>IFERROR((D1079-E1079)/E1079,"")</f>
        <v/>
      </c>
    </row>
    <row r="1080">
      <c r="A1080" t="inlineStr">
        <is>
          <t>2026-06-19</t>
        </is>
      </c>
      <c r="B1080" t="inlineStr">
        <is>
          <t>512500</t>
        </is>
      </c>
      <c r="C1080" t="inlineStr">
        <is>
          <t>中证500ETF华夏</t>
        </is>
      </c>
      <c r="D1080" t="n">
        <v>161200.88</v>
      </c>
      <c r="E1080" t="n">
        <v>162160.88</v>
      </c>
      <c r="F1080" t="n">
        <v>4.898</v>
      </c>
      <c r="G1080" t="n">
        <v>-960</v>
      </c>
      <c r="H1080" t="n">
        <v>79.426399</v>
      </c>
      <c r="I1080" t="n">
        <v>77.977659</v>
      </c>
      <c r="J1080" t="n">
        <v>1.44874</v>
      </c>
      <c r="K1080" s="4">
        <f>IFERROR(J1080/I1080,"")</f>
        <v/>
      </c>
      <c r="L1080" s="4">
        <f>IFERROR((D1080-E1080)/E1080,"")</f>
        <v/>
      </c>
    </row>
    <row r="1081">
      <c r="A1081" t="inlineStr">
        <is>
          <t>2026-06-19</t>
        </is>
      </c>
      <c r="B1081" t="inlineStr">
        <is>
          <t>512510</t>
        </is>
      </c>
      <c r="C1081" t="inlineStr">
        <is>
          <t>中证500ETF华泰柏瑞</t>
        </is>
      </c>
      <c r="D1081" t="n">
        <v>41392.98</v>
      </c>
      <c r="E1081" t="n">
        <v>41542.98</v>
      </c>
      <c r="F1081" t="n">
        <v>2.57</v>
      </c>
      <c r="G1081" t="n">
        <v>-150</v>
      </c>
      <c r="H1081" t="n">
        <v>10.676546</v>
      </c>
      <c r="I1081" t="n">
        <v>10.623371</v>
      </c>
      <c r="J1081" t="n">
        <v>0.053175</v>
      </c>
      <c r="K1081" s="4">
        <f>IFERROR(J1081/I1081,"")</f>
        <v/>
      </c>
      <c r="L1081" s="4">
        <f>IFERROR((D1081-E1081)/E1081,"")</f>
        <v/>
      </c>
    </row>
    <row r="1082">
      <c r="A1082" t="inlineStr">
        <is>
          <t>2026-06-19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1.547</v>
      </c>
      <c r="G1082" t="n">
        <v>0</v>
      </c>
      <c r="H1082" t="n">
        <v>0.650612</v>
      </c>
      <c r="I1082" t="n">
        <v>0.64851</v>
      </c>
      <c r="J1082" t="n">
        <v>0.002102</v>
      </c>
      <c r="K1082" s="4">
        <f>IFERROR(J1082/I1082,"")</f>
        <v/>
      </c>
      <c r="L1082" s="4">
        <f>IFERROR((D1082-E1082)/E1082,"")</f>
        <v/>
      </c>
    </row>
    <row r="1083">
      <c r="A1083" t="inlineStr">
        <is>
          <t>2026-06-19</t>
        </is>
      </c>
      <c r="B1083" t="inlineStr">
        <is>
          <t>512530</t>
        </is>
      </c>
      <c r="C1083" t="inlineStr">
        <is>
          <t>沪深300红利ETF建信</t>
        </is>
      </c>
      <c r="D1083" t="n">
        <v>10550.2</v>
      </c>
      <c r="E1083" t="n">
        <v>10550.2</v>
      </c>
      <c r="F1083" t="n">
        <v>1.514</v>
      </c>
      <c r="G1083" t="n">
        <v>0</v>
      </c>
      <c r="H1083" t="n">
        <v>1.5973</v>
      </c>
      <c r="I1083" t="n">
        <v>1.626841</v>
      </c>
      <c r="J1083" t="n">
        <v>-0.029541</v>
      </c>
      <c r="K1083" s="4">
        <f>IFERROR(J1083/I1083,"")</f>
        <v/>
      </c>
      <c r="L1083" s="4">
        <f>IFERROR((D1083-E1083)/E1083,"")</f>
        <v/>
      </c>
    </row>
    <row r="1084">
      <c r="A1084" t="inlineStr">
        <is>
          <t>2026-06-19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11290.6</v>
      </c>
      <c r="F1084" t="n">
        <v>1.898</v>
      </c>
      <c r="G1084" t="n">
        <v>-300</v>
      </c>
      <c r="H1084" t="n">
        <v>2.142955</v>
      </c>
      <c r="I1084" t="n">
        <v>2.136181</v>
      </c>
      <c r="J1084" t="n">
        <v>0.006774</v>
      </c>
      <c r="K1084" s="4">
        <f>IFERROR(J1084/I1084,"")</f>
        <v/>
      </c>
      <c r="L1084" s="4">
        <f>IFERROR((D1084-E1084)/E1084,"")</f>
        <v/>
      </c>
    </row>
    <row r="1085">
      <c r="A1085" t="inlineStr">
        <is>
          <t>2026-06-19</t>
        </is>
      </c>
      <c r="B1085" t="inlineStr">
        <is>
          <t>512560</t>
        </is>
      </c>
      <c r="C1085" t="inlineStr">
        <is>
          <t>军工ETF易方达</t>
        </is>
      </c>
      <c r="D1085" t="n">
        <v>81612.7</v>
      </c>
      <c r="E1085" t="n">
        <v>81912.7</v>
      </c>
      <c r="F1085" t="n">
        <v>0.806</v>
      </c>
      <c r="G1085" t="n">
        <v>-300</v>
      </c>
      <c r="H1085" t="n">
        <v>6.602164</v>
      </c>
      <c r="I1085" t="n">
        <v>6.569701</v>
      </c>
      <c r="J1085" t="n">
        <v>0.032463</v>
      </c>
      <c r="K1085" s="4">
        <f>IFERROR(J1085/I1085,"")</f>
        <v/>
      </c>
      <c r="L1085" s="4">
        <f>IFERROR((D1085-E1085)/E1085,"")</f>
        <v/>
      </c>
    </row>
    <row r="1086">
      <c r="A1086" t="inlineStr">
        <is>
          <t>2026-06-19</t>
        </is>
      </c>
      <c r="B1086" t="inlineStr">
        <is>
          <t>512570</t>
        </is>
      </c>
      <c r="C1086" t="inlineStr">
        <is>
          <t>证券ETF易方达</t>
        </is>
      </c>
      <c r="D1086" t="n">
        <v>288980.61</v>
      </c>
      <c r="E1086" t="n">
        <v>288880.61</v>
      </c>
      <c r="F1086" t="n">
        <v>1.056</v>
      </c>
      <c r="G1086" t="n">
        <v>100</v>
      </c>
      <c r="H1086" t="n">
        <v>30.505792</v>
      </c>
      <c r="I1086" t="n">
        <v>31.520892</v>
      </c>
      <c r="J1086" t="n">
        <v>-1.0151</v>
      </c>
      <c r="K1086" s="4">
        <f>IFERROR(J1086/I1086,"")</f>
        <v/>
      </c>
      <c r="L1086" s="4">
        <f>IFERROR((D1086-E1086)/E1086,"")</f>
        <v/>
      </c>
    </row>
    <row r="1087">
      <c r="A1087" t="inlineStr">
        <is>
          <t>2026-06-19</t>
        </is>
      </c>
      <c r="B1087" t="inlineStr">
        <is>
          <t>512580</t>
        </is>
      </c>
      <c r="C1087" t="inlineStr">
        <is>
          <t>环保ETF广发</t>
        </is>
      </c>
      <c r="D1087" t="n">
        <v>59307.17</v>
      </c>
      <c r="E1087" t="n">
        <v>59307.17</v>
      </c>
      <c r="F1087" t="n">
        <v>1.343</v>
      </c>
      <c r="G1087" t="n">
        <v>0</v>
      </c>
      <c r="H1087" t="n">
        <v>7.964952</v>
      </c>
      <c r="I1087" t="n">
        <v>8.071705</v>
      </c>
      <c r="J1087" t="n">
        <v>-0.106753</v>
      </c>
      <c r="K1087" s="4">
        <f>IFERROR(J1087/I1087,"")</f>
        <v/>
      </c>
      <c r="L1087" s="4">
        <f>IFERROR((D1087-E1087)/E1087,"")</f>
        <v/>
      </c>
    </row>
    <row r="1088">
      <c r="A1088" t="inlineStr">
        <is>
          <t>2026-06-19</t>
        </is>
      </c>
      <c r="B1088" t="inlineStr">
        <is>
          <t>512600</t>
        </is>
      </c>
      <c r="C1088" t="inlineStr">
        <is>
          <t>消费ETF嘉实</t>
        </is>
      </c>
      <c r="D1088" t="n">
        <v>153615.61</v>
      </c>
      <c r="E1088" t="n">
        <v>153615.61</v>
      </c>
      <c r="F1088" t="n">
        <v>0.533</v>
      </c>
      <c r="G1088" t="n">
        <v>0</v>
      </c>
      <c r="H1088" t="n">
        <v>8.187711999999999</v>
      </c>
      <c r="I1088" t="n">
        <v>8.334269000000001</v>
      </c>
      <c r="J1088" t="n">
        <v>-0.146557</v>
      </c>
      <c r="K1088" s="4">
        <f>IFERROR(J1088/I1088,"")</f>
        <v/>
      </c>
      <c r="L1088" s="4">
        <f>IFERROR((D1088-E1088)/E1088,"")</f>
        <v/>
      </c>
    </row>
    <row r="1089">
      <c r="A1089" t="inlineStr">
        <is>
          <t>2026-06-19</t>
        </is>
      </c>
      <c r="B1089" t="inlineStr">
        <is>
          <t>512620</t>
        </is>
      </c>
      <c r="C1089" t="inlineStr">
        <is>
          <t>农业ETF天弘</t>
        </is>
      </c>
      <c r="D1089" t="n">
        <v>119066.6</v>
      </c>
      <c r="E1089" t="n">
        <v>119166.6</v>
      </c>
      <c r="F1089" t="n">
        <v>0.821</v>
      </c>
      <c r="G1089" t="n">
        <v>-100</v>
      </c>
      <c r="H1089" t="n">
        <v>9.783578</v>
      </c>
      <c r="I1089" t="n">
        <v>9.884928</v>
      </c>
      <c r="J1089" t="n">
        <v>-0.10135</v>
      </c>
      <c r="K1089" s="4">
        <f>IFERROR(J1089/I1089,"")</f>
        <v/>
      </c>
      <c r="L1089" s="4">
        <f>IFERROR((D1089-E1089)/E1089,"")</f>
        <v/>
      </c>
    </row>
    <row r="1090">
      <c r="A1090" t="inlineStr">
        <is>
          <t>2026-06-19</t>
        </is>
      </c>
      <c r="B1090" t="inlineStr">
        <is>
          <t>512630</t>
        </is>
      </c>
      <c r="C1090" t="inlineStr">
        <is>
          <t>卫星ETF广发</t>
        </is>
      </c>
      <c r="D1090" t="n">
        <v>158442.6</v>
      </c>
      <c r="E1090" t="n">
        <v>159842.6</v>
      </c>
      <c r="F1090" t="n">
        <v>1.383</v>
      </c>
      <c r="G1090" t="n">
        <v>-1400</v>
      </c>
      <c r="H1090" t="n">
        <v>22.106232</v>
      </c>
      <c r="I1090" t="n">
        <v>21.982315</v>
      </c>
      <c r="J1090" t="n">
        <v>0.123917</v>
      </c>
      <c r="K1090" s="4">
        <f>IFERROR(J1090/I1090,"")</f>
        <v/>
      </c>
      <c r="L1090" s="4">
        <f>IFERROR((D1090-E1090)/E1090,"")</f>
        <v/>
      </c>
    </row>
    <row r="1091">
      <c r="A1091" t="inlineStr">
        <is>
          <t>2026-06-19</t>
        </is>
      </c>
      <c r="B1091" t="inlineStr">
        <is>
          <t>512640</t>
        </is>
      </c>
      <c r="C1091" t="inlineStr">
        <is>
          <t>金融地产ETF嘉实</t>
        </is>
      </c>
      <c r="D1091" t="n">
        <v>2424.09</v>
      </c>
      <c r="E1091" t="n">
        <v>2424.09</v>
      </c>
      <c r="F1091" t="n">
        <v>2.212</v>
      </c>
      <c r="G1091" t="n">
        <v>0</v>
      </c>
      <c r="H1091" t="n">
        <v>0.536208</v>
      </c>
      <c r="I1091" t="n">
        <v>0.553177</v>
      </c>
      <c r="J1091" t="n">
        <v>-0.016969</v>
      </c>
      <c r="K1091" s="4">
        <f>IFERROR(J1091/I1091,"")</f>
        <v/>
      </c>
      <c r="L1091" s="4">
        <f>IFERROR((D1091-E1091)/E1091,"")</f>
        <v/>
      </c>
    </row>
    <row r="1092">
      <c r="A1092" t="inlineStr">
        <is>
          <t>2026-06-19</t>
        </is>
      </c>
      <c r="B1092" t="inlineStr">
        <is>
          <t>512650</t>
        </is>
      </c>
      <c r="C1092" t="inlineStr">
        <is>
          <t>长三角ETF汇添富</t>
        </is>
      </c>
      <c r="D1092" t="n">
        <v>3094.16</v>
      </c>
      <c r="E1092" t="n">
        <v>3094.16</v>
      </c>
      <c r="F1092" t="n">
        <v>1.427</v>
      </c>
      <c r="G1092" t="n">
        <v>0</v>
      </c>
      <c r="H1092" t="n">
        <v>0.441537</v>
      </c>
      <c r="I1092" t="n">
        <v>0.439371</v>
      </c>
      <c r="J1092" t="n">
        <v>0.002166</v>
      </c>
      <c r="K1092" s="4">
        <f>IFERROR(J1092/I1092,"")</f>
        <v/>
      </c>
      <c r="L1092" s="4">
        <f>IFERROR((D1092-E1092)/E1092,"")</f>
        <v/>
      </c>
    </row>
    <row r="1093">
      <c r="A1093" t="inlineStr">
        <is>
          <t>2026-06-19</t>
        </is>
      </c>
      <c r="B1093" t="inlineStr">
        <is>
          <t>512660</t>
        </is>
      </c>
      <c r="C1093" t="inlineStr">
        <is>
          <t>军工ETF国泰</t>
        </is>
      </c>
      <c r="D1093" t="n">
        <v>541708</v>
      </c>
      <c r="E1093" t="n">
        <v>549208</v>
      </c>
      <c r="F1093" t="n">
        <v>1.29</v>
      </c>
      <c r="G1093" t="n">
        <v>-7500</v>
      </c>
      <c r="H1093" t="n">
        <v>70.847832</v>
      </c>
      <c r="I1093" t="n">
        <v>71.682321</v>
      </c>
      <c r="J1093" t="n">
        <v>-0.834489</v>
      </c>
      <c r="K1093" s="4">
        <f>IFERROR(J1093/I1093,"")</f>
        <v/>
      </c>
      <c r="L1093" s="4">
        <f>IFERROR((D1093-E1093)/E1093,"")</f>
        <v/>
      </c>
    </row>
    <row r="1094">
      <c r="A1094" t="inlineStr">
        <is>
          <t>2026-06-19</t>
        </is>
      </c>
      <c r="B1094" t="inlineStr">
        <is>
          <t>512670</t>
        </is>
      </c>
      <c r="C1094" t="inlineStr">
        <is>
          <t>国防ETF鹏华</t>
        </is>
      </c>
      <c r="D1094" t="n">
        <v>198065.26</v>
      </c>
      <c r="E1094" t="n">
        <v>197765.26</v>
      </c>
      <c r="F1094" t="n">
        <v>0.873</v>
      </c>
      <c r="G1094" t="n">
        <v>300</v>
      </c>
      <c r="H1094" t="n">
        <v>17.264907</v>
      </c>
      <c r="I1094" t="n">
        <v>17.210495</v>
      </c>
      <c r="J1094" t="n">
        <v>0.054412</v>
      </c>
      <c r="K1094" s="4">
        <f>IFERROR(J1094/I1094,"")</f>
        <v/>
      </c>
      <c r="L1094" s="4">
        <f>IFERROR((D1094-E1094)/E1094,"")</f>
        <v/>
      </c>
    </row>
    <row r="1095">
      <c r="A1095" t="inlineStr">
        <is>
          <t>2026-06-19</t>
        </is>
      </c>
      <c r="B1095" t="inlineStr">
        <is>
          <t>512680</t>
        </is>
      </c>
      <c r="C1095" t="inlineStr">
        <is>
          <t>军工ETF广发</t>
        </is>
      </c>
      <c r="D1095" t="n">
        <v>346733.01</v>
      </c>
      <c r="E1095" t="n">
        <v>347053.01</v>
      </c>
      <c r="F1095" t="n">
        <v>1.32</v>
      </c>
      <c r="G1095" t="n">
        <v>-320</v>
      </c>
      <c r="H1095" t="n">
        <v>45.810998</v>
      </c>
      <c r="I1095" t="n">
        <v>45.783763</v>
      </c>
      <c r="J1095" t="n">
        <v>0.027235</v>
      </c>
      <c r="K1095" s="4">
        <f>IFERROR(J1095/I1095,"")</f>
        <v/>
      </c>
      <c r="L1095" s="4">
        <f>IFERROR((D1095-E1095)/E1095,"")</f>
        <v/>
      </c>
    </row>
    <row r="1096">
      <c r="A1096" t="inlineStr">
        <is>
          <t>2026-06-19</t>
        </is>
      </c>
      <c r="B1096" t="inlineStr">
        <is>
          <t>512690</t>
        </is>
      </c>
      <c r="C1096" t="inlineStr">
        <is>
          <t>酒ETF鹏华</t>
        </is>
      </c>
      <c r="D1096" t="n">
        <v>3433075.02</v>
      </c>
      <c r="E1096" t="n">
        <v>3454675.02</v>
      </c>
      <c r="F1096" t="n">
        <v>0.404</v>
      </c>
      <c r="G1096" t="n">
        <v>-21600</v>
      </c>
      <c r="H1096" t="n">
        <v>139.568871</v>
      </c>
      <c r="I1096" t="n">
        <v>142.685512</v>
      </c>
      <c r="J1096" t="n">
        <v>-3.116641</v>
      </c>
      <c r="K1096" s="4">
        <f>IFERROR(J1096/I1096,"")</f>
        <v/>
      </c>
      <c r="L1096" s="4">
        <f>IFERROR((D1096-E1096)/E1096,"")</f>
        <v/>
      </c>
    </row>
    <row r="1097">
      <c r="A1097" t="inlineStr">
        <is>
          <t>2026-06-19</t>
        </is>
      </c>
      <c r="B1097" t="inlineStr">
        <is>
          <t>512700</t>
        </is>
      </c>
      <c r="C1097" t="inlineStr">
        <is>
          <t>银行ETF南方</t>
        </is>
      </c>
      <c r="D1097" t="n">
        <v>79308.10000000001</v>
      </c>
      <c r="E1097" t="n">
        <v>79308.10000000001</v>
      </c>
      <c r="F1097" t="n">
        <v>1.411</v>
      </c>
      <c r="G1097" t="n">
        <v>0</v>
      </c>
      <c r="H1097" t="n">
        <v>11.190373</v>
      </c>
      <c r="I1097" t="n">
        <v>11.258281</v>
      </c>
      <c r="J1097" t="n">
        <v>-0.067908</v>
      </c>
      <c r="K1097" s="4">
        <f>IFERROR(J1097/I1097,"")</f>
        <v/>
      </c>
      <c r="L1097" s="4">
        <f>IFERROR((D1097-E1097)/E1097,"")</f>
        <v/>
      </c>
    </row>
    <row r="1098">
      <c r="A1098" t="inlineStr">
        <is>
          <t>2026-06-19</t>
        </is>
      </c>
      <c r="B1098" t="inlineStr">
        <is>
          <t>512710</t>
        </is>
      </c>
      <c r="C1098" t="inlineStr">
        <is>
          <t>军工龙头ETF富国</t>
        </is>
      </c>
      <c r="D1098" t="n">
        <v>1138065.84</v>
      </c>
      <c r="E1098" t="n">
        <v>1153465.84</v>
      </c>
      <c r="F1098" t="n">
        <v>0.681</v>
      </c>
      <c r="G1098" t="n">
        <v>-15400</v>
      </c>
      <c r="H1098" t="n">
        <v>78.551024</v>
      </c>
      <c r="I1098" t="n">
        <v>78.252117</v>
      </c>
      <c r="J1098" t="n">
        <v>0.298907</v>
      </c>
      <c r="K1098" s="4">
        <f>IFERROR(J1098/I1098,"")</f>
        <v/>
      </c>
      <c r="L1098" s="4">
        <f>IFERROR((D1098-E1098)/E1098,"")</f>
        <v/>
      </c>
    </row>
    <row r="1099">
      <c r="A1099" t="inlineStr">
        <is>
          <t>2026-06-19</t>
        </is>
      </c>
      <c r="B1099" t="inlineStr">
        <is>
          <t>512720</t>
        </is>
      </c>
      <c r="C1099" t="inlineStr">
        <is>
          <t>计算机ETF国泰</t>
        </is>
      </c>
      <c r="D1099" t="n">
        <v>40145.34</v>
      </c>
      <c r="E1099" t="n">
        <v>40245.34</v>
      </c>
      <c r="F1099" t="n">
        <v>1.219</v>
      </c>
      <c r="G1099" t="n">
        <v>-100</v>
      </c>
      <c r="H1099" t="n">
        <v>4.905908</v>
      </c>
      <c r="I1099" t="n">
        <v>4.853441</v>
      </c>
      <c r="J1099" t="n">
        <v>0.052467</v>
      </c>
      <c r="K1099" s="4">
        <f>IFERROR(J1099/I1099,"")</f>
        <v/>
      </c>
      <c r="L1099" s="4">
        <f>IFERROR((D1099-E1099)/E1099,"")</f>
        <v/>
      </c>
    </row>
    <row r="1100">
      <c r="A1100" t="inlineStr">
        <is>
          <t>2026-06-19</t>
        </is>
      </c>
      <c r="B1100" t="inlineStr">
        <is>
          <t>512730</t>
        </is>
      </c>
      <c r="C1100" t="inlineStr">
        <is>
          <t>银行ETF鹏华</t>
        </is>
      </c>
      <c r="D1100" t="n">
        <v>6958.39</v>
      </c>
      <c r="E1100" t="n">
        <v>6908.39</v>
      </c>
      <c r="F1100" t="n">
        <v>1.574</v>
      </c>
      <c r="G1100" t="n">
        <v>50</v>
      </c>
      <c r="H1100" t="n">
        <v>1.08738</v>
      </c>
      <c r="I1100" t="n">
        <v>1.11225</v>
      </c>
      <c r="J1100" t="n">
        <v>-0.02487</v>
      </c>
      <c r="K1100" s="4">
        <f>IFERROR(J1100/I1100,"")</f>
        <v/>
      </c>
      <c r="L1100" s="4">
        <f>IFERROR((D1100-E1100)/E1100,"")</f>
        <v/>
      </c>
    </row>
    <row r="1101">
      <c r="A1101" t="inlineStr">
        <is>
          <t>2026-06-19</t>
        </is>
      </c>
      <c r="B1101" t="inlineStr">
        <is>
          <t>512750</t>
        </is>
      </c>
      <c r="C1101" t="inlineStr">
        <is>
          <t>基本面50ETF嘉实</t>
        </is>
      </c>
      <c r="D1101" t="n">
        <v>4835.49</v>
      </c>
      <c r="E1101" t="n">
        <v>4835.49</v>
      </c>
      <c r="F1101" t="n">
        <v>1.346</v>
      </c>
      <c r="G1101" t="n">
        <v>0</v>
      </c>
      <c r="H1101" t="n">
        <v>0.650857</v>
      </c>
      <c r="I1101" t="n">
        <v>0.668265</v>
      </c>
      <c r="J1101" t="n">
        <v>-0.017408</v>
      </c>
      <c r="K1101" s="4">
        <f>IFERROR(J1101/I1101,"")</f>
        <v/>
      </c>
      <c r="L1101" s="4">
        <f>IFERROR((D1101-E1101)/E1101,"")</f>
        <v/>
      </c>
    </row>
    <row r="1102">
      <c r="A1102" t="inlineStr">
        <is>
          <t>2026-06-19</t>
        </is>
      </c>
      <c r="B1102" t="inlineStr">
        <is>
          <t>512760</t>
        </is>
      </c>
      <c r="C1102" t="inlineStr">
        <is>
          <t>芯片ETF国泰</t>
        </is>
      </c>
      <c r="D1102" t="n">
        <v>827344.55</v>
      </c>
      <c r="E1102" t="n">
        <v>843844.55</v>
      </c>
      <c r="F1102" t="n">
        <v>1.317</v>
      </c>
      <c r="G1102" t="n">
        <v>-16500</v>
      </c>
      <c r="H1102" t="n">
        <v>111.134328</v>
      </c>
      <c r="I1102" t="n">
        <v>108.565108</v>
      </c>
      <c r="J1102" t="n">
        <v>2.56922</v>
      </c>
      <c r="K1102" s="4">
        <f>IFERROR(J1102/I1102,"")</f>
        <v/>
      </c>
      <c r="L1102" s="4">
        <f>IFERROR((D1102-E1102)/E1102,"")</f>
        <v/>
      </c>
    </row>
    <row r="1103">
      <c r="A1103" t="inlineStr">
        <is>
          <t>2026-06-19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3.121</v>
      </c>
      <c r="G1103" t="n">
        <v>0</v>
      </c>
      <c r="H1103" t="n">
        <v>3.066938</v>
      </c>
      <c r="I1103" t="n">
        <v>2.972601</v>
      </c>
      <c r="J1103" t="n">
        <v>0.094337</v>
      </c>
      <c r="K1103" s="4">
        <f>IFERROR(J1103/I1103,"")</f>
        <v/>
      </c>
      <c r="L1103" s="4">
        <f>IFERROR((D1103-E1103)/E1103,"")</f>
        <v/>
      </c>
    </row>
    <row r="1104">
      <c r="A1104" t="inlineStr">
        <is>
          <t>2026-06-19</t>
        </is>
      </c>
      <c r="B1104" t="inlineStr">
        <is>
          <t>512800</t>
        </is>
      </c>
      <c r="C1104" t="inlineStr">
        <is>
          <t>银行ETF华宝</t>
        </is>
      </c>
      <c r="D1104" t="n">
        <v>1537167.99</v>
      </c>
      <c r="E1104" t="n">
        <v>1595847.99</v>
      </c>
      <c r="F1104" t="n">
        <v>0.766</v>
      </c>
      <c r="G1104" t="n">
        <v>-58680</v>
      </c>
      <c r="H1104" t="n">
        <v>122.241956</v>
      </c>
      <c r="I1104" t="n">
        <v>125.015017</v>
      </c>
      <c r="J1104" t="n">
        <v>-2.773061</v>
      </c>
      <c r="K1104" s="4">
        <f>IFERROR(J1104/I1104,"")</f>
        <v/>
      </c>
      <c r="L1104" s="4">
        <f>IFERROR((D1104-E1104)/E1104,"")</f>
        <v/>
      </c>
    </row>
    <row r="1105">
      <c r="A1105" t="inlineStr">
        <is>
          <t>2026-06-19</t>
        </is>
      </c>
      <c r="B1105" t="inlineStr">
        <is>
          <t>512810</t>
        </is>
      </c>
      <c r="C1105" t="inlineStr">
        <is>
          <t>军工ETF华宝</t>
        </is>
      </c>
      <c r="D1105" t="n">
        <v>96158.35000000001</v>
      </c>
      <c r="E1105" t="n">
        <v>96758.35000000001</v>
      </c>
      <c r="F1105" t="n">
        <v>0.751</v>
      </c>
      <c r="G1105" t="n">
        <v>-600</v>
      </c>
      <c r="H1105" t="n">
        <v>7.266552</v>
      </c>
      <c r="I1105" t="n">
        <v>6.725832</v>
      </c>
      <c r="J1105" t="n">
        <v>0.54072</v>
      </c>
      <c r="K1105" s="4">
        <f>IFERROR(J1105/I1105,"")</f>
        <v/>
      </c>
      <c r="L1105" s="4">
        <f>IFERROR((D1105-E1105)/E1105,"")</f>
        <v/>
      </c>
    </row>
    <row r="1106">
      <c r="A1106" t="inlineStr">
        <is>
          <t>2026-06-19</t>
        </is>
      </c>
      <c r="B1106" t="inlineStr">
        <is>
          <t>512820</t>
        </is>
      </c>
      <c r="C1106" t="inlineStr">
        <is>
          <t>银行ETF汇添富</t>
        </is>
      </c>
      <c r="D1106" t="n">
        <v>44110.19</v>
      </c>
      <c r="E1106" t="n">
        <v>43870.19</v>
      </c>
      <c r="F1106" t="n">
        <v>1.344</v>
      </c>
      <c r="G1106" t="n">
        <v>240</v>
      </c>
      <c r="H1106" t="n">
        <v>5.896153</v>
      </c>
      <c r="I1106" t="n">
        <v>6.061848</v>
      </c>
      <c r="J1106" t="n">
        <v>-0.165695</v>
      </c>
      <c r="K1106" s="4">
        <f>IFERROR(J1106/I1106,"")</f>
        <v/>
      </c>
      <c r="L1106" s="4">
        <f>IFERROR((D1106-E1106)/E1106,"")</f>
        <v/>
      </c>
    </row>
    <row r="1107">
      <c r="A1107" t="inlineStr">
        <is>
          <t>2026-06-19</t>
        </is>
      </c>
      <c r="B1107" t="inlineStr">
        <is>
          <t>512870</t>
        </is>
      </c>
      <c r="C1107" t="inlineStr">
        <is>
          <t>杭州湾区ETF南华</t>
        </is>
      </c>
      <c r="D1107" t="n">
        <v>2341.06</v>
      </c>
      <c r="E1107" t="n">
        <v>2341.06</v>
      </c>
      <c r="F1107" t="n">
        <v>1.605</v>
      </c>
      <c r="G1107" t="n">
        <v>0</v>
      </c>
      <c r="H1107" t="n">
        <v>0.375741</v>
      </c>
      <c r="I1107" t="n">
        <v>0.368952</v>
      </c>
      <c r="J1107" t="n">
        <v>0.006789</v>
      </c>
      <c r="K1107" s="4">
        <f>IFERROR(J1107/I1107,"")</f>
        <v/>
      </c>
      <c r="L1107" s="4">
        <f>IFERROR((D1107-E1107)/E1107,"")</f>
        <v/>
      </c>
    </row>
    <row r="1108">
      <c r="A1108" t="inlineStr">
        <is>
          <t>2026-06-19</t>
        </is>
      </c>
      <c r="B1108" t="inlineStr">
        <is>
          <t>512880</t>
        </is>
      </c>
      <c r="C1108" t="inlineStr">
        <is>
          <t>证券ETF国泰</t>
        </is>
      </c>
      <c r="D1108" t="n">
        <v>5234729.15</v>
      </c>
      <c r="E1108" t="n">
        <v>5229229.15</v>
      </c>
      <c r="F1108" t="n">
        <v>1.05</v>
      </c>
      <c r="G1108" t="n">
        <v>5500</v>
      </c>
      <c r="H1108" t="n">
        <v>549.069061</v>
      </c>
      <c r="I1108" t="n">
        <v>568.230801</v>
      </c>
      <c r="J1108" t="n">
        <v>-19.16174</v>
      </c>
      <c r="K1108" s="4">
        <f>IFERROR(J1108/I1108,"")</f>
        <v/>
      </c>
      <c r="L1108" s="4">
        <f>IFERROR((D1108-E1108)/E1108,"")</f>
        <v/>
      </c>
    </row>
    <row r="1109">
      <c r="A1109" t="inlineStr">
        <is>
          <t>2026-06-19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2916111.08</v>
      </c>
      <c r="E1109" t="n">
        <v>2901011.08</v>
      </c>
      <c r="F1109" t="n">
        <v>1.115</v>
      </c>
      <c r="G1109" t="n">
        <v>15100</v>
      </c>
      <c r="H1109" t="n">
        <v>323.462735</v>
      </c>
      <c r="I1109" t="n">
        <v>328.275663</v>
      </c>
      <c r="J1109" t="n">
        <v>-4.812928</v>
      </c>
      <c r="K1109" s="4">
        <f>IFERROR(J1109/I1109,"")</f>
        <v/>
      </c>
      <c r="L1109" s="4">
        <f>IFERROR((D1109-E1109)/E1109,"")</f>
        <v/>
      </c>
    </row>
    <row r="1110">
      <c r="A1110" t="inlineStr">
        <is>
          <t>2026-06-19</t>
        </is>
      </c>
      <c r="B1110" t="inlineStr">
        <is>
          <t>512900</t>
        </is>
      </c>
      <c r="C1110" t="inlineStr">
        <is>
          <t>证券ETF南方</t>
        </is>
      </c>
      <c r="D1110" t="n">
        <v>678190.6</v>
      </c>
      <c r="E1110" t="n">
        <v>678590.6</v>
      </c>
      <c r="F1110" t="n">
        <v>1.039</v>
      </c>
      <c r="G1110" t="n">
        <v>-400</v>
      </c>
      <c r="H1110" t="n">
        <v>70.505563</v>
      </c>
      <c r="I1110" t="n">
        <v>73.09187</v>
      </c>
      <c r="J1110" t="n">
        <v>-2.586307</v>
      </c>
      <c r="K1110" s="4">
        <f>IFERROR(J1110/I1110,"")</f>
        <v/>
      </c>
      <c r="L1110" s="4">
        <f>IFERROR((D1110-E1110)/E1110,"")</f>
        <v/>
      </c>
    </row>
    <row r="1111">
      <c r="A1111" t="inlineStr">
        <is>
          <t>2026-06-19</t>
        </is>
      </c>
      <c r="B1111" t="inlineStr">
        <is>
          <t>512910</t>
        </is>
      </c>
      <c r="C1111" t="inlineStr">
        <is>
          <t>A100ETF广发</t>
        </is>
      </c>
      <c r="D1111" t="n">
        <v>13412.88</v>
      </c>
      <c r="E1111" t="n">
        <v>13712.88</v>
      </c>
      <c r="F1111" t="n">
        <v>1.396</v>
      </c>
      <c r="G1111" t="n">
        <v>-300</v>
      </c>
      <c r="H1111" t="n">
        <v>1.914318</v>
      </c>
      <c r="I1111" t="n">
        <v>1.899233</v>
      </c>
      <c r="J1111" t="n">
        <v>0.015085</v>
      </c>
      <c r="K1111" s="4">
        <f>IFERROR(J1111/I1111,"")</f>
        <v/>
      </c>
      <c r="L1111" s="4">
        <f>IFERROR((D1111-E1111)/E1111,"")</f>
        <v/>
      </c>
    </row>
    <row r="1112">
      <c r="A1112" t="inlineStr">
        <is>
          <t>2026-06-19</t>
        </is>
      </c>
      <c r="B1112" t="inlineStr">
        <is>
          <t>512930</t>
        </is>
      </c>
      <c r="C1112" t="inlineStr">
        <is>
          <t>AI人工智能ETF平安</t>
        </is>
      </c>
      <c r="D1112" t="n">
        <v>416052.13</v>
      </c>
      <c r="E1112" t="n">
        <v>426052.13</v>
      </c>
      <c r="F1112" t="n">
        <v>0.75</v>
      </c>
      <c r="G1112" t="n">
        <v>-10000</v>
      </c>
      <c r="H1112" t="n">
        <v>31.95391</v>
      </c>
      <c r="I1112" t="n">
        <v>30.620042</v>
      </c>
      <c r="J1112" t="n">
        <v>1.333868</v>
      </c>
      <c r="K1112" s="4">
        <f>IFERROR(J1112/I1112,"")</f>
        <v/>
      </c>
      <c r="L1112" s="4">
        <f>IFERROR((D1112-E1112)/E1112,"")</f>
        <v/>
      </c>
    </row>
    <row r="1113">
      <c r="A1113" t="inlineStr">
        <is>
          <t>2026-06-19</t>
        </is>
      </c>
      <c r="B1113" t="inlineStr">
        <is>
          <t>512940</t>
        </is>
      </c>
      <c r="C1113" t="inlineStr">
        <is>
          <t>有色ETF华安</t>
        </is>
      </c>
      <c r="D1113" t="n">
        <v>211770.5</v>
      </c>
      <c r="E1113" t="n">
        <v>211570.5</v>
      </c>
      <c r="F1113" t="n">
        <v>0.903</v>
      </c>
      <c r="G1113" t="n">
        <v>200</v>
      </c>
      <c r="H1113" t="n">
        <v>19.104816</v>
      </c>
      <c r="I1113" t="n">
        <v>19.059666</v>
      </c>
      <c r="J1113" t="n">
        <v>0.04515</v>
      </c>
      <c r="K1113" s="4">
        <f>IFERROR(J1113/I1113,"")</f>
        <v/>
      </c>
      <c r="L1113" s="4">
        <f>IFERROR((D1113-E1113)/E1113,"")</f>
        <v/>
      </c>
    </row>
    <row r="1114">
      <c r="A1114" t="inlineStr">
        <is>
          <t>2026-06-19</t>
        </is>
      </c>
      <c r="B1114" t="inlineStr">
        <is>
          <t>512950</t>
        </is>
      </c>
      <c r="C1114" t="inlineStr">
        <is>
          <t>央企改革ETF华夏</t>
        </is>
      </c>
      <c r="D1114" t="n">
        <v>406155.1</v>
      </c>
      <c r="E1114" t="n">
        <v>406155.1</v>
      </c>
      <c r="F1114" t="n">
        <v>1.573</v>
      </c>
      <c r="G1114" t="n">
        <v>0</v>
      </c>
      <c r="H1114" t="n">
        <v>63.888197</v>
      </c>
      <c r="I1114" t="n">
        <v>63.888197</v>
      </c>
      <c r="J1114" t="n">
        <v>0</v>
      </c>
      <c r="K1114" s="4">
        <f>IFERROR(J1114/I1114,"")</f>
        <v/>
      </c>
      <c r="L1114" s="4">
        <f>IFERROR((D1114-E1114)/E1114,"")</f>
        <v/>
      </c>
    </row>
    <row r="1115">
      <c r="A1115" t="inlineStr">
        <is>
          <t>2026-06-19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388905.73</v>
      </c>
      <c r="E1115" t="n">
        <v>389025.73</v>
      </c>
      <c r="F1115" t="n">
        <v>1.52</v>
      </c>
      <c r="G1115" t="n">
        <v>-120</v>
      </c>
      <c r="H1115" t="n">
        <v>59.131911</v>
      </c>
      <c r="I1115" t="n">
        <v>59.209716</v>
      </c>
      <c r="J1115" t="n">
        <v>-0.077805</v>
      </c>
      <c r="K1115" s="4">
        <f>IFERROR(J1115/I1115,"")</f>
        <v/>
      </c>
      <c r="L1115" s="4">
        <f>IFERROR((D1115-E1115)/E1115,"")</f>
        <v/>
      </c>
    </row>
    <row r="1116">
      <c r="A1116" t="inlineStr">
        <is>
          <t>2026-06-19</t>
        </is>
      </c>
      <c r="B1116" t="inlineStr">
        <is>
          <t>512970</t>
        </is>
      </c>
      <c r="C1116" t="inlineStr">
        <is>
          <t>大湾区ETF平安</t>
        </is>
      </c>
      <c r="D1116" t="n">
        <v>998.76</v>
      </c>
      <c r="E1116" t="n">
        <v>998.76</v>
      </c>
      <c r="F1116" t="n">
        <v>1.748</v>
      </c>
      <c r="G1116" t="n">
        <v>0</v>
      </c>
      <c r="H1116" t="n">
        <v>0.174584</v>
      </c>
      <c r="I1116" t="n">
        <v>0.174784</v>
      </c>
      <c r="J1116" t="n">
        <v>-0.0002</v>
      </c>
      <c r="K1116" s="4">
        <f>IFERROR(J1116/I1116,"")</f>
        <v/>
      </c>
      <c r="L1116" s="4">
        <f>IFERROR((D1116-E1116)/E1116,"")</f>
        <v/>
      </c>
    </row>
    <row r="1117">
      <c r="A1117" t="inlineStr">
        <is>
          <t>2026-06-19</t>
        </is>
      </c>
      <c r="B1117" t="inlineStr">
        <is>
          <t>512980</t>
        </is>
      </c>
      <c r="C1117" t="inlineStr">
        <is>
          <t>传媒ETF广发</t>
        </is>
      </c>
      <c r="D1117" t="n">
        <v>450442.44</v>
      </c>
      <c r="E1117" t="n">
        <v>455842.44</v>
      </c>
      <c r="F1117" t="n">
        <v>0.827</v>
      </c>
      <c r="G1117" t="n">
        <v>-5400</v>
      </c>
      <c r="H1117" t="n">
        <v>37.69817</v>
      </c>
      <c r="I1117" t="n">
        <v>38.518299</v>
      </c>
      <c r="J1117" t="n">
        <v>-0.820129</v>
      </c>
      <c r="K1117" s="4">
        <f>IFERROR(J1117/I1117,"")</f>
        <v/>
      </c>
      <c r="L1117" s="4">
        <f>IFERROR((D1117-E1117)/E1117,"")</f>
        <v/>
      </c>
    </row>
    <row r="1118">
      <c r="A1118" t="inlineStr">
        <is>
          <t>2026-06-19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10501.54</v>
      </c>
      <c r="F1118" t="n">
        <v>2.144</v>
      </c>
      <c r="G1118" t="n">
        <v>-400</v>
      </c>
      <c r="H1118" t="n">
        <v>2.251531</v>
      </c>
      <c r="I1118" t="n">
        <v>2.243129</v>
      </c>
      <c r="J1118" t="n">
        <v>0.008402</v>
      </c>
      <c r="K1118" s="4">
        <f>IFERROR(J1118/I1118,"")</f>
        <v/>
      </c>
      <c r="L1118" s="4">
        <f>IFERROR((D1118-E1118)/E1118,"")</f>
        <v/>
      </c>
    </row>
    <row r="1119">
      <c r="A1119" t="inlineStr">
        <is>
          <t>2026-06-19</t>
        </is>
      </c>
      <c r="B1119" t="inlineStr">
        <is>
          <t>513000</t>
        </is>
      </c>
      <c r="C1119" t="inlineStr">
        <is>
          <t>日经225ETF易方达</t>
        </is>
      </c>
      <c r="D1119" t="n">
        <v>97791.14</v>
      </c>
      <c r="E1119" t="n">
        <v>97741.14</v>
      </c>
      <c r="F1119" t="n">
        <v>2.523</v>
      </c>
      <c r="G1119" t="n">
        <v>50</v>
      </c>
      <c r="H1119" t="n">
        <v>24.660089</v>
      </c>
      <c r="I1119" t="n">
        <v>24.022251</v>
      </c>
      <c r="J1119" t="n">
        <v>0.637838</v>
      </c>
      <c r="K1119" s="4">
        <f>IFERROR(J1119/I1119,"")</f>
        <v/>
      </c>
      <c r="L1119" s="4">
        <f>IFERROR((D1119-E1119)/E1119,"")</f>
        <v/>
      </c>
    </row>
    <row r="1120">
      <c r="A1120" t="inlineStr">
        <is>
          <t>2026-06-19</t>
        </is>
      </c>
      <c r="B1120" t="inlineStr">
        <is>
          <t>513010</t>
        </is>
      </c>
      <c r="C1120" t="inlineStr">
        <is>
          <t>恒生科技ETF易方达</t>
        </is>
      </c>
      <c r="D1120" t="n">
        <v>4668230.7</v>
      </c>
      <c r="E1120" t="n">
        <v>4668230.7</v>
      </c>
      <c r="F1120" t="n">
        <v>0.598</v>
      </c>
      <c r="G1120" t="n">
        <v>0</v>
      </c>
      <c r="H1120" t="n">
        <v>279.160196</v>
      </c>
      <c r="I1120" t="n">
        <v>284.29525</v>
      </c>
      <c r="J1120" t="n">
        <v>-5.135054</v>
      </c>
      <c r="K1120" s="4">
        <f>IFERROR(J1120/I1120,"")</f>
        <v/>
      </c>
      <c r="L1120" s="4">
        <f>IFERROR((D1120-E1120)/E1120,"")</f>
        <v/>
      </c>
    </row>
    <row r="1121">
      <c r="A1121" t="inlineStr">
        <is>
          <t>2026-06-19</t>
        </is>
      </c>
      <c r="B1121" t="inlineStr">
        <is>
          <t>513020</t>
        </is>
      </c>
      <c r="C1121" t="inlineStr">
        <is>
          <t>港股科技ETF国泰</t>
        </is>
      </c>
      <c r="D1121" t="n">
        <v>313714.54</v>
      </c>
      <c r="E1121" t="n">
        <v>320714.54</v>
      </c>
      <c r="F1121" t="n">
        <v>0.912</v>
      </c>
      <c r="G1121" t="n">
        <v>-7000</v>
      </c>
      <c r="H1121" t="n">
        <v>29.249166</v>
      </c>
      <c r="I1121" t="n">
        <v>30.346367</v>
      </c>
      <c r="J1121" t="n">
        <v>-1.097201</v>
      </c>
      <c r="K1121" s="4">
        <f>IFERROR(J1121/I1121,"")</f>
        <v/>
      </c>
      <c r="L1121" s="4">
        <f>IFERROR((D1121-E1121)/E1121,"")</f>
        <v/>
      </c>
    </row>
    <row r="1122">
      <c r="A1122" t="inlineStr">
        <is>
          <t>2026-06-19</t>
        </is>
      </c>
      <c r="B1122" t="inlineStr">
        <is>
          <t>513030</t>
        </is>
      </c>
      <c r="C1122" t="inlineStr">
        <is>
          <t>德国ETF华安</t>
        </is>
      </c>
      <c r="D1122" t="n">
        <v>101927.9</v>
      </c>
      <c r="E1122" t="n">
        <v>101827.9</v>
      </c>
      <c r="F1122" t="n">
        <v>1.784</v>
      </c>
      <c r="G1122" t="n">
        <v>100</v>
      </c>
      <c r="H1122" t="n">
        <v>18.166097</v>
      </c>
      <c r="I1122" t="n">
        <v>18.188949</v>
      </c>
      <c r="J1122" t="n">
        <v>-0.022852</v>
      </c>
      <c r="K1122" s="4">
        <f>IFERROR(J1122/I1122,"")</f>
        <v/>
      </c>
      <c r="L1122" s="4">
        <f>IFERROR((D1122-E1122)/E1122,"")</f>
        <v/>
      </c>
    </row>
    <row r="1123">
      <c r="A1123" t="inlineStr">
        <is>
          <t>2026-06-19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644784.13</v>
      </c>
      <c r="E1123" t="n">
        <v>645234.13</v>
      </c>
      <c r="F1123" t="n">
        <v>0.915</v>
      </c>
      <c r="G1123" t="n">
        <v>-450</v>
      </c>
      <c r="H1123" t="n">
        <v>59.038923</v>
      </c>
      <c r="I1123" t="n">
        <v>61.412872</v>
      </c>
      <c r="J1123" t="n">
        <v>-2.373949</v>
      </c>
      <c r="K1123" s="4">
        <f>IFERROR(J1123/I1123,"")</f>
        <v/>
      </c>
      <c r="L1123" s="4">
        <f>IFERROR((D1123-E1123)/E1123,"")</f>
        <v/>
      </c>
    </row>
    <row r="1124">
      <c r="A1124" t="inlineStr">
        <is>
          <t>2026-06-19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3311443.27</v>
      </c>
      <c r="E1124" t="n">
        <v>3311443.27</v>
      </c>
      <c r="F1124" t="n">
        <v>1.031</v>
      </c>
      <c r="G1124" t="n">
        <v>0</v>
      </c>
      <c r="H1124" t="n">
        <v>341.409801</v>
      </c>
      <c r="I1124" t="n">
        <v>349.68841</v>
      </c>
      <c r="J1124" t="n">
        <v>-8.278608999999999</v>
      </c>
      <c r="K1124" s="4">
        <f>IFERROR(J1124/I1124,"")</f>
        <v/>
      </c>
      <c r="L1124" s="4">
        <f>IFERROR((D1124-E1124)/E1124,"")</f>
        <v/>
      </c>
    </row>
    <row r="1125">
      <c r="A1125" t="inlineStr">
        <is>
          <t>2026-06-19</t>
        </is>
      </c>
      <c r="B1125" t="inlineStr">
        <is>
          <t>513060</t>
        </is>
      </c>
      <c r="C1125" t="inlineStr">
        <is>
          <t>恒生医疗ETF博时</t>
        </is>
      </c>
      <c r="D1125" t="n">
        <v>1158039.33</v>
      </c>
      <c r="E1125" t="n">
        <v>1158039.33</v>
      </c>
      <c r="F1125" t="n">
        <v>0.464</v>
      </c>
      <c r="G1125" t="n">
        <v>0</v>
      </c>
      <c r="H1125" t="n">
        <v>53.733025</v>
      </c>
      <c r="I1125" t="n">
        <v>53.385613</v>
      </c>
      <c r="J1125" t="n">
        <v>0.347412</v>
      </c>
      <c r="K1125" s="4">
        <f>IFERROR(J1125/I1125,"")</f>
        <v/>
      </c>
      <c r="L1125" s="4">
        <f>IFERROR((D1125-E1125)/E1125,"")</f>
        <v/>
      </c>
    </row>
    <row r="1126">
      <c r="A1126" t="inlineStr">
        <is>
          <t>2026-06-19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140976.08</v>
      </c>
      <c r="E1126" t="n">
        <v>143176.08</v>
      </c>
      <c r="F1126" t="n">
        <v>1.07</v>
      </c>
      <c r="G1126" t="n">
        <v>-2200</v>
      </c>
      <c r="H1126" t="n">
        <v>15.319841</v>
      </c>
      <c r="I1126" t="n">
        <v>15.749369</v>
      </c>
      <c r="J1126" t="n">
        <v>-0.429528</v>
      </c>
      <c r="K1126" s="4">
        <f>IFERROR(J1126/I1126,"")</f>
        <v/>
      </c>
      <c r="L1126" s="4">
        <f>IFERROR((D1126-E1126)/E1126,"")</f>
        <v/>
      </c>
    </row>
    <row r="1127">
      <c r="A1127" t="inlineStr">
        <is>
          <t>2026-06-19</t>
        </is>
      </c>
      <c r="B1127" t="inlineStr">
        <is>
          <t>513080</t>
        </is>
      </c>
      <c r="C1127" t="inlineStr">
        <is>
          <t>法国ETF华安</t>
        </is>
      </c>
      <c r="D1127" t="n">
        <v>63141.6</v>
      </c>
      <c r="E1127" t="n">
        <v>63091.6</v>
      </c>
      <c r="F1127" t="n">
        <v>1.784</v>
      </c>
      <c r="G1127" t="n">
        <v>50</v>
      </c>
      <c r="H1127" t="n">
        <v>11.255541</v>
      </c>
      <c r="I1127" t="n">
        <v>11.33488</v>
      </c>
      <c r="J1127" t="n">
        <v>-0.07933900000000001</v>
      </c>
      <c r="K1127" s="4">
        <f>IFERROR(J1127/I1127,"")</f>
        <v/>
      </c>
      <c r="L1127" s="4">
        <f>IFERROR((D1127-E1127)/E1127,"")</f>
        <v/>
      </c>
    </row>
    <row r="1128">
      <c r="A1128" t="inlineStr">
        <is>
          <t>2026-06-19</t>
        </is>
      </c>
      <c r="B1128" t="inlineStr">
        <is>
          <t>513090</t>
        </is>
      </c>
      <c r="C1128" t="inlineStr">
        <is>
          <t>香港证券ETF易方达</t>
        </is>
      </c>
      <c r="D1128" t="n">
        <v>1059948.8</v>
      </c>
      <c r="E1128" t="n">
        <v>1059998.8</v>
      </c>
      <c r="F1128" t="n">
        <v>1.776</v>
      </c>
      <c r="G1128" t="n">
        <v>-50</v>
      </c>
      <c r="H1128" t="n">
        <v>188.255787</v>
      </c>
      <c r="I1128" t="n">
        <v>196.145455</v>
      </c>
      <c r="J1128" t="n">
        <v>-7.889668</v>
      </c>
      <c r="K1128" s="4">
        <f>IFERROR(J1128/I1128,"")</f>
        <v/>
      </c>
      <c r="L1128" s="4">
        <f>IFERROR((D1128-E1128)/E1128,"")</f>
        <v/>
      </c>
    </row>
    <row r="1129">
      <c r="A1129" t="inlineStr">
        <is>
          <t>2026-06-19</t>
        </is>
      </c>
      <c r="B1129" t="inlineStr">
        <is>
          <t>513100</t>
        </is>
      </c>
      <c r="C1129" t="inlineStr">
        <is>
          <t>纳指ETF国泰</t>
        </is>
      </c>
      <c r="D1129" t="n">
        <v>946611.0600000001</v>
      </c>
      <c r="E1129" t="n">
        <v>946611.0600000001</v>
      </c>
      <c r="F1129" t="n">
        <v>2.266</v>
      </c>
      <c r="G1129" t="n">
        <v>0</v>
      </c>
      <c r="H1129" t="n">
        <v>214.502066</v>
      </c>
      <c r="I1129" t="n">
        <v>215.732661</v>
      </c>
      <c r="J1129" t="n">
        <v>-1.230595</v>
      </c>
      <c r="K1129" s="4">
        <f>IFERROR(J1129/I1129,"")</f>
        <v/>
      </c>
      <c r="L1129" s="4">
        <f>IFERROR((D1129-E1129)/E1129,"")</f>
        <v/>
      </c>
    </row>
    <row r="1130">
      <c r="A1130" t="inlineStr">
        <is>
          <t>2026-06-19</t>
        </is>
      </c>
      <c r="B1130" t="inlineStr">
        <is>
          <t>513110</t>
        </is>
      </c>
      <c r="C1130" t="inlineStr">
        <is>
          <t>纳指ETF华泰柏瑞</t>
        </is>
      </c>
      <c r="D1130" t="n">
        <v>215143.5</v>
      </c>
      <c r="E1130" t="n">
        <v>215043.5</v>
      </c>
      <c r="F1130" t="n">
        <v>2.531</v>
      </c>
      <c r="G1130" t="n">
        <v>100</v>
      </c>
      <c r="H1130" t="n">
        <v>54.42751</v>
      </c>
      <c r="I1130" t="n">
        <v>54.681626</v>
      </c>
      <c r="J1130" t="n">
        <v>-0.254116</v>
      </c>
      <c r="K1130" s="4">
        <f>IFERROR(J1130/I1130,"")</f>
        <v/>
      </c>
      <c r="L1130" s="4">
        <f>IFERROR((D1130-E1130)/E1130,"")</f>
        <v/>
      </c>
    </row>
    <row r="1131">
      <c r="A1131" t="inlineStr">
        <is>
          <t>2026-06-19</t>
        </is>
      </c>
      <c r="B1131" t="inlineStr">
        <is>
          <t>513120</t>
        </is>
      </c>
      <c r="C1131" t="inlineStr">
        <is>
          <t>港股创新药ETF广发</t>
        </is>
      </c>
      <c r="D1131" t="n">
        <v>2203713.54</v>
      </c>
      <c r="E1131" t="n">
        <v>2202013.54</v>
      </c>
      <c r="F1131" t="n">
        <v>0.993</v>
      </c>
      <c r="G1131" t="n">
        <v>1700</v>
      </c>
      <c r="H1131" t="n">
        <v>218.659945</v>
      </c>
      <c r="I1131" t="n">
        <v>214.476119</v>
      </c>
      <c r="J1131" t="n">
        <v>4.183826</v>
      </c>
      <c r="K1131" s="4">
        <f>IFERROR(J1131/I1131,"")</f>
        <v/>
      </c>
      <c r="L1131" s="4">
        <f>IFERROR((D1131-E1131)/E1131,"")</f>
        <v/>
      </c>
    </row>
    <row r="1132">
      <c r="A1132" t="inlineStr">
        <is>
          <t>2026-06-19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6779434.7</v>
      </c>
      <c r="E1132" t="n">
        <v>6791434.7</v>
      </c>
      <c r="F1132" t="n">
        <v>0.572</v>
      </c>
      <c r="G1132" t="n">
        <v>-12000</v>
      </c>
      <c r="H1132" t="n">
        <v>388.470065</v>
      </c>
      <c r="I1132" t="n">
        <v>394.582356</v>
      </c>
      <c r="J1132" t="n">
        <v>-6.112291</v>
      </c>
      <c r="K1132" s="4">
        <f>IFERROR(J1132/I1132,"")</f>
        <v/>
      </c>
      <c r="L1132" s="4">
        <f>IFERROR((D1132-E1132)/E1132,"")</f>
        <v/>
      </c>
    </row>
    <row r="1133">
      <c r="A1133" t="inlineStr">
        <is>
          <t>2026-06-19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8386.799999999999</v>
      </c>
      <c r="E1133" t="n">
        <v>8386.799999999999</v>
      </c>
      <c r="F1133" t="n">
        <v>1.599</v>
      </c>
      <c r="G1133" t="n">
        <v>0</v>
      </c>
      <c r="H1133" t="n">
        <v>1.341049</v>
      </c>
      <c r="I1133" t="n">
        <v>1.371242</v>
      </c>
      <c r="J1133" t="n">
        <v>-0.030193</v>
      </c>
      <c r="K1133" s="4">
        <f>IFERROR(J1133/I1133,"")</f>
        <v/>
      </c>
      <c r="L1133" s="4">
        <f>IFERROR((D1133-E1133)/E1133,"")</f>
        <v/>
      </c>
    </row>
    <row r="1134">
      <c r="A1134" t="inlineStr">
        <is>
          <t>2026-06-19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11805.98</v>
      </c>
      <c r="E1134" t="n">
        <v>11805.98</v>
      </c>
      <c r="F1134" t="n">
        <v>0.927</v>
      </c>
      <c r="G1134" t="n">
        <v>0</v>
      </c>
      <c r="H1134" t="n">
        <v>1.094414</v>
      </c>
      <c r="I1134" t="n">
        <v>1.110943</v>
      </c>
      <c r="J1134" t="n">
        <v>-0.016529</v>
      </c>
      <c r="K1134" s="4">
        <f>IFERROR(J1134/I1134,"")</f>
        <v/>
      </c>
      <c r="L1134" s="4">
        <f>IFERROR((D1134-E1134)/E1134,"")</f>
        <v/>
      </c>
    </row>
    <row r="1135">
      <c r="A1135" t="inlineStr">
        <is>
          <t>2026-06-19</t>
        </is>
      </c>
      <c r="B1135" t="inlineStr">
        <is>
          <t>513160</t>
        </is>
      </c>
      <c r="C1135" t="inlineStr">
        <is>
          <t>港股科技ETF银华</t>
        </is>
      </c>
      <c r="D1135" t="n">
        <v>386418.93</v>
      </c>
      <c r="E1135" t="n">
        <v>386718.93</v>
      </c>
      <c r="F1135" t="n">
        <v>0.96</v>
      </c>
      <c r="G1135" t="n">
        <v>-300</v>
      </c>
      <c r="H1135" t="n">
        <v>37.125017</v>
      </c>
      <c r="I1135" t="n">
        <v>38.349231</v>
      </c>
      <c r="J1135" t="n">
        <v>-1.224214</v>
      </c>
      <c r="K1135" s="4">
        <f>IFERROR(J1135/I1135,"")</f>
        <v/>
      </c>
      <c r="L1135" s="4">
        <f>IFERROR((D1135-E1135)/E1135,"")</f>
        <v/>
      </c>
    </row>
    <row r="1136">
      <c r="A1136" t="inlineStr">
        <is>
          <t>2026-06-19</t>
        </is>
      </c>
      <c r="B1136" t="inlineStr">
        <is>
          <t>513170</t>
        </is>
      </c>
      <c r="C1136" t="inlineStr">
        <is>
          <t>恒生央企ETF鹏华</t>
        </is>
      </c>
      <c r="D1136" t="n">
        <v>20957.3</v>
      </c>
      <c r="E1136" t="n">
        <v>20957.3</v>
      </c>
      <c r="F1136" t="n">
        <v>1.525</v>
      </c>
      <c r="G1136" t="n">
        <v>0</v>
      </c>
      <c r="H1136" t="n">
        <v>3.195988</v>
      </c>
      <c r="I1136" t="n">
        <v>3.284009</v>
      </c>
      <c r="J1136" t="n">
        <v>-0.088021</v>
      </c>
      <c r="K1136" s="4">
        <f>IFERROR(J1136/I1136,"")</f>
        <v/>
      </c>
      <c r="L1136" s="4">
        <f>IFERROR((D1136-E1136)/E1136,"")</f>
        <v/>
      </c>
    </row>
    <row r="1137">
      <c r="A1137" t="inlineStr">
        <is>
          <t>2026-06-19</t>
        </is>
      </c>
      <c r="B1137" t="inlineStr">
        <is>
          <t>513180</t>
        </is>
      </c>
      <c r="C1137" t="inlineStr">
        <is>
          <t>恒生科技ETF华夏</t>
        </is>
      </c>
      <c r="D1137" t="n">
        <v>7553475.95</v>
      </c>
      <c r="E1137" t="n">
        <v>7553475.95</v>
      </c>
      <c r="F1137" t="n">
        <v>0.58</v>
      </c>
      <c r="G1137" t="n">
        <v>0</v>
      </c>
      <c r="H1137" t="n">
        <v>438.101605</v>
      </c>
      <c r="I1137" t="n">
        <v>446.410429</v>
      </c>
      <c r="J1137" t="n">
        <v>-8.308824</v>
      </c>
      <c r="K1137" s="4">
        <f>IFERROR(J1137/I1137,"")</f>
        <v/>
      </c>
      <c r="L1137" s="4">
        <f>IFERROR((D1137-E1137)/E1137,"")</f>
        <v/>
      </c>
    </row>
    <row r="1138">
      <c r="A1138" t="inlineStr">
        <is>
          <t>2026-06-19</t>
        </is>
      </c>
      <c r="B1138" t="inlineStr">
        <is>
          <t>513190</t>
        </is>
      </c>
      <c r="C1138" t="inlineStr">
        <is>
          <t>港股通金融ETF华夏</t>
        </is>
      </c>
      <c r="D1138" t="n">
        <v>118893.6</v>
      </c>
      <c r="E1138" t="n">
        <v>120793.6</v>
      </c>
      <c r="F1138" t="n">
        <v>1.695</v>
      </c>
      <c r="G1138" t="n">
        <v>-1900</v>
      </c>
      <c r="H1138" t="n">
        <v>20.474515</v>
      </c>
      <c r="I1138" t="n">
        <v>21.20888</v>
      </c>
      <c r="J1138" t="n">
        <v>-0.734365</v>
      </c>
      <c r="K1138" s="4">
        <f>IFERROR(J1138/I1138,"")</f>
        <v/>
      </c>
      <c r="L1138" s="4">
        <f>IFERROR((D1138-E1138)/E1138,"")</f>
        <v/>
      </c>
    </row>
    <row r="1139">
      <c r="A1139" t="inlineStr">
        <is>
          <t>2026-06-19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110728.21</v>
      </c>
      <c r="E1139" t="n">
        <v>110728.21</v>
      </c>
      <c r="F1139" t="n">
        <v>0.843</v>
      </c>
      <c r="G1139" t="n">
        <v>0</v>
      </c>
      <c r="H1139" t="n">
        <v>9.334388000000001</v>
      </c>
      <c r="I1139" t="n">
        <v>9.281969999999999</v>
      </c>
      <c r="J1139" t="n">
        <v>0.052418</v>
      </c>
      <c r="K1139" s="4">
        <f>IFERROR(J1139/I1139,"")</f>
        <v/>
      </c>
      <c r="L1139" s="4">
        <f>IFERROR((D1139-E1139)/E1139,"")</f>
        <v/>
      </c>
    </row>
    <row r="1140">
      <c r="A1140" t="inlineStr">
        <is>
          <t>2026-06-19</t>
        </is>
      </c>
      <c r="B1140" t="inlineStr">
        <is>
          <t>513210</t>
        </is>
      </c>
      <c r="C1140" t="inlineStr">
        <is>
          <t>恒生ETF易方达</t>
        </is>
      </c>
      <c r="D1140" t="n">
        <v>4094.2</v>
      </c>
      <c r="E1140" t="n">
        <v>3894.2</v>
      </c>
      <c r="F1140" t="n">
        <v>1.42</v>
      </c>
      <c r="G1140" t="n">
        <v>200</v>
      </c>
      <c r="H1140" t="n">
        <v>0.552976</v>
      </c>
      <c r="I1140" t="n">
        <v>0.564659</v>
      </c>
      <c r="J1140" t="n">
        <v>-0.011683</v>
      </c>
      <c r="K1140" s="4">
        <f>IFERROR(J1140/I1140,"")</f>
        <v/>
      </c>
      <c r="L1140" s="4">
        <f>IFERROR((D1140-E1140)/E1140,"")</f>
        <v/>
      </c>
    </row>
    <row r="1141">
      <c r="A1141" t="inlineStr">
        <is>
          <t>2026-06-19</t>
        </is>
      </c>
      <c r="B1141" t="inlineStr">
        <is>
          <t>513220</t>
        </is>
      </c>
      <c r="C1141" t="inlineStr">
        <is>
          <t>中概互联ETF招商</t>
        </is>
      </c>
      <c r="D1141" t="n">
        <v>57510.94</v>
      </c>
      <c r="E1141" t="n">
        <v>57510.94</v>
      </c>
      <c r="F1141" t="n">
        <v>0.902</v>
      </c>
      <c r="G1141" t="n">
        <v>0</v>
      </c>
      <c r="H1141" t="n">
        <v>5.187487</v>
      </c>
      <c r="I1141" t="n">
        <v>5.302509</v>
      </c>
      <c r="J1141" t="n">
        <v>-0.115022</v>
      </c>
      <c r="K1141" s="4">
        <f>IFERROR(J1141/I1141,"")</f>
        <v/>
      </c>
      <c r="L1141" s="4">
        <f>IFERROR((D1141-E1141)/E1141,"")</f>
        <v/>
      </c>
    </row>
    <row r="1142">
      <c r="A1142" t="inlineStr">
        <is>
          <t>2026-06-19</t>
        </is>
      </c>
      <c r="B1142" t="inlineStr">
        <is>
          <t>513230</t>
        </is>
      </c>
      <c r="C1142" t="inlineStr">
        <is>
          <t>港股通消费ETF华夏</t>
        </is>
      </c>
      <c r="D1142" t="n">
        <v>33442.27</v>
      </c>
      <c r="E1142" t="n">
        <v>33442.27</v>
      </c>
      <c r="F1142" t="n">
        <v>0.848</v>
      </c>
      <c r="G1142" t="n">
        <v>0</v>
      </c>
      <c r="H1142" t="n">
        <v>2.835904</v>
      </c>
      <c r="I1142" t="n">
        <v>2.906133</v>
      </c>
      <c r="J1142" t="n">
        <v>-0.070229</v>
      </c>
      <c r="K1142" s="4">
        <f>IFERROR(J1142/I1142,"")</f>
        <v/>
      </c>
      <c r="L1142" s="4">
        <f>IFERROR((D1142-E1142)/E1142,"")</f>
        <v/>
      </c>
    </row>
    <row r="1143">
      <c r="A1143" t="inlineStr">
        <is>
          <t>2026-06-19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8249.6</v>
      </c>
      <c r="E1143" t="n">
        <v>8249.6</v>
      </c>
      <c r="F1143" t="n">
        <v>1.161</v>
      </c>
      <c r="G1143" t="n">
        <v>0</v>
      </c>
      <c r="H1143" t="n">
        <v>0.957779</v>
      </c>
      <c r="I1143" t="n">
        <v>0.9594279999999999</v>
      </c>
      <c r="J1143" t="n">
        <v>-0.001649</v>
      </c>
      <c r="K1143" s="4">
        <f>IFERROR(J1143/I1143,"")</f>
        <v/>
      </c>
      <c r="L1143" s="4">
        <f>IFERROR((D1143-E1143)/E1143,"")</f>
        <v/>
      </c>
    </row>
    <row r="1144">
      <c r="A1144" t="inlineStr">
        <is>
          <t>2026-06-19</t>
        </is>
      </c>
      <c r="B1144" t="inlineStr">
        <is>
          <t>513260</t>
        </is>
      </c>
      <c r="C1144" t="inlineStr">
        <is>
          <t>恒生科技ETF汇添富</t>
        </is>
      </c>
      <c r="D1144" t="n">
        <v>556924.3</v>
      </c>
      <c r="E1144" t="n">
        <v>556924.3</v>
      </c>
      <c r="F1144" t="n">
        <v>1.115</v>
      </c>
      <c r="G1144" t="n">
        <v>0</v>
      </c>
      <c r="H1144" t="n">
        <v>62.097059</v>
      </c>
      <c r="I1144" t="n">
        <v>63.155215</v>
      </c>
      <c r="J1144" t="n">
        <v>-1.058156</v>
      </c>
      <c r="K1144" s="4">
        <f>IFERROR(J1144/I1144,"")</f>
        <v/>
      </c>
      <c r="L1144" s="4">
        <f>IFERROR((D1144-E1144)/E1144,"")</f>
        <v/>
      </c>
    </row>
    <row r="1145">
      <c r="A1145" t="inlineStr">
        <is>
          <t>2026-06-19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42311.45</v>
      </c>
      <c r="E1145" t="n">
        <v>42311.45</v>
      </c>
      <c r="F1145" t="n">
        <v>0.874</v>
      </c>
      <c r="G1145" t="n">
        <v>0</v>
      </c>
      <c r="H1145" t="n">
        <v>3.69802</v>
      </c>
      <c r="I1145" t="n">
        <v>3.647247</v>
      </c>
      <c r="J1145" t="n">
        <v>0.050773</v>
      </c>
      <c r="K1145" s="4">
        <f>IFERROR(J1145/I1145,"")</f>
        <v/>
      </c>
      <c r="L1145" s="4">
        <f>IFERROR((D1145-E1145)/E1145,"")</f>
        <v/>
      </c>
    </row>
    <row r="1146">
      <c r="A1146" t="inlineStr">
        <is>
          <t>2026-06-19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91157.21000000001</v>
      </c>
      <c r="E1146" t="n">
        <v>92357.21000000001</v>
      </c>
      <c r="F1146" t="n">
        <v>1.476</v>
      </c>
      <c r="G1146" t="n">
        <v>-1200</v>
      </c>
      <c r="H1146" t="n">
        <v>13.631924</v>
      </c>
      <c r="I1146" t="n">
        <v>13.415541</v>
      </c>
      <c r="J1146" t="n">
        <v>0.216383</v>
      </c>
      <c r="K1146" s="4">
        <f>IFERROR(J1146/I1146,"")</f>
        <v/>
      </c>
      <c r="L1146" s="4">
        <f>IFERROR((D1146-E1146)/E1146,"")</f>
        <v/>
      </c>
    </row>
    <row r="1147">
      <c r="A1147" t="inlineStr">
        <is>
          <t>2026-06-19</t>
        </is>
      </c>
      <c r="B1147" t="inlineStr">
        <is>
          <t>513300</t>
        </is>
      </c>
      <c r="C1147" t="inlineStr">
        <is>
          <t>纳斯达克ETF华夏</t>
        </is>
      </c>
      <c r="D1147" t="n">
        <v>518767.1</v>
      </c>
      <c r="E1147" t="n">
        <v>518692.1</v>
      </c>
      <c r="F1147" t="n">
        <v>2.752</v>
      </c>
      <c r="G1147" t="n">
        <v>75</v>
      </c>
      <c r="H1147" t="n">
        <v>142.744066</v>
      </c>
      <c r="I1147" t="n">
        <v>143.190181</v>
      </c>
      <c r="J1147" t="n">
        <v>-0.446115</v>
      </c>
      <c r="K1147" s="4">
        <f>IFERROR(J1147/I1147,"")</f>
        <v/>
      </c>
      <c r="L1147" s="4">
        <f>IFERROR((D1147-E1147)/E1147,"")</f>
        <v/>
      </c>
    </row>
    <row r="1148">
      <c r="A1148" t="inlineStr">
        <is>
          <t>2026-06-19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227742.7</v>
      </c>
      <c r="E1148" t="n">
        <v>227442.7</v>
      </c>
      <c r="F1148" t="n">
        <v>6.355</v>
      </c>
      <c r="G1148" t="n">
        <v>300</v>
      </c>
      <c r="H1148" t="n">
        <v>144.539836</v>
      </c>
      <c r="I1148" t="n">
        <v>140.48776</v>
      </c>
      <c r="J1148" t="n">
        <v>4.052076</v>
      </c>
      <c r="K1148" s="4">
        <f>IFERROR(J1148/I1148,"")</f>
        <v/>
      </c>
      <c r="L1148" s="4">
        <f>IFERROR((D1148-E1148)/E1148,"")</f>
        <v/>
      </c>
    </row>
    <row r="1149">
      <c r="A1149" t="inlineStr">
        <is>
          <t>2026-06-19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11101.06</v>
      </c>
      <c r="E1149" t="n">
        <v>11201.06</v>
      </c>
      <c r="F1149" t="n">
        <v>1.008</v>
      </c>
      <c r="G1149" t="n">
        <v>-100</v>
      </c>
      <c r="H1149" t="n">
        <v>1.129067</v>
      </c>
      <c r="I1149" t="n">
        <v>1.152589</v>
      </c>
      <c r="J1149" t="n">
        <v>-0.023522</v>
      </c>
      <c r="K1149" s="4">
        <f>IFERROR(J1149/I1149,"")</f>
        <v/>
      </c>
      <c r="L1149" s="4">
        <f>IFERROR((D1149-E1149)/E1149,"")</f>
        <v/>
      </c>
    </row>
    <row r="1150">
      <c r="A1150" t="inlineStr">
        <is>
          <t>2026-06-19</t>
        </is>
      </c>
      <c r="B1150" t="inlineStr">
        <is>
          <t>513330</t>
        </is>
      </c>
      <c r="C1150" t="inlineStr">
        <is>
          <t>恒生互联网ETF华夏</t>
        </is>
      </c>
      <c r="D1150" t="n">
        <v>7326948</v>
      </c>
      <c r="E1150" t="n">
        <v>7326948</v>
      </c>
      <c r="F1150" t="n">
        <v>0.368</v>
      </c>
      <c r="G1150" t="n">
        <v>0</v>
      </c>
      <c r="H1150" t="n">
        <v>269.631686</v>
      </c>
      <c r="I1150" t="n">
        <v>276.22594</v>
      </c>
      <c r="J1150" t="n">
        <v>-6.594254</v>
      </c>
      <c r="K1150" s="4">
        <f>IFERROR(J1150/I1150,"")</f>
        <v/>
      </c>
      <c r="L1150" s="4">
        <f>IFERROR((D1150-E1150)/E1150,"")</f>
        <v/>
      </c>
    </row>
    <row r="1151">
      <c r="A1151" t="inlineStr">
        <is>
          <t>2026-06-19</t>
        </is>
      </c>
      <c r="B1151" t="inlineStr">
        <is>
          <t>513350</t>
        </is>
      </c>
      <c r="C1151" t="inlineStr">
        <is>
          <t>标普油气ETF富国</t>
        </is>
      </c>
      <c r="D1151" t="n">
        <v>86774.60000000001</v>
      </c>
      <c r="E1151" t="n">
        <v>86674.60000000001</v>
      </c>
      <c r="F1151" t="n">
        <v>1.089</v>
      </c>
      <c r="G1151" t="n">
        <v>100</v>
      </c>
      <c r="H1151" t="n">
        <v>9.438864000000001</v>
      </c>
      <c r="I1151" t="n">
        <v>9.531863</v>
      </c>
      <c r="J1151" t="n">
        <v>-0.092999</v>
      </c>
      <c r="K1151" s="4">
        <f>IFERROR(J1151/I1151,"")</f>
        <v/>
      </c>
      <c r="L1151" s="4">
        <f>IFERROR((D1151-E1151)/E1151,"")</f>
        <v/>
      </c>
    </row>
    <row r="1152">
      <c r="A1152" t="inlineStr">
        <is>
          <t>2026-06-19</t>
        </is>
      </c>
      <c r="B1152" t="inlineStr">
        <is>
          <t>513360</t>
        </is>
      </c>
      <c r="C1152" t="inlineStr">
        <is>
          <t>教育ETF博时</t>
        </is>
      </c>
      <c r="D1152" t="n">
        <v>65521.39</v>
      </c>
      <c r="E1152" t="n">
        <v>65521.39</v>
      </c>
      <c r="F1152" t="n">
        <v>0.43</v>
      </c>
      <c r="G1152" t="n">
        <v>0</v>
      </c>
      <c r="H1152" t="n">
        <v>2.81742</v>
      </c>
      <c r="I1152" t="n">
        <v>2.804433</v>
      </c>
      <c r="J1152" t="n">
        <v>0.012987</v>
      </c>
      <c r="K1152" s="4">
        <f>IFERROR(J1152/I1152,"")</f>
        <v/>
      </c>
      <c r="L1152" s="4">
        <f>IFERROR((D1152-E1152)/E1152,"")</f>
        <v/>
      </c>
    </row>
    <row r="1153">
      <c r="A1153" t="inlineStr">
        <is>
          <t>2026-06-19</t>
        </is>
      </c>
      <c r="B1153" t="inlineStr">
        <is>
          <t>513380</t>
        </is>
      </c>
      <c r="C1153" t="inlineStr">
        <is>
          <t>恒生科技ETF广发</t>
        </is>
      </c>
      <c r="D1153" t="n">
        <v>1983778.49</v>
      </c>
      <c r="E1153" t="n">
        <v>1983778.49</v>
      </c>
      <c r="F1153" t="n">
        <v>0.525</v>
      </c>
      <c r="G1153" t="n">
        <v>0</v>
      </c>
      <c r="H1153" t="n">
        <v>104.148371</v>
      </c>
      <c r="I1153" t="n">
        <v>106.148199</v>
      </c>
      <c r="J1153" t="n">
        <v>-1.999828</v>
      </c>
      <c r="K1153" s="4">
        <f>IFERROR(J1153/I1153,"")</f>
        <v/>
      </c>
      <c r="L1153" s="4">
        <f>IFERROR((D1153-E1153)/E1153,"")</f>
        <v/>
      </c>
    </row>
    <row r="1154">
      <c r="A1154" t="inlineStr">
        <is>
          <t>2026-06-19</t>
        </is>
      </c>
      <c r="B1154" t="inlineStr">
        <is>
          <t>513390</t>
        </is>
      </c>
      <c r="C1154" t="inlineStr">
        <is>
          <t>纳指100ETF博时</t>
        </is>
      </c>
      <c r="D1154" t="n">
        <v>184237.91</v>
      </c>
      <c r="E1154" t="n">
        <v>184237.91</v>
      </c>
      <c r="F1154" t="n">
        <v>2.5</v>
      </c>
      <c r="G1154" t="n">
        <v>0</v>
      </c>
      <c r="H1154" t="n">
        <v>46.059478</v>
      </c>
      <c r="I1154" t="n">
        <v>46.225292</v>
      </c>
      <c r="J1154" t="n">
        <v>-0.165814</v>
      </c>
      <c r="K1154" s="4">
        <f>IFERROR(J1154/I1154,"")</f>
        <v/>
      </c>
      <c r="L1154" s="4">
        <f>IFERROR((D1154-E1154)/E1154,"")</f>
        <v/>
      </c>
    </row>
    <row r="1155">
      <c r="A1155" t="inlineStr">
        <is>
          <t>2026-06-19</t>
        </is>
      </c>
      <c r="B1155" t="inlineStr">
        <is>
          <t>513400</t>
        </is>
      </c>
      <c r="C1155" t="inlineStr">
        <is>
          <t>道琼斯ETF鹏华</t>
        </is>
      </c>
      <c r="D1155" t="n">
        <v>223706.2</v>
      </c>
      <c r="E1155" t="n">
        <v>223206.2</v>
      </c>
      <c r="F1155" t="n">
        <v>1.306</v>
      </c>
      <c r="G1155" t="n">
        <v>500</v>
      </c>
      <c r="H1155" t="n">
        <v>29.15073</v>
      </c>
      <c r="I1155" t="n">
        <v>28.862724</v>
      </c>
      <c r="J1155" t="n">
        <v>0.288006</v>
      </c>
      <c r="K1155" s="4">
        <f>IFERROR(J1155/I1155,"")</f>
        <v/>
      </c>
      <c r="L1155" s="4">
        <f>IFERROR((D1155-E1155)/E1155,"")</f>
        <v/>
      </c>
    </row>
    <row r="1156">
      <c r="A1156" t="inlineStr">
        <is>
          <t>2026-06-19</t>
        </is>
      </c>
      <c r="B1156" t="inlineStr">
        <is>
          <t>513500</t>
        </is>
      </c>
      <c r="C1156" t="inlineStr">
        <is>
          <t>标普500ETF博时</t>
        </is>
      </c>
      <c r="D1156" t="n">
        <v>993163.86</v>
      </c>
      <c r="E1156" t="n">
        <v>993163.86</v>
      </c>
      <c r="F1156" t="n">
        <v>2.564</v>
      </c>
      <c r="G1156" t="n">
        <v>0</v>
      </c>
      <c r="H1156" t="n">
        <v>254.647213</v>
      </c>
      <c r="I1156" t="n">
        <v>256.037642</v>
      </c>
      <c r="J1156" t="n">
        <v>-1.390429</v>
      </c>
      <c r="K1156" s="4">
        <f>IFERROR(J1156/I1156,"")</f>
        <v/>
      </c>
      <c r="L1156" s="4">
        <f>IFERROR((D1156-E1156)/E1156,"")</f>
        <v/>
      </c>
    </row>
    <row r="1157">
      <c r="A1157" t="inlineStr">
        <is>
          <t>2026-06-19</t>
        </is>
      </c>
      <c r="B1157" t="inlineStr">
        <is>
          <t>513520</t>
        </is>
      </c>
      <c r="C1157" t="inlineStr">
        <is>
          <t>日经ETF华夏</t>
        </is>
      </c>
      <c r="D1157" t="n">
        <v>105238.72</v>
      </c>
      <c r="E1157" t="n">
        <v>105188.72</v>
      </c>
      <c r="F1157" t="n">
        <v>2.528</v>
      </c>
      <c r="G1157" t="n">
        <v>50</v>
      </c>
      <c r="H1157" t="n">
        <v>26.591708</v>
      </c>
      <c r="I1157" t="n">
        <v>25.853611</v>
      </c>
      <c r="J1157" t="n">
        <v>0.738097</v>
      </c>
      <c r="K1157" s="4">
        <f>IFERROR(J1157/I1157,"")</f>
        <v/>
      </c>
      <c r="L1157" s="4">
        <f>IFERROR((D1157-E1157)/E1157,"")</f>
        <v/>
      </c>
    </row>
    <row r="1158">
      <c r="A1158" t="inlineStr">
        <is>
          <t>2026-06-19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257743.87</v>
      </c>
      <c r="E1158" t="n">
        <v>252743.87</v>
      </c>
      <c r="F1158" t="n">
        <v>1.521</v>
      </c>
      <c r="G1158" t="n">
        <v>5000</v>
      </c>
      <c r="H1158" t="n">
        <v>38.442343</v>
      </c>
      <c r="I1158" t="n">
        <v>39.29781</v>
      </c>
      <c r="J1158" t="n">
        <v>-0.855467</v>
      </c>
      <c r="K1158" s="4">
        <f>IFERROR(J1158/I1158,"")</f>
        <v/>
      </c>
      <c r="L1158" s="4">
        <f>IFERROR((D1158-E1158)/E1158,"")</f>
        <v/>
      </c>
    </row>
    <row r="1159">
      <c r="A1159" t="inlineStr">
        <is>
          <t>2026-06-19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180199.2</v>
      </c>
      <c r="E1159" t="n">
        <v>180399.2</v>
      </c>
      <c r="F1159" t="n">
        <v>1.055</v>
      </c>
      <c r="G1159" t="n">
        <v>-200</v>
      </c>
      <c r="H1159" t="n">
        <v>19.032116</v>
      </c>
      <c r="I1159" t="n">
        <v>19.747664</v>
      </c>
      <c r="J1159" t="n">
        <v>-0.715548</v>
      </c>
      <c r="K1159" s="4">
        <f>IFERROR(J1159/I1159,"")</f>
        <v/>
      </c>
      <c r="L1159" s="4">
        <f>IFERROR((D1159-E1159)/E1159,"")</f>
        <v/>
      </c>
    </row>
    <row r="1160">
      <c r="A1160" t="inlineStr">
        <is>
          <t>2026-06-19</t>
        </is>
      </c>
      <c r="B1160" t="inlineStr">
        <is>
          <t>513560</t>
        </is>
      </c>
      <c r="C1160" t="inlineStr">
        <is>
          <t>香港科技ETF兴银</t>
        </is>
      </c>
      <c r="D1160" t="n">
        <v>58138.6</v>
      </c>
      <c r="E1160" t="n">
        <v>58138.6</v>
      </c>
      <c r="F1160" t="n">
        <v>1.089</v>
      </c>
      <c r="G1160" t="n">
        <v>0</v>
      </c>
      <c r="H1160" t="n">
        <v>6.331294</v>
      </c>
      <c r="I1160" t="n">
        <v>6.430129</v>
      </c>
      <c r="J1160" t="n">
        <v>-0.09883500000000001</v>
      </c>
      <c r="K1160" s="4">
        <f>IFERROR(J1160/I1160,"")</f>
        <v/>
      </c>
      <c r="L1160" s="4">
        <f>IFERROR((D1160-E1160)/E1160,"")</f>
        <v/>
      </c>
    </row>
    <row r="1161">
      <c r="A1161" t="inlineStr">
        <is>
          <t>2026-06-19</t>
        </is>
      </c>
      <c r="B1161" t="inlineStr">
        <is>
          <t>513580</t>
        </is>
      </c>
      <c r="C1161" t="inlineStr">
        <is>
          <t>恒生科技ETF华安</t>
        </is>
      </c>
      <c r="D1161" t="n">
        <v>711811.8</v>
      </c>
      <c r="E1161" t="n">
        <v>711811.8</v>
      </c>
      <c r="F1161" t="n">
        <v>0.576</v>
      </c>
      <c r="G1161" t="n">
        <v>0</v>
      </c>
      <c r="H1161" t="n">
        <v>41.00036</v>
      </c>
      <c r="I1161" t="n">
        <v>41.783353</v>
      </c>
      <c r="J1161" t="n">
        <v>-0.7829930000000001</v>
      </c>
      <c r="K1161" s="4">
        <f>IFERROR(J1161/I1161,"")</f>
        <v/>
      </c>
      <c r="L1161" s="4">
        <f>IFERROR((D1161-E1161)/E1161,"")</f>
        <v/>
      </c>
    </row>
    <row r="1162">
      <c r="A1162" t="inlineStr">
        <is>
          <t>2026-06-19</t>
        </is>
      </c>
      <c r="B1162" t="inlineStr">
        <is>
          <t>513590</t>
        </is>
      </c>
      <c r="C1162" t="inlineStr">
        <is>
          <t>港股通消费ETF鹏华</t>
        </is>
      </c>
      <c r="D1162" t="n">
        <v>14131.89</v>
      </c>
      <c r="E1162" t="n">
        <v>14161.89</v>
      </c>
      <c r="F1162" t="n">
        <v>0.752</v>
      </c>
      <c r="G1162" t="n">
        <v>-30</v>
      </c>
      <c r="H1162" t="n">
        <v>1.064974</v>
      </c>
      <c r="I1162" t="n">
        <v>1.094714</v>
      </c>
      <c r="J1162" t="n">
        <v>-0.02974</v>
      </c>
      <c r="K1162" s="4">
        <f>IFERROR(J1162/I1162,"")</f>
        <v/>
      </c>
      <c r="L1162" s="4">
        <f>IFERROR((D1162-E1162)/E1162,"")</f>
        <v/>
      </c>
    </row>
    <row r="1163">
      <c r="A1163" t="inlineStr">
        <is>
          <t>2026-06-19</t>
        </is>
      </c>
      <c r="B1163" t="inlineStr">
        <is>
          <t>513600</t>
        </is>
      </c>
      <c r="C1163" t="inlineStr">
        <is>
          <t>恒生指数ETF南方</t>
        </is>
      </c>
      <c r="D1163" t="n">
        <v>64882.95</v>
      </c>
      <c r="E1163" t="n">
        <v>64882.95</v>
      </c>
      <c r="F1163" t="n">
        <v>2.597</v>
      </c>
      <c r="G1163" t="n">
        <v>0</v>
      </c>
      <c r="H1163" t="n">
        <v>16.850102</v>
      </c>
      <c r="I1163" t="n">
        <v>17.194489</v>
      </c>
      <c r="J1163" t="n">
        <v>-0.344387</v>
      </c>
      <c r="K1163" s="4">
        <f>IFERROR(J1163/I1163,"")</f>
        <v/>
      </c>
      <c r="L1163" s="4">
        <f>IFERROR((D1163-E1163)/E1163,"")</f>
        <v/>
      </c>
    </row>
    <row r="1164">
      <c r="A1164" t="inlineStr">
        <is>
          <t>2026-06-19</t>
        </is>
      </c>
      <c r="B1164" t="inlineStr">
        <is>
          <t>513620</t>
        </is>
      </c>
      <c r="C1164" t="inlineStr">
        <is>
          <t>港股医疗ETF银华</t>
        </is>
      </c>
      <c r="D1164" t="n">
        <v>17721.6</v>
      </c>
      <c r="E1164" t="n">
        <v>17821.6</v>
      </c>
      <c r="F1164" t="n">
        <v>0.835</v>
      </c>
      <c r="G1164" t="n">
        <v>-100</v>
      </c>
      <c r="H1164" t="n">
        <v>1.488104</v>
      </c>
      <c r="I1164" t="n">
        <v>1.489285</v>
      </c>
      <c r="J1164" t="n">
        <v>-0.001181</v>
      </c>
      <c r="K1164" s="4">
        <f>IFERROR(J1164/I1164,"")</f>
        <v/>
      </c>
      <c r="L1164" s="4">
        <f>IFERROR((D1164-E1164)/E1164,"")</f>
        <v/>
      </c>
    </row>
    <row r="1165">
      <c r="A1165" t="inlineStr">
        <is>
          <t>2026-06-19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848635.9</v>
      </c>
      <c r="E1165" t="n">
        <v>868635.9</v>
      </c>
      <c r="F1165" t="n">
        <v>1.509</v>
      </c>
      <c r="G1165" t="n">
        <v>-20000</v>
      </c>
      <c r="H1165" t="n">
        <v>131.077157</v>
      </c>
      <c r="I1165" t="n">
        <v>137.174503</v>
      </c>
      <c r="J1165" t="n">
        <v>-6.097346</v>
      </c>
      <c r="K1165" s="4">
        <f>IFERROR(J1165/I1165,"")</f>
        <v/>
      </c>
      <c r="L1165" s="4">
        <f>IFERROR((D1165-E1165)/E1165,"")</f>
        <v/>
      </c>
    </row>
    <row r="1166">
      <c r="A1166" t="inlineStr">
        <is>
          <t>2026-06-19</t>
        </is>
      </c>
      <c r="B1166" t="inlineStr">
        <is>
          <t>513650</t>
        </is>
      </c>
      <c r="C1166" t="inlineStr">
        <is>
          <t>标普500ETF南方</t>
        </is>
      </c>
      <c r="D1166" t="n">
        <v>411173.4</v>
      </c>
      <c r="E1166" t="n">
        <v>410173.4</v>
      </c>
      <c r="F1166" t="n">
        <v>1.908</v>
      </c>
      <c r="G1166" t="n">
        <v>1000</v>
      </c>
      <c r="H1166" t="n">
        <v>78.26108499999999</v>
      </c>
      <c r="I1166" t="n">
        <v>78.520375</v>
      </c>
      <c r="J1166" t="n">
        <v>-0.25929</v>
      </c>
      <c r="K1166" s="4">
        <f>IFERROR(J1166/I1166,"")</f>
        <v/>
      </c>
      <c r="L1166" s="4">
        <f>IFERROR((D1166-E1166)/E1166,"")</f>
        <v/>
      </c>
    </row>
    <row r="1167">
      <c r="A1167" t="inlineStr">
        <is>
          <t>2026-06-19</t>
        </is>
      </c>
      <c r="B1167" t="inlineStr">
        <is>
          <t>513660</t>
        </is>
      </c>
      <c r="C1167" t="inlineStr">
        <is>
          <t>恒生ETF华夏</t>
        </is>
      </c>
      <c r="D1167" t="n">
        <v>239600.02</v>
      </c>
      <c r="E1167" t="n">
        <v>239600.02</v>
      </c>
      <c r="F1167" t="n">
        <v>1.406</v>
      </c>
      <c r="G1167" t="n">
        <v>0</v>
      </c>
      <c r="H1167" t="n">
        <v>33.687763</v>
      </c>
      <c r="I1167" t="n">
        <v>34.640903</v>
      </c>
      <c r="J1167" t="n">
        <v>-0.95314</v>
      </c>
      <c r="K1167" s="4">
        <f>IFERROR(J1167/I1167,"")</f>
        <v/>
      </c>
      <c r="L1167" s="4">
        <f>IFERROR((D1167-E1167)/E1167,"")</f>
        <v/>
      </c>
    </row>
    <row r="1168">
      <c r="A1168" t="inlineStr">
        <is>
          <t>2026-06-19</t>
        </is>
      </c>
      <c r="B1168" t="inlineStr">
        <is>
          <t>513690</t>
        </is>
      </c>
      <c r="C1168" t="inlineStr">
        <is>
          <t>港股红利ETF博时</t>
        </is>
      </c>
      <c r="D1168" t="n">
        <v>389097.99</v>
      </c>
      <c r="E1168" t="n">
        <v>396597.99</v>
      </c>
      <c r="F1168" t="n">
        <v>1.065</v>
      </c>
      <c r="G1168" t="n">
        <v>-7500</v>
      </c>
      <c r="H1168" t="n">
        <v>42.237685</v>
      </c>
      <c r="I1168" t="n">
        <v>44.04668</v>
      </c>
      <c r="J1168" t="n">
        <v>-1.808995</v>
      </c>
      <c r="K1168" s="4">
        <f>IFERROR(J1168/I1168,"")</f>
        <v/>
      </c>
      <c r="L1168" s="4">
        <f>IFERROR((D1168-E1168)/E1168,"")</f>
        <v/>
      </c>
    </row>
    <row r="1169">
      <c r="A1169" t="inlineStr">
        <is>
          <t>2026-06-19</t>
        </is>
      </c>
      <c r="B1169" t="inlineStr">
        <is>
          <t>513700</t>
        </is>
      </c>
      <c r="C1169" t="inlineStr">
        <is>
          <t>港股通医药ETF鹏华</t>
        </is>
      </c>
      <c r="D1169" t="n">
        <v>97884.60000000001</v>
      </c>
      <c r="E1169" t="n">
        <v>97984.60000000001</v>
      </c>
      <c r="F1169" t="n">
        <v>0.505</v>
      </c>
      <c r="G1169" t="n">
        <v>-100</v>
      </c>
      <c r="H1169" t="n">
        <v>4.948222</v>
      </c>
      <c r="I1169" t="n">
        <v>4.89923</v>
      </c>
      <c r="J1169" t="n">
        <v>0.048992</v>
      </c>
      <c r="K1169" s="4">
        <f>IFERROR(J1169/I1169,"")</f>
        <v/>
      </c>
      <c r="L1169" s="4">
        <f>IFERROR((D1169-E1169)/E1169,"")</f>
        <v/>
      </c>
    </row>
    <row r="1170">
      <c r="A1170" t="inlineStr">
        <is>
          <t>2026-06-19</t>
        </is>
      </c>
      <c r="B1170" t="inlineStr">
        <is>
          <t>513720</t>
        </is>
      </c>
      <c r="C1170" t="inlineStr">
        <is>
          <t>港股互联网ETF国泰</t>
        </is>
      </c>
      <c r="D1170" t="n">
        <v>24985.9</v>
      </c>
      <c r="E1170" t="n">
        <v>24985.9</v>
      </c>
      <c r="F1170" t="n">
        <v>0.641</v>
      </c>
      <c r="G1170" t="n">
        <v>0</v>
      </c>
      <c r="H1170" t="n">
        <v>1.601596</v>
      </c>
      <c r="I1170" t="n">
        <v>1.649069</v>
      </c>
      <c r="J1170" t="n">
        <v>-0.047473</v>
      </c>
      <c r="K1170" s="4">
        <f>IFERROR(J1170/I1170,"")</f>
        <v/>
      </c>
      <c r="L1170" s="4">
        <f>IFERROR((D1170-E1170)/E1170,"")</f>
        <v/>
      </c>
    </row>
    <row r="1171">
      <c r="A1171" t="inlineStr">
        <is>
          <t>2026-06-19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89135.5</v>
      </c>
      <c r="E1171" t="n">
        <v>89335.5</v>
      </c>
      <c r="F1171" t="n">
        <v>1.182</v>
      </c>
      <c r="G1171" t="n">
        <v>-200</v>
      </c>
      <c r="H1171" t="n">
        <v>10.559456</v>
      </c>
      <c r="I1171" t="n">
        <v>10.586257</v>
      </c>
      <c r="J1171" t="n">
        <v>-0.026801</v>
      </c>
      <c r="K1171" s="4">
        <f>IFERROR(J1171/I1171,"")</f>
        <v/>
      </c>
      <c r="L1171" s="4">
        <f>IFERROR((D1171-E1171)/E1171,"")</f>
        <v/>
      </c>
    </row>
    <row r="1172">
      <c r="A1172" t="inlineStr">
        <is>
          <t>2026-06-19</t>
        </is>
      </c>
      <c r="B1172" t="inlineStr">
        <is>
          <t>513750</t>
        </is>
      </c>
      <c r="C1172" t="inlineStr">
        <is>
          <t>港股通非银ETF广发</t>
        </is>
      </c>
      <c r="D1172" t="n">
        <v>1078183.8</v>
      </c>
      <c r="E1172" t="n">
        <v>1082133.8</v>
      </c>
      <c r="F1172" t="n">
        <v>1.457</v>
      </c>
      <c r="G1172" t="n">
        <v>-3950</v>
      </c>
      <c r="H1172" t="n">
        <v>157.666895</v>
      </c>
      <c r="I1172" t="n">
        <v>165.864744</v>
      </c>
      <c r="J1172" t="n">
        <v>-8.197849</v>
      </c>
      <c r="K1172" s="4">
        <f>IFERROR(J1172/I1172,"")</f>
        <v/>
      </c>
      <c r="L1172" s="4">
        <f>IFERROR((D1172-E1172)/E1172,"")</f>
        <v/>
      </c>
    </row>
    <row r="1173">
      <c r="A1173" t="inlineStr">
        <is>
          <t>2026-06-19</t>
        </is>
      </c>
      <c r="B1173" t="inlineStr">
        <is>
          <t>513770</t>
        </is>
      </c>
      <c r="C1173" t="inlineStr">
        <is>
          <t>港股互联网ETF华宝</t>
        </is>
      </c>
      <c r="D1173" t="n">
        <v>1565413.79</v>
      </c>
      <c r="E1173" t="n">
        <v>1586913.79</v>
      </c>
      <c r="F1173" t="n">
        <v>0.346</v>
      </c>
      <c r="G1173" t="n">
        <v>-21500</v>
      </c>
      <c r="H1173" t="n">
        <v>54.907217</v>
      </c>
      <c r="I1173" t="n">
        <v>57.844189</v>
      </c>
      <c r="J1173" t="n">
        <v>-2.936972</v>
      </c>
      <c r="K1173" s="4">
        <f>IFERROR(J1173/I1173,"")</f>
        <v/>
      </c>
      <c r="L1173" s="4">
        <f>IFERROR((D1173-E1173)/E1173,"")</f>
        <v/>
      </c>
    </row>
    <row r="1174">
      <c r="A1174" t="inlineStr">
        <is>
          <t>2026-06-19</t>
        </is>
      </c>
      <c r="B1174" t="inlineStr">
        <is>
          <t>513780</t>
        </is>
      </c>
      <c r="C1174" t="inlineStr">
        <is>
          <t>港股创新药ETF景顺</t>
        </is>
      </c>
      <c r="D1174" t="n">
        <v>178965.7</v>
      </c>
      <c r="E1174" t="n">
        <v>179165.7</v>
      </c>
      <c r="F1174" t="n">
        <v>1.275</v>
      </c>
      <c r="G1174" t="n">
        <v>-200</v>
      </c>
      <c r="H1174" t="n">
        <v>22.843627</v>
      </c>
      <c r="I1174" t="n">
        <v>22.449462</v>
      </c>
      <c r="J1174" t="n">
        <v>0.394165</v>
      </c>
      <c r="K1174" s="4">
        <f>IFERROR(J1174/I1174,"")</f>
        <v/>
      </c>
      <c r="L1174" s="4">
        <f>IFERROR((D1174-E1174)/E1174,"")</f>
        <v/>
      </c>
    </row>
    <row r="1175">
      <c r="A1175" t="inlineStr">
        <is>
          <t>2026-06-19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105584.44</v>
      </c>
      <c r="E1175" t="n">
        <v>105344.44</v>
      </c>
      <c r="F1175" t="n">
        <v>1.86</v>
      </c>
      <c r="G1175" t="n">
        <v>240</v>
      </c>
      <c r="H1175" t="n">
        <v>19.594066</v>
      </c>
      <c r="I1175" t="n">
        <v>19.330705</v>
      </c>
      <c r="J1175" t="n">
        <v>0.263361</v>
      </c>
      <c r="K1175" s="4">
        <f>IFERROR(J1175/I1175,"")</f>
        <v/>
      </c>
      <c r="L1175" s="4">
        <f>IFERROR((D1175-E1175)/E1175,"")</f>
        <v/>
      </c>
    </row>
    <row r="1176">
      <c r="A1176" t="inlineStr">
        <is>
          <t>2026-06-19</t>
        </is>
      </c>
      <c r="B1176" t="inlineStr">
        <is>
          <t>513810</t>
        </is>
      </c>
      <c r="C1176" t="inlineStr">
        <is>
          <t>港股国企ETF华夏</t>
        </is>
      </c>
      <c r="D1176" t="n">
        <v>3699.2</v>
      </c>
      <c r="E1176" t="n">
        <v>3699.2</v>
      </c>
      <c r="F1176" t="n">
        <v>1.67</v>
      </c>
      <c r="G1176" t="n">
        <v>0</v>
      </c>
      <c r="H1176" t="n">
        <v>0.617766</v>
      </c>
      <c r="I1176" t="n">
        <v>0.631453</v>
      </c>
      <c r="J1176" t="n">
        <v>-0.013687</v>
      </c>
      <c r="K1176" s="4">
        <f>IFERROR(J1176/I1176,"")</f>
        <v/>
      </c>
      <c r="L1176" s="4">
        <f>IFERROR((D1176-E1176)/E1176,"")</f>
        <v/>
      </c>
    </row>
    <row r="1177">
      <c r="A1177" t="inlineStr">
        <is>
          <t>2026-06-19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189716.9</v>
      </c>
      <c r="E1177" t="n">
        <v>189816.9</v>
      </c>
      <c r="F1177" t="n">
        <v>1.181</v>
      </c>
      <c r="G1177" t="n">
        <v>-100</v>
      </c>
      <c r="H1177" t="n">
        <v>22.417376</v>
      </c>
      <c r="I1177" t="n">
        <v>22.985995</v>
      </c>
      <c r="J1177" t="n">
        <v>-0.568619</v>
      </c>
      <c r="K1177" s="4">
        <f>IFERROR(J1177/I1177,"")</f>
        <v/>
      </c>
      <c r="L1177" s="4">
        <f>IFERROR((D1177-E1177)/E1177,"")</f>
        <v/>
      </c>
    </row>
    <row r="1178">
      <c r="A1178" t="inlineStr">
        <is>
          <t>2026-06-19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5781.1</v>
      </c>
      <c r="E1178" t="n">
        <v>5781.1</v>
      </c>
      <c r="F1178" t="n">
        <v>1.131</v>
      </c>
      <c r="G1178" t="n">
        <v>0</v>
      </c>
      <c r="H1178" t="n">
        <v>0.653842</v>
      </c>
      <c r="I1178" t="n">
        <v>0.671764</v>
      </c>
      <c r="J1178" t="n">
        <v>-0.017922</v>
      </c>
      <c r="K1178" s="4">
        <f>IFERROR(J1178/I1178,"")</f>
        <v/>
      </c>
      <c r="L1178" s="4">
        <f>IFERROR((D1178-E1178)/E1178,"")</f>
        <v/>
      </c>
    </row>
    <row r="1179">
      <c r="A1179" t="inlineStr">
        <is>
          <t>2026-06-19</t>
        </is>
      </c>
      <c r="B1179" t="inlineStr">
        <is>
          <t>513850</t>
        </is>
      </c>
      <c r="C1179" t="inlineStr">
        <is>
          <t>美国50ETF易方达</t>
        </is>
      </c>
      <c r="D1179" t="n">
        <v>119389.26</v>
      </c>
      <c r="E1179" t="n">
        <v>119289.26</v>
      </c>
      <c r="F1179" t="n">
        <v>1.763</v>
      </c>
      <c r="G1179" t="n">
        <v>100</v>
      </c>
      <c r="H1179" t="n">
        <v>21.030697</v>
      </c>
      <c r="I1179" t="n">
        <v>21.239526</v>
      </c>
      <c r="J1179" t="n">
        <v>-0.208829</v>
      </c>
      <c r="K1179" s="4">
        <f>IFERROR(J1179/I1179,"")</f>
        <v/>
      </c>
      <c r="L1179" s="4">
        <f>IFERROR((D1179-E1179)/E1179,"")</f>
        <v/>
      </c>
    </row>
    <row r="1180">
      <c r="A1180" t="inlineStr">
        <is>
          <t>2026-06-19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446747.06</v>
      </c>
      <c r="E1180" t="n">
        <v>450247.06</v>
      </c>
      <c r="F1180" t="n">
        <v>0.585</v>
      </c>
      <c r="G1180" t="n">
        <v>-3500</v>
      </c>
      <c r="H1180" t="n">
        <v>26.339453</v>
      </c>
      <c r="I1180" t="n">
        <v>26.952575</v>
      </c>
      <c r="J1180" t="n">
        <v>-0.6131219999999999</v>
      </c>
      <c r="K1180" s="4">
        <f>IFERROR(J1180/I1180,"")</f>
        <v/>
      </c>
      <c r="L1180" s="4">
        <f>IFERROR((D1180-E1180)/E1180,"")</f>
        <v/>
      </c>
    </row>
    <row r="1181">
      <c r="A1181" t="inlineStr">
        <is>
          <t>2026-06-19</t>
        </is>
      </c>
      <c r="B1181" t="inlineStr">
        <is>
          <t>513870</t>
        </is>
      </c>
      <c r="C1181" t="inlineStr">
        <is>
          <t>纳指ETF富国</t>
        </is>
      </c>
      <c r="D1181" t="n">
        <v>123367.1</v>
      </c>
      <c r="E1181" t="n">
        <v>123267.1</v>
      </c>
      <c r="F1181" t="n">
        <v>2.122</v>
      </c>
      <c r="G1181" t="n">
        <v>100</v>
      </c>
      <c r="H1181" t="n">
        <v>26.157279</v>
      </c>
      <c r="I1181" t="n">
        <v>26.280546</v>
      </c>
      <c r="J1181" t="n">
        <v>-0.123267</v>
      </c>
      <c r="K1181" s="4">
        <f>IFERROR(J1181/I1181,"")</f>
        <v/>
      </c>
      <c r="L1181" s="4">
        <f>IFERROR((D1181-E1181)/E1181,"")</f>
        <v/>
      </c>
    </row>
    <row r="1182">
      <c r="A1182" t="inlineStr">
        <is>
          <t>2026-06-19</t>
        </is>
      </c>
      <c r="B1182" t="inlineStr">
        <is>
          <t>513880</t>
        </is>
      </c>
      <c r="C1182" t="inlineStr">
        <is>
          <t>日经225ETF华安</t>
        </is>
      </c>
      <c r="D1182" t="n">
        <v>126947</v>
      </c>
      <c r="E1182" t="n">
        <v>126897</v>
      </c>
      <c r="F1182" t="n">
        <v>2.33</v>
      </c>
      <c r="G1182" t="n">
        <v>50</v>
      </c>
      <c r="H1182" t="n">
        <v>29.567001</v>
      </c>
      <c r="I1182" t="n">
        <v>28.794269</v>
      </c>
      <c r="J1182" t="n">
        <v>0.772732</v>
      </c>
      <c r="K1182" s="4">
        <f>IFERROR(J1182/I1182,"")</f>
        <v/>
      </c>
      <c r="L1182" s="4">
        <f>IFERROR((D1182-E1182)/E1182,"")</f>
        <v/>
      </c>
    </row>
    <row r="1183">
      <c r="A1183" t="inlineStr">
        <is>
          <t>2026-06-19</t>
        </is>
      </c>
      <c r="B1183" t="inlineStr">
        <is>
          <t>513890</t>
        </is>
      </c>
      <c r="C1183" t="inlineStr">
        <is>
          <t>恒生科技ETF摩根</t>
        </is>
      </c>
      <c r="D1183" t="n">
        <v>97312.8</v>
      </c>
      <c r="E1183" t="n">
        <v>97412.8</v>
      </c>
      <c r="F1183" t="n">
        <v>0.888</v>
      </c>
      <c r="G1183" t="n">
        <v>-100</v>
      </c>
      <c r="H1183" t="n">
        <v>8.650257</v>
      </c>
      <c r="I1183" t="n">
        <v>8.786635</v>
      </c>
      <c r="J1183" t="n">
        <v>-0.136378</v>
      </c>
      <c r="K1183" s="4">
        <f>IFERROR(J1183/I1183,"")</f>
        <v/>
      </c>
      <c r="L1183" s="4">
        <f>IFERROR((D1183-E1183)/E1183,"")</f>
        <v/>
      </c>
    </row>
    <row r="1184">
      <c r="A1184" t="inlineStr">
        <is>
          <t>2026-06-19</t>
        </is>
      </c>
      <c r="B1184" t="inlineStr">
        <is>
          <t>513900</t>
        </is>
      </c>
      <c r="C1184" t="inlineStr">
        <is>
          <t>港股通100ETF华安</t>
        </is>
      </c>
      <c r="D1184" t="n">
        <v>12897.8</v>
      </c>
      <c r="E1184" t="n">
        <v>12997.8</v>
      </c>
      <c r="F1184" t="n">
        <v>0.928</v>
      </c>
      <c r="G1184" t="n">
        <v>-100</v>
      </c>
      <c r="H1184" t="n">
        <v>1.206196</v>
      </c>
      <c r="I1184" t="n">
        <v>1.239052</v>
      </c>
      <c r="J1184" t="n">
        <v>-0.032856</v>
      </c>
      <c r="K1184" s="4">
        <f>IFERROR(J1184/I1184,"")</f>
        <v/>
      </c>
      <c r="L1184" s="4">
        <f>IFERROR((D1184-E1184)/E1184,"")</f>
        <v/>
      </c>
    </row>
    <row r="1185">
      <c r="A1185" t="inlineStr">
        <is>
          <t>2026-06-19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222327.6</v>
      </c>
      <c r="E1185" t="n">
        <v>229627.6</v>
      </c>
      <c r="F1185" t="n">
        <v>1.488</v>
      </c>
      <c r="G1185" t="n">
        <v>-7300</v>
      </c>
      <c r="H1185" t="n">
        <v>34.168587</v>
      </c>
      <c r="I1185" t="n">
        <v>35.109945</v>
      </c>
      <c r="J1185" t="n">
        <v>-0.941358</v>
      </c>
      <c r="K1185" s="4">
        <f>IFERROR(J1185/I1185,"")</f>
        <v/>
      </c>
      <c r="L1185" s="4">
        <f>IFERROR((D1185-E1185)/E1185,"")</f>
        <v/>
      </c>
    </row>
    <row r="1186">
      <c r="A1186" t="inlineStr">
        <is>
          <t>2026-06-19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279873.1</v>
      </c>
      <c r="E1186" t="n">
        <v>287923.1</v>
      </c>
      <c r="F1186" t="n">
        <v>1.505</v>
      </c>
      <c r="G1186" t="n">
        <v>-8050</v>
      </c>
      <c r="H1186" t="n">
        <v>43.332427</v>
      </c>
      <c r="I1186" t="n">
        <v>46.509265</v>
      </c>
      <c r="J1186" t="n">
        <v>-3.176838</v>
      </c>
      <c r="K1186" s="4">
        <f>IFERROR(J1186/I1186,"")</f>
        <v/>
      </c>
      <c r="L1186" s="4">
        <f>IFERROR((D1186-E1186)/E1186,"")</f>
        <v/>
      </c>
    </row>
    <row r="1187">
      <c r="A1187" t="inlineStr">
        <is>
          <t>2026-06-19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7590.8</v>
      </c>
      <c r="E1187" t="n">
        <v>7590.8</v>
      </c>
      <c r="F1187" t="n">
        <v>0.819</v>
      </c>
      <c r="G1187" t="n">
        <v>0</v>
      </c>
      <c r="H1187" t="n">
        <v>0.621687</v>
      </c>
      <c r="I1187" t="n">
        <v>0.611059</v>
      </c>
      <c r="J1187" t="n">
        <v>0.010628</v>
      </c>
      <c r="K1187" s="4">
        <f>IFERROR(J1187/I1187,"")</f>
        <v/>
      </c>
      <c r="L1187" s="4">
        <f>IFERROR((D1187-E1187)/E1187,"")</f>
        <v/>
      </c>
    </row>
    <row r="1188">
      <c r="A1188" t="inlineStr">
        <is>
          <t>2026-06-19</t>
        </is>
      </c>
      <c r="B1188" t="inlineStr">
        <is>
          <t>513950</t>
        </is>
      </c>
      <c r="C1188" t="inlineStr">
        <is>
          <t>恒生红利ETF富国</t>
        </is>
      </c>
      <c r="D1188" t="n">
        <v>209461.9</v>
      </c>
      <c r="E1188" t="n">
        <v>209611.9</v>
      </c>
      <c r="F1188" t="n">
        <v>1.248</v>
      </c>
      <c r="G1188" t="n">
        <v>-150</v>
      </c>
      <c r="H1188" t="n">
        <v>26.159565</v>
      </c>
      <c r="I1188" t="n">
        <v>26.997628</v>
      </c>
      <c r="J1188" t="n">
        <v>-0.838063</v>
      </c>
      <c r="K1188" s="4">
        <f>IFERROR(J1188/I1188,"")</f>
        <v/>
      </c>
      <c r="L1188" s="4">
        <f>IFERROR((D1188-E1188)/E1188,"")</f>
        <v/>
      </c>
    </row>
    <row r="1189">
      <c r="A1189" t="inlineStr">
        <is>
          <t>2026-06-19</t>
        </is>
      </c>
      <c r="B1189" t="inlineStr">
        <is>
          <t>513970</t>
        </is>
      </c>
      <c r="C1189" t="inlineStr">
        <is>
          <t>恒生消费ETF景顺</t>
        </is>
      </c>
      <c r="D1189" t="n">
        <v>158804.1</v>
      </c>
      <c r="E1189" t="n">
        <v>159204.1</v>
      </c>
      <c r="F1189" t="n">
        <v>0.796</v>
      </c>
      <c r="G1189" t="n">
        <v>-400</v>
      </c>
      <c r="H1189" t="n">
        <v>12.672646</v>
      </c>
      <c r="I1189" t="n">
        <v>13.015884</v>
      </c>
      <c r="J1189" t="n">
        <v>-0.343238</v>
      </c>
      <c r="K1189" s="4">
        <f>IFERROR(J1189/I1189,"")</f>
        <v/>
      </c>
      <c r="L1189" s="4">
        <f>IFERROR((D1189-E1189)/E1189,"")</f>
        <v/>
      </c>
    </row>
    <row r="1190">
      <c r="A1190" t="inlineStr">
        <is>
          <t>2026-06-19</t>
        </is>
      </c>
      <c r="B1190" t="inlineStr">
        <is>
          <t>513980</t>
        </is>
      </c>
      <c r="C1190" t="inlineStr">
        <is>
          <t>港股科技ETF景顺</t>
        </is>
      </c>
      <c r="D1190" t="n">
        <v>2481420.4</v>
      </c>
      <c r="E1190" t="n">
        <v>2501420.4</v>
      </c>
      <c r="F1190" t="n">
        <v>0.583</v>
      </c>
      <c r="G1190" t="n">
        <v>-20000</v>
      </c>
      <c r="H1190" t="n">
        <v>145.832809</v>
      </c>
      <c r="I1190" t="n">
        <v>149.772372</v>
      </c>
      <c r="J1190" t="n">
        <v>-3.939563</v>
      </c>
      <c r="K1190" s="4">
        <f>IFERROR(J1190/I1190,"")</f>
        <v/>
      </c>
      <c r="L1190" s="4">
        <f>IFERROR((D1190-E1190)/E1190,"")</f>
        <v/>
      </c>
    </row>
    <row r="1191">
      <c r="A1191" t="inlineStr">
        <is>
          <t>2026-06-19</t>
        </is>
      </c>
      <c r="B1191" t="inlineStr">
        <is>
          <t>513990</t>
        </is>
      </c>
      <c r="C1191" t="inlineStr">
        <is>
          <t>港股通ETF招商</t>
        </is>
      </c>
      <c r="D1191" t="n">
        <v>6700</v>
      </c>
      <c r="E1191" t="n">
        <v>6700</v>
      </c>
      <c r="F1191" t="n">
        <v>1.052</v>
      </c>
      <c r="G1191" t="n">
        <v>0</v>
      </c>
      <c r="H1191" t="n">
        <v>0.70484</v>
      </c>
      <c r="I1191" t="n">
        <v>0.71958</v>
      </c>
      <c r="J1191" t="n">
        <v>-0.01474</v>
      </c>
      <c r="K1191" s="4">
        <f>IFERROR(J1191/I1191,"")</f>
        <v/>
      </c>
      <c r="L1191" s="4">
        <f>IFERROR((D1191-E1191)/E1191,"")</f>
        <v/>
      </c>
    </row>
    <row r="1192">
      <c r="A1192" t="inlineStr">
        <is>
          <t>2026-06-19</t>
        </is>
      </c>
      <c r="B1192" t="inlineStr">
        <is>
          <t>515000</t>
        </is>
      </c>
      <c r="C1192" t="inlineStr">
        <is>
          <t>科技ETF华宝</t>
        </is>
      </c>
      <c r="D1192" t="n">
        <v>222857.93</v>
      </c>
      <c r="E1192" t="n">
        <v>218457.93</v>
      </c>
      <c r="F1192" t="n">
        <v>1.552</v>
      </c>
      <c r="G1192" t="n">
        <v>4400</v>
      </c>
      <c r="H1192" t="n">
        <v>33.904671</v>
      </c>
      <c r="I1192" t="n">
        <v>32.984527</v>
      </c>
      <c r="J1192" t="n">
        <v>0.920144</v>
      </c>
      <c r="K1192" s="4">
        <f>IFERROR(J1192/I1192,"")</f>
        <v/>
      </c>
      <c r="L1192" s="4">
        <f>IFERROR((D1192-E1192)/E1192,"")</f>
        <v/>
      </c>
    </row>
    <row r="1193">
      <c r="A1193" t="inlineStr">
        <is>
          <t>2026-06-19</t>
        </is>
      </c>
      <c r="B1193" t="inlineStr">
        <is>
          <t>515010</t>
        </is>
      </c>
      <c r="C1193" t="inlineStr">
        <is>
          <t>证券ETF华夏</t>
        </is>
      </c>
      <c r="D1193" t="n">
        <v>168027.16</v>
      </c>
      <c r="E1193" t="n">
        <v>161527.16</v>
      </c>
      <c r="F1193" t="n">
        <v>1.21</v>
      </c>
      <c r="G1193" t="n">
        <v>6500</v>
      </c>
      <c r="H1193" t="n">
        <v>19.544786</v>
      </c>
      <c r="I1193" t="n">
        <v>19.942056</v>
      </c>
      <c r="J1193" t="n">
        <v>-0.39727</v>
      </c>
      <c r="K1193" s="4">
        <f>IFERROR(J1193/I1193,"")</f>
        <v/>
      </c>
      <c r="L1193" s="4">
        <f>IFERROR((D1193-E1193)/E1193,"")</f>
        <v/>
      </c>
    </row>
    <row r="1194">
      <c r="A1194" t="inlineStr">
        <is>
          <t>2026-06-19</t>
        </is>
      </c>
      <c r="B1194" t="inlineStr">
        <is>
          <t>515020</t>
        </is>
      </c>
      <c r="C1194" t="inlineStr">
        <is>
          <t>银行ETF华夏</t>
        </is>
      </c>
      <c r="D1194" t="n">
        <v>41234.53</v>
      </c>
      <c r="E1194" t="n">
        <v>41384.53</v>
      </c>
      <c r="F1194" t="n">
        <v>1.637</v>
      </c>
      <c r="G1194" t="n">
        <v>-150</v>
      </c>
      <c r="H1194" t="n">
        <v>6.774648</v>
      </c>
      <c r="I1194" t="n">
        <v>6.969568</v>
      </c>
      <c r="J1194" t="n">
        <v>-0.19492</v>
      </c>
      <c r="K1194" s="4">
        <f>IFERROR(J1194/I1194,"")</f>
        <v/>
      </c>
      <c r="L1194" s="4">
        <f>IFERROR((D1194-E1194)/E1194,"")</f>
        <v/>
      </c>
    </row>
    <row r="1195">
      <c r="A1195" t="inlineStr">
        <is>
          <t>2026-06-19</t>
        </is>
      </c>
      <c r="B1195" t="inlineStr">
        <is>
          <t>515030</t>
        </is>
      </c>
      <c r="C1195" t="inlineStr">
        <is>
          <t>新能源车ETF华夏</t>
        </is>
      </c>
      <c r="D1195" t="n">
        <v>170338.4</v>
      </c>
      <c r="E1195" t="n">
        <v>170238.4</v>
      </c>
      <c r="F1195" t="n">
        <v>1.925</v>
      </c>
      <c r="G1195" t="n">
        <v>100</v>
      </c>
      <c r="H1195" t="n">
        <v>32.770892</v>
      </c>
      <c r="I1195" t="n">
        <v>33.174471</v>
      </c>
      <c r="J1195" t="n">
        <v>-0.403579</v>
      </c>
      <c r="K1195" s="4">
        <f>IFERROR(J1195/I1195,"")</f>
        <v/>
      </c>
      <c r="L1195" s="4">
        <f>IFERROR((D1195-E1195)/E1195,"")</f>
        <v/>
      </c>
    </row>
    <row r="1196">
      <c r="A1196" t="inlineStr">
        <is>
          <t>2026-06-19</t>
        </is>
      </c>
      <c r="B1196" t="inlineStr">
        <is>
          <t>515050</t>
        </is>
      </c>
      <c r="C1196" t="inlineStr">
        <is>
          <t>通信ETF华夏</t>
        </is>
      </c>
      <c r="D1196" t="n">
        <v>1505320.54</v>
      </c>
      <c r="E1196" t="n">
        <v>1475520.54</v>
      </c>
      <c r="F1196" t="n">
        <v>1.383</v>
      </c>
      <c r="G1196" t="n">
        <v>29800</v>
      </c>
      <c r="H1196" t="n">
        <v>204.064491</v>
      </c>
      <c r="I1196" t="n">
        <v>194.980648</v>
      </c>
      <c r="J1196" t="n">
        <v>9.083843</v>
      </c>
      <c r="K1196" s="4">
        <f>IFERROR(J1196/I1196,"")</f>
        <v/>
      </c>
      <c r="L1196" s="4">
        <f>IFERROR((D1196-E1196)/E1196,"")</f>
        <v/>
      </c>
    </row>
    <row r="1197">
      <c r="A1197" t="inlineStr">
        <is>
          <t>2026-06-19</t>
        </is>
      </c>
      <c r="B1197" t="inlineStr">
        <is>
          <t>515060</t>
        </is>
      </c>
      <c r="C1197" t="inlineStr">
        <is>
          <t>房地产ETF华夏</t>
        </is>
      </c>
      <c r="D1197" t="n">
        <v>92647.81</v>
      </c>
      <c r="E1197" t="n">
        <v>90147.81</v>
      </c>
      <c r="F1197" t="n">
        <v>0.598</v>
      </c>
      <c r="G1197" t="n">
        <v>2500</v>
      </c>
      <c r="H1197" t="n">
        <v>5.390839</v>
      </c>
      <c r="I1197" t="n">
        <v>5.460033</v>
      </c>
      <c r="J1197" t="n">
        <v>-0.06919400000000001</v>
      </c>
      <c r="K1197" s="4">
        <f>IFERROR(J1197/I1197,"")</f>
        <v/>
      </c>
      <c r="L1197" s="4">
        <f>IFERROR((D1197-E1197)/E1197,"")</f>
        <v/>
      </c>
    </row>
    <row r="1198">
      <c r="A1198" t="inlineStr">
        <is>
          <t>2026-06-19</t>
        </is>
      </c>
      <c r="B1198" t="inlineStr">
        <is>
          <t>515070</t>
        </is>
      </c>
      <c r="C1198" t="inlineStr">
        <is>
          <t>人工智能ETF华夏</t>
        </is>
      </c>
      <c r="D1198" t="n">
        <v>368297.02</v>
      </c>
      <c r="E1198" t="n">
        <v>374597.02</v>
      </c>
      <c r="F1198" t="n">
        <v>2.667</v>
      </c>
      <c r="G1198" t="n">
        <v>-6300</v>
      </c>
      <c r="H1198" t="n">
        <v>99.90502499999999</v>
      </c>
      <c r="I1198" t="n">
        <v>96.099862</v>
      </c>
      <c r="J1198" t="n">
        <v>3.805163</v>
      </c>
      <c r="K1198" s="4">
        <f>IFERROR(J1198/I1198,"")</f>
        <v/>
      </c>
      <c r="L1198" s="4">
        <f>IFERROR((D1198-E1198)/E1198,"")</f>
        <v/>
      </c>
    </row>
    <row r="1199">
      <c r="A1199" t="inlineStr">
        <is>
          <t>2026-06-19</t>
        </is>
      </c>
      <c r="B1199" t="inlineStr">
        <is>
          <t>515080</t>
        </is>
      </c>
      <c r="C1199" t="inlineStr">
        <is>
          <t>中证红利ETF招商</t>
        </is>
      </c>
      <c r="D1199" t="n">
        <v>758114.89</v>
      </c>
      <c r="E1199" t="n">
        <v>743814.89</v>
      </c>
      <c r="F1199" t="n">
        <v>1.488</v>
      </c>
      <c r="G1199" t="n">
        <v>14300</v>
      </c>
      <c r="H1199" t="n">
        <v>110.679655</v>
      </c>
      <c r="I1199" t="n">
        <v>111.065908</v>
      </c>
      <c r="J1199" t="n">
        <v>-0.386253</v>
      </c>
      <c r="K1199" s="4">
        <f>IFERROR(J1199/I1199,"")</f>
        <v/>
      </c>
      <c r="L1199" s="4">
        <f>IFERROR((D1199-E1199)/E1199,"")</f>
        <v/>
      </c>
    </row>
    <row r="1200">
      <c r="A1200" t="inlineStr">
        <is>
          <t>2026-06-19</t>
        </is>
      </c>
      <c r="B1200" t="inlineStr">
        <is>
          <t>515090</t>
        </is>
      </c>
      <c r="C1200" t="inlineStr">
        <is>
          <t>可持续发展ETF博时</t>
        </is>
      </c>
      <c r="D1200" t="n">
        <v>380.17</v>
      </c>
      <c r="E1200" t="n">
        <v>380.17</v>
      </c>
      <c r="F1200" t="n">
        <v>1.437</v>
      </c>
      <c r="G1200" t="n">
        <v>0</v>
      </c>
      <c r="H1200" t="n">
        <v>0.05463</v>
      </c>
      <c r="I1200" t="n">
        <v>0.054212</v>
      </c>
      <c r="J1200" t="n">
        <v>0.000418</v>
      </c>
      <c r="K1200" s="4">
        <f>IFERROR(J1200/I1200,"")</f>
        <v/>
      </c>
      <c r="L1200" s="4">
        <f>IFERROR((D1200-E1200)/E1200,"")</f>
        <v/>
      </c>
    </row>
    <row r="1201">
      <c r="A1201" t="inlineStr">
        <is>
          <t>2026-06-19</t>
        </is>
      </c>
      <c r="B1201" t="inlineStr">
        <is>
          <t>515100</t>
        </is>
      </c>
      <c r="C1201" t="inlineStr">
        <is>
          <t>红利低波100ETF景顺</t>
        </is>
      </c>
      <c r="D1201" t="n">
        <v>425444.15</v>
      </c>
      <c r="E1201" t="n">
        <v>428094.15</v>
      </c>
      <c r="F1201" t="n">
        <v>1.358</v>
      </c>
      <c r="G1201" t="n">
        <v>-2650</v>
      </c>
      <c r="H1201" t="n">
        <v>58.135186</v>
      </c>
      <c r="I1201" t="n">
        <v>58.999709</v>
      </c>
      <c r="J1201" t="n">
        <v>-0.864523</v>
      </c>
      <c r="K1201" s="4">
        <f>IFERROR(J1201/I1201,"")</f>
        <v/>
      </c>
      <c r="L1201" s="4">
        <f>IFERROR((D1201-E1201)/E1201,"")</f>
        <v/>
      </c>
    </row>
    <row r="1202">
      <c r="A1202" t="inlineStr">
        <is>
          <t>2026-06-19</t>
        </is>
      </c>
      <c r="B1202" t="inlineStr">
        <is>
          <t>515110</t>
        </is>
      </c>
      <c r="C1202" t="inlineStr">
        <is>
          <t>一带一路ETF易方达</t>
        </is>
      </c>
      <c r="D1202" t="n">
        <v>22329.5</v>
      </c>
      <c r="E1202" t="n">
        <v>22329.5</v>
      </c>
      <c r="F1202" t="n">
        <v>1.653</v>
      </c>
      <c r="G1202" t="n">
        <v>0</v>
      </c>
      <c r="H1202" t="n">
        <v>3.691066</v>
      </c>
      <c r="I1202" t="n">
        <v>3.74689</v>
      </c>
      <c r="J1202" t="n">
        <v>-0.055824</v>
      </c>
      <c r="K1202" s="4">
        <f>IFERROR(J1202/I1202,"")</f>
        <v/>
      </c>
      <c r="L1202" s="4">
        <f>IFERROR((D1202-E1202)/E1202,"")</f>
        <v/>
      </c>
    </row>
    <row r="1203">
      <c r="A1203" t="inlineStr">
        <is>
          <t>2026-06-19</t>
        </is>
      </c>
      <c r="B1203" t="inlineStr">
        <is>
          <t>515120</t>
        </is>
      </c>
      <c r="C1203" t="inlineStr">
        <is>
          <t>创新药ETF广发</t>
        </is>
      </c>
      <c r="D1203" t="n">
        <v>1632899.36</v>
      </c>
      <c r="E1203" t="n">
        <v>1656299.36</v>
      </c>
      <c r="F1203" t="n">
        <v>0.551</v>
      </c>
      <c r="G1203" t="n">
        <v>-23400</v>
      </c>
      <c r="H1203" t="n">
        <v>91.262095</v>
      </c>
      <c r="I1203" t="n">
        <v>88.708316</v>
      </c>
      <c r="J1203" t="n">
        <v>2.553779</v>
      </c>
      <c r="K1203" s="4">
        <f>IFERROR(J1203/I1203,"")</f>
        <v/>
      </c>
      <c r="L1203" s="4">
        <f>IFERROR((D1203-E1203)/E1203,"")</f>
        <v/>
      </c>
    </row>
    <row r="1204">
      <c r="A1204" t="inlineStr">
        <is>
          <t>2026-06-19</t>
        </is>
      </c>
      <c r="B1204" t="inlineStr">
        <is>
          <t>515130</t>
        </is>
      </c>
      <c r="C1204" t="inlineStr">
        <is>
          <t>沪深300ETF博时</t>
        </is>
      </c>
      <c r="D1204" t="n">
        <v>8246.32</v>
      </c>
      <c r="E1204" t="n">
        <v>8246.32</v>
      </c>
      <c r="F1204" t="n">
        <v>1.638</v>
      </c>
      <c r="G1204" t="n">
        <v>0</v>
      </c>
      <c r="H1204" t="n">
        <v>1.350747</v>
      </c>
      <c r="I1204" t="n">
        <v>1.344974</v>
      </c>
      <c r="J1204" t="n">
        <v>0.005773</v>
      </c>
      <c r="K1204" s="4">
        <f>IFERROR(J1204/I1204,"")</f>
        <v/>
      </c>
      <c r="L1204" s="4">
        <f>IFERROR((D1204-E1204)/E1204,"")</f>
        <v/>
      </c>
    </row>
    <row r="1205">
      <c r="A1205" t="inlineStr">
        <is>
          <t>2026-06-19</t>
        </is>
      </c>
      <c r="B1205" t="inlineStr">
        <is>
          <t>515150</t>
        </is>
      </c>
      <c r="C1205" t="inlineStr">
        <is>
          <t>一带一路ETF富国</t>
        </is>
      </c>
      <c r="D1205" t="n">
        <v>40070.32</v>
      </c>
      <c r="E1205" t="n">
        <v>40070.32</v>
      </c>
      <c r="F1205" t="n">
        <v>1.576</v>
      </c>
      <c r="G1205" t="n">
        <v>0</v>
      </c>
      <c r="H1205" t="n">
        <v>6.315083</v>
      </c>
      <c r="I1205" t="n">
        <v>6.391216</v>
      </c>
      <c r="J1205" t="n">
        <v>-0.07613300000000001</v>
      </c>
      <c r="K1205" s="4">
        <f>IFERROR(J1205/I1205,"")</f>
        <v/>
      </c>
      <c r="L1205" s="4">
        <f>IFERROR((D1205-E1205)/E1205,"")</f>
        <v/>
      </c>
    </row>
    <row r="1206">
      <c r="A1206" t="inlineStr">
        <is>
          <t>2026-06-19</t>
        </is>
      </c>
      <c r="B1206" t="inlineStr">
        <is>
          <t>515160</t>
        </is>
      </c>
      <c r="C1206" t="inlineStr">
        <is>
          <t>MSCI中国ETF招商</t>
        </is>
      </c>
      <c r="D1206" t="n">
        <v>24795.51</v>
      </c>
      <c r="E1206" t="n">
        <v>24995.51</v>
      </c>
      <c r="F1206" t="n">
        <v>1.711</v>
      </c>
      <c r="G1206" t="n">
        <v>-200</v>
      </c>
      <c r="H1206" t="n">
        <v>4.276731</v>
      </c>
      <c r="I1206" t="n">
        <v>4.269232</v>
      </c>
      <c r="J1206" t="n">
        <v>0.007499</v>
      </c>
      <c r="K1206" s="4">
        <f>IFERROR(J1206/I1206,"")</f>
        <v/>
      </c>
      <c r="L1206" s="4">
        <f>IFERROR((D1206-E1206)/E1206,"")</f>
        <v/>
      </c>
    </row>
    <row r="1207">
      <c r="A1207" t="inlineStr">
        <is>
          <t>2026-06-19</t>
        </is>
      </c>
      <c r="B1207" t="inlineStr">
        <is>
          <t>515170</t>
        </is>
      </c>
      <c r="C1207" t="inlineStr">
        <is>
          <t>食品饮料ETF华夏</t>
        </is>
      </c>
      <c r="D1207" t="n">
        <v>914575.79</v>
      </c>
      <c r="E1207" t="n">
        <v>913075.79</v>
      </c>
      <c r="F1207" t="n">
        <v>0.444</v>
      </c>
      <c r="G1207" t="n">
        <v>1500</v>
      </c>
      <c r="H1207" t="n">
        <v>40.540565</v>
      </c>
      <c r="I1207" t="n">
        <v>41.298146</v>
      </c>
      <c r="J1207" t="n">
        <v>-0.7575809999999999</v>
      </c>
      <c r="K1207" s="4">
        <f>IFERROR(J1207/I1207,"")</f>
        <v/>
      </c>
      <c r="L1207" s="4">
        <f>IFERROR((D1207-E1207)/E1207,"")</f>
        <v/>
      </c>
    </row>
    <row r="1208">
      <c r="A1208" t="inlineStr">
        <is>
          <t>2026-06-19</t>
        </is>
      </c>
      <c r="B1208" t="inlineStr">
        <is>
          <t>515180</t>
        </is>
      </c>
      <c r="C1208" t="inlineStr">
        <is>
          <t>红利ETF易方达</t>
        </is>
      </c>
      <c r="D1208" t="n">
        <v>1157763.7</v>
      </c>
      <c r="E1208" t="n">
        <v>1148663.7</v>
      </c>
      <c r="F1208" t="n">
        <v>1.346</v>
      </c>
      <c r="G1208" t="n">
        <v>9100</v>
      </c>
      <c r="H1208" t="n">
        <v>154.610134</v>
      </c>
      <c r="I1208" t="n">
        <v>157.111623</v>
      </c>
      <c r="J1208" t="n">
        <v>-2.501489</v>
      </c>
      <c r="K1208" s="4">
        <f>IFERROR(J1208/I1208,"")</f>
        <v/>
      </c>
      <c r="L1208" s="4">
        <f>IFERROR((D1208-E1208)/E1208,"")</f>
        <v/>
      </c>
    </row>
    <row r="1209">
      <c r="A1209" t="inlineStr">
        <is>
          <t>2026-06-19</t>
        </is>
      </c>
      <c r="B1209" t="inlineStr">
        <is>
          <t>515190</t>
        </is>
      </c>
      <c r="C1209" t="inlineStr">
        <is>
          <t>中证500ETF中银证券</t>
        </is>
      </c>
      <c r="D1209" t="n">
        <v>31346.61</v>
      </c>
      <c r="E1209" t="n">
        <v>31346.61</v>
      </c>
      <c r="F1209" t="n">
        <v>1.814</v>
      </c>
      <c r="G1209" t="n">
        <v>0</v>
      </c>
      <c r="H1209" t="n">
        <v>5.686275</v>
      </c>
      <c r="I1209" t="n">
        <v>5.727088</v>
      </c>
      <c r="J1209" t="n">
        <v>-0.040813</v>
      </c>
      <c r="K1209" s="4">
        <f>IFERROR(J1209/I1209,"")</f>
        <v/>
      </c>
      <c r="L1209" s="4">
        <f>IFERROR((D1209-E1209)/E1209,"")</f>
        <v/>
      </c>
    </row>
    <row r="1210">
      <c r="A1210" t="inlineStr">
        <is>
          <t>2026-06-19</t>
        </is>
      </c>
      <c r="B1210" t="inlineStr">
        <is>
          <t>515200</t>
        </is>
      </c>
      <c r="C1210" t="inlineStr">
        <is>
          <t>创新100ETF申万菱信</t>
        </is>
      </c>
      <c r="D1210" t="n">
        <v>4194.32</v>
      </c>
      <c r="E1210" t="n">
        <v>4294.32</v>
      </c>
      <c r="F1210" t="n">
        <v>2.848</v>
      </c>
      <c r="G1210" t="n">
        <v>-100</v>
      </c>
      <c r="H1210" t="n">
        <v>1.223023</v>
      </c>
      <c r="I1210" t="n">
        <v>1.176215</v>
      </c>
      <c r="J1210" t="n">
        <v>0.046808</v>
      </c>
      <c r="K1210" s="4">
        <f>IFERROR(J1210/I1210,"")</f>
        <v/>
      </c>
      <c r="L1210" s="4">
        <f>IFERROR((D1210-E1210)/E1210,"")</f>
        <v/>
      </c>
    </row>
    <row r="1211">
      <c r="A1211" t="inlineStr">
        <is>
          <t>2026-06-19</t>
        </is>
      </c>
      <c r="B1211" t="inlineStr">
        <is>
          <t>515210</t>
        </is>
      </c>
      <c r="C1211" t="inlineStr">
        <is>
          <t>钢铁ETF国泰</t>
        </is>
      </c>
      <c r="D1211" t="n">
        <v>103622.61</v>
      </c>
      <c r="E1211" t="n">
        <v>100622.61</v>
      </c>
      <c r="F1211" t="n">
        <v>1.219</v>
      </c>
      <c r="G1211" t="n">
        <v>3000</v>
      </c>
      <c r="H1211" t="n">
        <v>12.265896</v>
      </c>
      <c r="I1211" t="n">
        <v>12.814446</v>
      </c>
      <c r="J1211" t="n">
        <v>-0.54855</v>
      </c>
      <c r="K1211" s="4">
        <f>IFERROR(J1211/I1211,"")</f>
        <v/>
      </c>
      <c r="L1211" s="4">
        <f>IFERROR((D1211-E1211)/E1211,"")</f>
        <v/>
      </c>
    </row>
    <row r="1212">
      <c r="A1212" t="inlineStr">
        <is>
          <t>2026-06-19</t>
        </is>
      </c>
      <c r="B1212" t="inlineStr">
        <is>
          <t>515220</t>
        </is>
      </c>
      <c r="C1212" t="inlineStr">
        <is>
          <t>煤炭ETF国泰</t>
        </is>
      </c>
      <c r="D1212" t="n">
        <v>1085767.69</v>
      </c>
      <c r="E1212" t="n">
        <v>1098667.69</v>
      </c>
      <c r="F1212" t="n">
        <v>1.156</v>
      </c>
      <c r="G1212" t="n">
        <v>-12900</v>
      </c>
      <c r="H1212" t="n">
        <v>127.005985</v>
      </c>
      <c r="I1212" t="n">
        <v>130.998014</v>
      </c>
      <c r="J1212" t="n">
        <v>-3.992029</v>
      </c>
      <c r="K1212" s="4">
        <f>IFERROR(J1212/I1212,"")</f>
        <v/>
      </c>
      <c r="L1212" s="4">
        <f>IFERROR((D1212-E1212)/E1212,"")</f>
        <v/>
      </c>
    </row>
    <row r="1213">
      <c r="A1213" t="inlineStr">
        <is>
          <t>2026-06-19</t>
        </is>
      </c>
      <c r="B1213" t="inlineStr">
        <is>
          <t>515230</t>
        </is>
      </c>
      <c r="C1213" t="inlineStr">
        <is>
          <t>软件ETF国泰</t>
        </is>
      </c>
      <c r="D1213" t="n">
        <v>692569.09</v>
      </c>
      <c r="E1213" t="n">
        <v>695269.09</v>
      </c>
      <c r="F1213" t="n">
        <v>0.724</v>
      </c>
      <c r="G1213" t="n">
        <v>-2700</v>
      </c>
      <c r="H1213" t="n">
        <v>50.337482</v>
      </c>
      <c r="I1213" t="n">
        <v>50.073064</v>
      </c>
      <c r="J1213" t="n">
        <v>0.264418</v>
      </c>
      <c r="K1213" s="4">
        <f>IFERROR(J1213/I1213,"")</f>
        <v/>
      </c>
      <c r="L1213" s="4">
        <f>IFERROR((D1213-E1213)/E1213,"")</f>
        <v/>
      </c>
    </row>
    <row r="1214">
      <c r="A1214" t="inlineStr">
        <is>
          <t>2026-06-19</t>
        </is>
      </c>
      <c r="B1214" t="inlineStr">
        <is>
          <t>515250</t>
        </is>
      </c>
      <c r="C1214" t="inlineStr">
        <is>
          <t>智能汽车ETF富国</t>
        </is>
      </c>
      <c r="D1214" t="n">
        <v>38194.45</v>
      </c>
      <c r="E1214" t="n">
        <v>38294.45</v>
      </c>
      <c r="F1214" t="n">
        <v>1.075</v>
      </c>
      <c r="G1214" t="n">
        <v>-100</v>
      </c>
      <c r="H1214" t="n">
        <v>4.116653</v>
      </c>
      <c r="I1214" t="n">
        <v>4.077491</v>
      </c>
      <c r="J1214" t="n">
        <v>0.039162</v>
      </c>
      <c r="K1214" s="4">
        <f>IFERROR(J1214/I1214,"")</f>
        <v/>
      </c>
      <c r="L1214" s="4">
        <f>IFERROR((D1214-E1214)/E1214,"")</f>
        <v/>
      </c>
    </row>
    <row r="1215">
      <c r="A1215" t="inlineStr">
        <is>
          <t>2026-06-19</t>
        </is>
      </c>
      <c r="B1215" t="inlineStr">
        <is>
          <t>515260</t>
        </is>
      </c>
      <c r="C1215" t="inlineStr">
        <is>
          <t>电子ETF华宝</t>
        </is>
      </c>
      <c r="D1215" t="n">
        <v>82056.84</v>
      </c>
      <c r="E1215" t="n">
        <v>79056.84</v>
      </c>
      <c r="F1215" t="n">
        <v>1.046</v>
      </c>
      <c r="G1215" t="n">
        <v>3000</v>
      </c>
      <c r="H1215" t="n">
        <v>8.269346000000001</v>
      </c>
      <c r="I1215" t="n">
        <v>8.037375000000001</v>
      </c>
      <c r="J1215" t="n">
        <v>0.231971</v>
      </c>
      <c r="K1215" s="4">
        <f>IFERROR(J1215/I1215,"")</f>
        <v/>
      </c>
      <c r="L1215" s="4">
        <f>IFERROR((D1215-E1215)/E1215,"")</f>
        <v/>
      </c>
    </row>
    <row r="1216">
      <c r="A1216" t="inlineStr">
        <is>
          <t>2026-06-19</t>
        </is>
      </c>
      <c r="B1216" t="inlineStr">
        <is>
          <t>515290</t>
        </is>
      </c>
      <c r="C1216" t="inlineStr">
        <is>
          <t>银行ETF天弘</t>
        </is>
      </c>
      <c r="D1216" t="n">
        <v>282917.29</v>
      </c>
      <c r="E1216" t="n">
        <v>284267.29</v>
      </c>
      <c r="F1216" t="n">
        <v>1.376</v>
      </c>
      <c r="G1216" t="n">
        <v>-1350</v>
      </c>
      <c r="H1216" t="n">
        <v>39.11518</v>
      </c>
      <c r="I1216" t="n">
        <v>40.57741</v>
      </c>
      <c r="J1216" t="n">
        <v>-1.46223</v>
      </c>
      <c r="K1216" s="4">
        <f>IFERROR(J1216/I1216,"")</f>
        <v/>
      </c>
      <c r="L1216" s="4">
        <f>IFERROR((D1216-E1216)/E1216,"")</f>
        <v/>
      </c>
    </row>
    <row r="1217">
      <c r="A1217" t="inlineStr">
        <is>
          <t>2026-06-19</t>
        </is>
      </c>
      <c r="B1217" t="inlineStr">
        <is>
          <t>515300</t>
        </is>
      </c>
      <c r="C1217" t="inlineStr">
        <is>
          <t>300红利低波ETF嘉实</t>
        </is>
      </c>
      <c r="D1217" t="n">
        <v>393267.52</v>
      </c>
      <c r="E1217" t="n">
        <v>401667.52</v>
      </c>
      <c r="F1217" t="n">
        <v>1.228</v>
      </c>
      <c r="G1217" t="n">
        <v>-8400</v>
      </c>
      <c r="H1217" t="n">
        <v>49.324771</v>
      </c>
      <c r="I1217" t="n">
        <v>50.32894</v>
      </c>
      <c r="J1217" t="n">
        <v>-1.004169</v>
      </c>
      <c r="K1217" s="4">
        <f>IFERROR(J1217/I1217,"")</f>
        <v/>
      </c>
      <c r="L1217" s="4">
        <f>IFERROR((D1217-E1217)/E1217,"")</f>
        <v/>
      </c>
    </row>
    <row r="1218">
      <c r="A1218" t="inlineStr">
        <is>
          <t>2026-06-19</t>
        </is>
      </c>
      <c r="B1218" t="inlineStr">
        <is>
          <t>515310</t>
        </is>
      </c>
      <c r="C1218" t="inlineStr">
        <is>
          <t>沪深300ETF汇添富</t>
        </is>
      </c>
      <c r="D1218" t="n">
        <v>23061.12</v>
      </c>
      <c r="E1218" t="n">
        <v>23411.12</v>
      </c>
      <c r="F1218" t="n">
        <v>1.48</v>
      </c>
      <c r="G1218" t="n">
        <v>-350</v>
      </c>
      <c r="H1218" t="n">
        <v>3.464846</v>
      </c>
      <c r="I1218" t="n">
        <v>3.502389</v>
      </c>
      <c r="J1218" t="n">
        <v>-0.037543</v>
      </c>
      <c r="K1218" s="4">
        <f>IFERROR(J1218/I1218,"")</f>
        <v/>
      </c>
      <c r="L1218" s="4">
        <f>IFERROR((D1218-E1218)/E1218,"")</f>
        <v/>
      </c>
    </row>
    <row r="1219">
      <c r="A1219" t="inlineStr">
        <is>
          <t>2026-06-19</t>
        </is>
      </c>
      <c r="B1219" t="inlineStr">
        <is>
          <t>515320</t>
        </is>
      </c>
      <c r="C1219" t="inlineStr">
        <is>
          <t>电子50ETF华安</t>
        </is>
      </c>
      <c r="D1219" t="n">
        <v>7230.9</v>
      </c>
      <c r="E1219" t="n">
        <v>7530.9</v>
      </c>
      <c r="F1219" t="n">
        <v>1.882</v>
      </c>
      <c r="G1219" t="n">
        <v>-300</v>
      </c>
      <c r="H1219" t="n">
        <v>1.417315</v>
      </c>
      <c r="I1219" t="n">
        <v>1.35391</v>
      </c>
      <c r="J1219" t="n">
        <v>0.063405</v>
      </c>
      <c r="K1219" s="4">
        <f>IFERROR(J1219/I1219,"")</f>
        <v/>
      </c>
      <c r="L1219" s="4">
        <f>IFERROR((D1219-E1219)/E1219,"")</f>
        <v/>
      </c>
    </row>
    <row r="1220">
      <c r="A1220" t="inlineStr">
        <is>
          <t>2026-06-19</t>
        </is>
      </c>
      <c r="B1220" t="inlineStr">
        <is>
          <t>515330</t>
        </is>
      </c>
      <c r="C1220" t="inlineStr">
        <is>
          <t>沪深300ETF天弘</t>
        </is>
      </c>
      <c r="D1220" t="n">
        <v>548370.95</v>
      </c>
      <c r="E1220" t="n">
        <v>548370.95</v>
      </c>
      <c r="F1220" t="n">
        <v>1.429</v>
      </c>
      <c r="G1220" t="n">
        <v>0</v>
      </c>
      <c r="H1220" t="n">
        <v>78.36220899999999</v>
      </c>
      <c r="I1220" t="n">
        <v>78.545466</v>
      </c>
      <c r="J1220" t="n">
        <v>-0.183257</v>
      </c>
      <c r="K1220" s="4">
        <f>IFERROR(J1220/I1220,"")</f>
        <v/>
      </c>
      <c r="L1220" s="4">
        <f>IFERROR((D1220-E1220)/E1220,"")</f>
        <v/>
      </c>
    </row>
    <row r="1221">
      <c r="A1221" t="inlineStr">
        <is>
          <t>2026-06-19</t>
        </is>
      </c>
      <c r="B1221" t="inlineStr">
        <is>
          <t>515350</t>
        </is>
      </c>
      <c r="C1221" t="inlineStr">
        <is>
          <t>沪深300ETF民生加银</t>
        </is>
      </c>
      <c r="D1221" t="n">
        <v>1079.92</v>
      </c>
      <c r="E1221" t="n">
        <v>1079.92</v>
      </c>
      <c r="F1221" t="n">
        <v>6.651</v>
      </c>
      <c r="G1221" t="n">
        <v>0</v>
      </c>
      <c r="H1221" t="n">
        <v>0.7182539999999999</v>
      </c>
      <c r="I1221" t="n">
        <v>0.715338</v>
      </c>
      <c r="J1221" t="n">
        <v>0.002916</v>
      </c>
      <c r="K1221" s="4">
        <f>IFERROR(J1221/I1221,"")</f>
        <v/>
      </c>
      <c r="L1221" s="4">
        <f>IFERROR((D1221-E1221)/E1221,"")</f>
        <v/>
      </c>
    </row>
    <row r="1222">
      <c r="A1222" t="inlineStr">
        <is>
          <t>2026-06-19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7.112</v>
      </c>
      <c r="G1222" t="n">
        <v>0</v>
      </c>
      <c r="H1222" t="n">
        <v>2.651307</v>
      </c>
      <c r="I1222" t="n">
        <v>2.640869</v>
      </c>
      <c r="J1222" t="n">
        <v>0.010438</v>
      </c>
      <c r="K1222" s="4">
        <f>IFERROR(J1222/I1222,"")</f>
        <v/>
      </c>
      <c r="L1222" s="4">
        <f>IFERROR((D1222-E1222)/E1222,"")</f>
        <v/>
      </c>
    </row>
    <row r="1223">
      <c r="A1223" t="inlineStr">
        <is>
          <t>2026-06-19</t>
        </is>
      </c>
      <c r="B1223" t="inlineStr">
        <is>
          <t>515370</t>
        </is>
      </c>
      <c r="C1223" t="inlineStr">
        <is>
          <t>光伏ETF华夏</t>
        </is>
      </c>
      <c r="D1223" t="n">
        <v>100771.3</v>
      </c>
      <c r="E1223" t="n">
        <v>101171.3</v>
      </c>
      <c r="F1223" t="n">
        <v>0.968</v>
      </c>
      <c r="G1223" t="n">
        <v>-400</v>
      </c>
      <c r="H1223" t="n">
        <v>9.793381999999999</v>
      </c>
      <c r="I1223" t="n">
        <v>9.96341</v>
      </c>
      <c r="J1223" t="n">
        <v>-0.170028</v>
      </c>
      <c r="K1223" s="4">
        <f>IFERROR(J1223/I1223,"")</f>
        <v/>
      </c>
      <c r="L1223" s="4">
        <f>IFERROR((D1223-E1223)/E1223,"")</f>
        <v/>
      </c>
    </row>
    <row r="1224">
      <c r="A1224" t="inlineStr">
        <is>
          <t>2026-06-19</t>
        </is>
      </c>
      <c r="B1224" t="inlineStr">
        <is>
          <t>515380</t>
        </is>
      </c>
      <c r="C1224" t="inlineStr">
        <is>
          <t>沪深300ETF泰康</t>
        </is>
      </c>
      <c r="D1224" t="n">
        <v>63999.98</v>
      </c>
      <c r="E1224" t="n">
        <v>63999.98</v>
      </c>
      <c r="F1224" t="n">
        <v>5.759</v>
      </c>
      <c r="G1224" t="n">
        <v>0</v>
      </c>
      <c r="H1224" t="n">
        <v>36.857589</v>
      </c>
      <c r="I1224" t="n">
        <v>36.678389</v>
      </c>
      <c r="J1224" t="n">
        <v>0.1792</v>
      </c>
      <c r="K1224" s="4">
        <f>IFERROR(J1224/I1224,"")</f>
        <v/>
      </c>
      <c r="L1224" s="4">
        <f>IFERROR((D1224-E1224)/E1224,"")</f>
        <v/>
      </c>
    </row>
    <row r="1225">
      <c r="A1225" t="inlineStr">
        <is>
          <t>2026-06-19</t>
        </is>
      </c>
      <c r="B1225" t="inlineStr">
        <is>
          <t>515390</t>
        </is>
      </c>
      <c r="C1225" t="inlineStr">
        <is>
          <t>沪深300ETF华安</t>
        </is>
      </c>
      <c r="D1225" t="n">
        <v>105868.3</v>
      </c>
      <c r="E1225" t="n">
        <v>107468.3</v>
      </c>
      <c r="F1225" t="n">
        <v>1.445</v>
      </c>
      <c r="G1225" t="n">
        <v>-1600</v>
      </c>
      <c r="H1225" t="n">
        <v>15.52917</v>
      </c>
      <c r="I1225" t="n">
        <v>14.936262</v>
      </c>
      <c r="J1225" t="n">
        <v>0.592908</v>
      </c>
      <c r="K1225" s="4">
        <f>IFERROR(J1225/I1225,"")</f>
        <v/>
      </c>
      <c r="L1225" s="4">
        <f>IFERROR((D1225-E1225)/E1225,"")</f>
        <v/>
      </c>
    </row>
    <row r="1226">
      <c r="A1226" t="inlineStr">
        <is>
          <t>2026-06-19</t>
        </is>
      </c>
      <c r="B1226" t="inlineStr">
        <is>
          <t>515400</t>
        </is>
      </c>
      <c r="C1226" t="inlineStr">
        <is>
          <t>大数据ETF富国</t>
        </is>
      </c>
      <c r="D1226" t="n">
        <v>138363.14</v>
      </c>
      <c r="E1226" t="n">
        <v>138963.14</v>
      </c>
      <c r="F1226" t="n">
        <v>0.892</v>
      </c>
      <c r="G1226" t="n">
        <v>-600</v>
      </c>
      <c r="H1226" t="n">
        <v>12.395512</v>
      </c>
      <c r="I1226" t="n">
        <v>12.105292</v>
      </c>
      <c r="J1226" t="n">
        <v>0.29022</v>
      </c>
      <c r="K1226" s="4">
        <f>IFERROR(J1226/I1226,"")</f>
        <v/>
      </c>
      <c r="L1226" s="4">
        <f>IFERROR((D1226-E1226)/E1226,"")</f>
        <v/>
      </c>
    </row>
    <row r="1227">
      <c r="A1227" t="inlineStr">
        <is>
          <t>2026-06-19</t>
        </is>
      </c>
      <c r="B1227" t="inlineStr">
        <is>
          <t>515450</t>
        </is>
      </c>
      <c r="C1227" t="inlineStr">
        <is>
          <t>红利低波50ETF南方</t>
        </is>
      </c>
      <c r="D1227" t="n">
        <v>1366033.5</v>
      </c>
      <c r="E1227" t="n">
        <v>1353833.5</v>
      </c>
      <c r="F1227" t="n">
        <v>1.361</v>
      </c>
      <c r="G1227" t="n">
        <v>12200</v>
      </c>
      <c r="H1227" t="n">
        <v>184.256739</v>
      </c>
      <c r="I1227" t="n">
        <v>185.158353</v>
      </c>
      <c r="J1227" t="n">
        <v>-0.901614</v>
      </c>
      <c r="K1227" s="4">
        <f>IFERROR(J1227/I1227,"")</f>
        <v/>
      </c>
      <c r="L1227" s="4">
        <f>IFERROR((D1227-E1227)/E1227,"")</f>
        <v/>
      </c>
    </row>
    <row r="1228">
      <c r="A1228" t="inlineStr">
        <is>
          <t>2026-06-19</t>
        </is>
      </c>
      <c r="B1228" t="inlineStr">
        <is>
          <t>515460</t>
        </is>
      </c>
      <c r="C1228" t="inlineStr">
        <is>
          <t>红利质量ETF南方</t>
        </is>
      </c>
      <c r="D1228" t="n">
        <v>31409.1</v>
      </c>
      <c r="E1228" t="n">
        <v>31109.1</v>
      </c>
      <c r="F1228" t="n">
        <v>0.855</v>
      </c>
      <c r="G1228" t="n">
        <v>300</v>
      </c>
      <c r="H1228" t="n">
        <v>2.659828</v>
      </c>
      <c r="I1228" t="n">
        <v>2.694048</v>
      </c>
      <c r="J1228" t="n">
        <v>-0.03422</v>
      </c>
      <c r="K1228" s="4">
        <f>IFERROR(J1228/I1228,"")</f>
        <v/>
      </c>
      <c r="L1228" s="4">
        <f>IFERROR((D1228-E1228)/E1228,"")</f>
        <v/>
      </c>
    </row>
    <row r="1229">
      <c r="A1229" t="inlineStr">
        <is>
          <t>2026-06-19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4.755</v>
      </c>
      <c r="G1229" t="n">
        <v>0</v>
      </c>
      <c r="H1229" t="n">
        <v>0.582139</v>
      </c>
      <c r="I1229" t="n">
        <v>0.578466</v>
      </c>
      <c r="J1229" t="n">
        <v>0.003673</v>
      </c>
      <c r="K1229" s="4">
        <f>IFERROR(J1229/I1229,"")</f>
        <v/>
      </c>
      <c r="L1229" s="4">
        <f>IFERROR((D1229-E1229)/E1229,"")</f>
        <v/>
      </c>
    </row>
    <row r="1230">
      <c r="A1230" t="inlineStr">
        <is>
          <t>2026-06-19</t>
        </is>
      </c>
      <c r="B1230" t="inlineStr">
        <is>
          <t>515550</t>
        </is>
      </c>
      <c r="C1230" t="inlineStr">
        <is>
          <t>中证500ETF国联</t>
        </is>
      </c>
      <c r="D1230" t="n">
        <v>1934.57</v>
      </c>
      <c r="E1230" t="n">
        <v>1934.57</v>
      </c>
      <c r="F1230" t="n">
        <v>1.923</v>
      </c>
      <c r="G1230" t="n">
        <v>0</v>
      </c>
      <c r="H1230" t="n">
        <v>0.372018</v>
      </c>
      <c r="I1230" t="n">
        <v>0.37047</v>
      </c>
      <c r="J1230" t="n">
        <v>0.001548</v>
      </c>
      <c r="K1230" s="4">
        <f>IFERROR(J1230/I1230,"")</f>
        <v/>
      </c>
      <c r="L1230" s="4">
        <f>IFERROR((D1230-E1230)/E1230,"")</f>
        <v/>
      </c>
    </row>
    <row r="1231">
      <c r="A1231" t="inlineStr">
        <is>
          <t>2026-06-19</t>
        </is>
      </c>
      <c r="B1231" t="inlineStr">
        <is>
          <t>515560</t>
        </is>
      </c>
      <c r="C1231" t="inlineStr">
        <is>
          <t>证券ETF建信</t>
        </is>
      </c>
      <c r="D1231" t="n">
        <v>19688.33</v>
      </c>
      <c r="E1231" t="n">
        <v>19688.33</v>
      </c>
      <c r="F1231" t="n">
        <v>0.964</v>
      </c>
      <c r="G1231" t="n">
        <v>0</v>
      </c>
      <c r="H1231" t="n">
        <v>1.897955</v>
      </c>
      <c r="I1231" t="n">
        <v>1.953082</v>
      </c>
      <c r="J1231" t="n">
        <v>-0.055127</v>
      </c>
      <c r="K1231" s="4">
        <f>IFERROR(J1231/I1231,"")</f>
        <v/>
      </c>
      <c r="L1231" s="4">
        <f>IFERROR((D1231-E1231)/E1231,"")</f>
        <v/>
      </c>
    </row>
    <row r="1232">
      <c r="A1232" t="inlineStr">
        <is>
          <t>2026-06-19</t>
        </is>
      </c>
      <c r="B1232" t="inlineStr">
        <is>
          <t>515580</t>
        </is>
      </c>
      <c r="C1232" t="inlineStr">
        <is>
          <t>科技100ETF华泰柏瑞</t>
        </is>
      </c>
      <c r="D1232" t="n">
        <v>31603.14</v>
      </c>
      <c r="E1232" t="n">
        <v>31803.14</v>
      </c>
      <c r="F1232" t="n">
        <v>1.485</v>
      </c>
      <c r="G1232" t="n">
        <v>-200</v>
      </c>
      <c r="H1232" t="n">
        <v>4.722767</v>
      </c>
      <c r="I1232" t="n">
        <v>4.688461</v>
      </c>
      <c r="J1232" t="n">
        <v>0.034306</v>
      </c>
      <c r="K1232" s="4">
        <f>IFERROR(J1232/I1232,"")</f>
        <v/>
      </c>
      <c r="L1232" s="4">
        <f>IFERROR((D1232-E1232)/E1232,"")</f>
        <v/>
      </c>
    </row>
    <row r="1233">
      <c r="A1233" t="inlineStr">
        <is>
          <t>2026-06-19</t>
        </is>
      </c>
      <c r="B1233" t="inlineStr">
        <is>
          <t>515590</t>
        </is>
      </c>
      <c r="C1233" t="inlineStr">
        <is>
          <t>500等权ETF前海开源</t>
        </is>
      </c>
      <c r="D1233" t="n">
        <v>3411.37</v>
      </c>
      <c r="E1233" t="n">
        <v>3411.37</v>
      </c>
      <c r="F1233" t="n">
        <v>2.034</v>
      </c>
      <c r="G1233" t="n">
        <v>0</v>
      </c>
      <c r="H1233" t="n">
        <v>0.693872</v>
      </c>
      <c r="I1233" t="n">
        <v>0.733107</v>
      </c>
      <c r="J1233" t="n">
        <v>-0.039235</v>
      </c>
      <c r="K1233" s="4">
        <f>IFERROR(J1233/I1233,"")</f>
        <v/>
      </c>
      <c r="L1233" s="4">
        <f>IFERROR((D1233-E1233)/E1233,"")</f>
        <v/>
      </c>
    </row>
    <row r="1234">
      <c r="A1234" t="inlineStr">
        <is>
          <t>2026-06-19</t>
        </is>
      </c>
      <c r="B1234" t="inlineStr">
        <is>
          <t>515600</t>
        </is>
      </c>
      <c r="C1234" t="inlineStr">
        <is>
          <t>央企创新ETF广发</t>
        </is>
      </c>
      <c r="D1234" t="n">
        <v>103879.74</v>
      </c>
      <c r="E1234" t="n">
        <v>103879.74</v>
      </c>
      <c r="F1234" t="n">
        <v>1.73</v>
      </c>
      <c r="G1234" t="n">
        <v>0</v>
      </c>
      <c r="H1234" t="n">
        <v>17.971195</v>
      </c>
      <c r="I1234" t="n">
        <v>18.147791</v>
      </c>
      <c r="J1234" t="n">
        <v>-0.176596</v>
      </c>
      <c r="K1234" s="4">
        <f>IFERROR(J1234/I1234,"")</f>
        <v/>
      </c>
      <c r="L1234" s="4">
        <f>IFERROR((D1234-E1234)/E1234,"")</f>
        <v/>
      </c>
    </row>
    <row r="1235">
      <c r="A1235" t="inlineStr">
        <is>
          <t>2026-06-19</t>
        </is>
      </c>
      <c r="B1235" t="inlineStr">
        <is>
          <t>515630</t>
        </is>
      </c>
      <c r="C1235" t="inlineStr">
        <is>
          <t>证券保险ETF鹏华</t>
        </is>
      </c>
      <c r="D1235" t="n">
        <v>67771.77</v>
      </c>
      <c r="E1235" t="n">
        <v>67221.77</v>
      </c>
      <c r="F1235" t="n">
        <v>1.21</v>
      </c>
      <c r="G1235" t="n">
        <v>550</v>
      </c>
      <c r="H1235" t="n">
        <v>8.133834</v>
      </c>
      <c r="I1235" t="n">
        <v>8.443492000000001</v>
      </c>
      <c r="J1235" t="n">
        <v>-0.309658</v>
      </c>
      <c r="K1235" s="4">
        <f>IFERROR(J1235/I1235,"")</f>
        <v/>
      </c>
      <c r="L1235" s="4">
        <f>IFERROR((D1235-E1235)/E1235,"")</f>
        <v/>
      </c>
    </row>
    <row r="1236">
      <c r="A1236" t="inlineStr">
        <is>
          <t>2026-06-19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0.982</v>
      </c>
      <c r="G1236" t="n">
        <v>0</v>
      </c>
      <c r="H1236" t="n">
        <v>0.152701</v>
      </c>
      <c r="I1236" t="n">
        <v>0.153168</v>
      </c>
      <c r="J1236" t="n">
        <v>-0.000467</v>
      </c>
      <c r="K1236" s="4">
        <f>IFERROR(J1236/I1236,"")</f>
        <v/>
      </c>
      <c r="L1236" s="4">
        <f>IFERROR((D1236-E1236)/E1236,"")</f>
        <v/>
      </c>
    </row>
    <row r="1237">
      <c r="A1237" t="inlineStr">
        <is>
          <t>2026-06-19</t>
        </is>
      </c>
      <c r="B1237" t="inlineStr">
        <is>
          <t>515650</t>
        </is>
      </c>
      <c r="C1237" t="inlineStr">
        <is>
          <t>消费50ETF富国</t>
        </is>
      </c>
      <c r="D1237" t="n">
        <v>313518.4</v>
      </c>
      <c r="E1237" t="n">
        <v>315718.4</v>
      </c>
      <c r="F1237" t="n">
        <v>0.972</v>
      </c>
      <c r="G1237" t="n">
        <v>-2200</v>
      </c>
      <c r="H1237" t="n">
        <v>30.687829</v>
      </c>
      <c r="I1237" t="n">
        <v>31.24433</v>
      </c>
      <c r="J1237" t="n">
        <v>-0.556501</v>
      </c>
      <c r="K1237" s="4">
        <f>IFERROR(J1237/I1237,"")</f>
        <v/>
      </c>
      <c r="L1237" s="4">
        <f>IFERROR((D1237-E1237)/E1237,"")</f>
        <v/>
      </c>
    </row>
    <row r="1238">
      <c r="A1238" t="inlineStr">
        <is>
          <t>2026-06-19</t>
        </is>
      </c>
      <c r="B1238" t="inlineStr">
        <is>
          <t>515660</t>
        </is>
      </c>
      <c r="C1238" t="inlineStr">
        <is>
          <t>沪深300ETF国联安</t>
        </is>
      </c>
      <c r="D1238" t="n">
        <v>46689.42</v>
      </c>
      <c r="E1238" t="n">
        <v>46689.42</v>
      </c>
      <c r="F1238" t="n">
        <v>6.17</v>
      </c>
      <c r="G1238" t="n">
        <v>0</v>
      </c>
      <c r="H1238" t="n">
        <v>28.80737</v>
      </c>
      <c r="I1238" t="n">
        <v>28.779356</v>
      </c>
      <c r="J1238" t="n">
        <v>0.028014</v>
      </c>
      <c r="K1238" s="4">
        <f>IFERROR(J1238/I1238,"")</f>
        <v/>
      </c>
      <c r="L1238" s="4">
        <f>IFERROR((D1238-E1238)/E1238,"")</f>
        <v/>
      </c>
    </row>
    <row r="1239">
      <c r="A1239" t="inlineStr">
        <is>
          <t>2026-06-19</t>
        </is>
      </c>
      <c r="B1239" t="inlineStr">
        <is>
          <t>515680</t>
        </is>
      </c>
      <c r="C1239" t="inlineStr">
        <is>
          <t>央企创新ETF嘉实</t>
        </is>
      </c>
      <c r="D1239" t="n">
        <v>110026.47</v>
      </c>
      <c r="E1239" t="n">
        <v>110126.47</v>
      </c>
      <c r="F1239" t="n">
        <v>1.74</v>
      </c>
      <c r="G1239" t="n">
        <v>-100</v>
      </c>
      <c r="H1239" t="n">
        <v>19.162006</v>
      </c>
      <c r="I1239" t="n">
        <v>19.316183</v>
      </c>
      <c r="J1239" t="n">
        <v>-0.154177</v>
      </c>
      <c r="K1239" s="4">
        <f>IFERROR(J1239/I1239,"")</f>
        <v/>
      </c>
      <c r="L1239" s="4">
        <f>IFERROR((D1239-E1239)/E1239,"")</f>
        <v/>
      </c>
    </row>
    <row r="1240">
      <c r="A1240" t="inlineStr">
        <is>
          <t>2026-06-19</t>
        </is>
      </c>
      <c r="B1240" t="inlineStr">
        <is>
          <t>515700</t>
        </is>
      </c>
      <c r="C1240" t="inlineStr">
        <is>
          <t>新能源车ETF平安</t>
        </is>
      </c>
      <c r="D1240" t="n">
        <v>63351.02</v>
      </c>
      <c r="E1240" t="n">
        <v>63851.02</v>
      </c>
      <c r="F1240" t="n">
        <v>2.573</v>
      </c>
      <c r="G1240" t="n">
        <v>-500</v>
      </c>
      <c r="H1240" t="n">
        <v>16.428867</v>
      </c>
      <c r="I1240" t="n">
        <v>16.550184</v>
      </c>
      <c r="J1240" t="n">
        <v>-0.121317</v>
      </c>
      <c r="K1240" s="4">
        <f>IFERROR(J1240/I1240,"")</f>
        <v/>
      </c>
      <c r="L1240" s="4">
        <f>IFERROR((D1240-E1240)/E1240,"")</f>
        <v/>
      </c>
    </row>
    <row r="1241">
      <c r="A1241" t="inlineStr">
        <is>
          <t>2026-06-19</t>
        </is>
      </c>
      <c r="B1241" t="inlineStr">
        <is>
          <t>515710</t>
        </is>
      </c>
      <c r="C1241" t="inlineStr">
        <is>
          <t>食品饮料ETF华宝</t>
        </is>
      </c>
      <c r="D1241" t="n">
        <v>250159.98</v>
      </c>
      <c r="E1241" t="n">
        <v>250459.98</v>
      </c>
      <c r="F1241" t="n">
        <v>0.474</v>
      </c>
      <c r="G1241" t="n">
        <v>-300</v>
      </c>
      <c r="H1241" t="n">
        <v>11.871803</v>
      </c>
      <c r="I1241" t="n">
        <v>12.079401</v>
      </c>
      <c r="J1241" t="n">
        <v>-0.207598</v>
      </c>
      <c r="K1241" s="4">
        <f>IFERROR(J1241/I1241,"")</f>
        <v/>
      </c>
      <c r="L1241" s="4">
        <f>IFERROR((D1241-E1241)/E1241,"")</f>
        <v/>
      </c>
    </row>
    <row r="1242">
      <c r="A1242" t="inlineStr">
        <is>
          <t>2026-06-19</t>
        </is>
      </c>
      <c r="B1242" t="inlineStr">
        <is>
          <t>515720</t>
        </is>
      </c>
      <c r="C1242" t="inlineStr">
        <is>
          <t>金融科技ETF富国</t>
        </is>
      </c>
      <c r="D1242" t="n">
        <v>41061.1</v>
      </c>
      <c r="E1242" t="n">
        <v>41261.1</v>
      </c>
      <c r="F1242" t="n">
        <v>0.709</v>
      </c>
      <c r="G1242" t="n">
        <v>-200</v>
      </c>
      <c r="H1242" t="n">
        <v>2.925412</v>
      </c>
      <c r="I1242" t="n">
        <v>2.976907</v>
      </c>
      <c r="J1242" t="n">
        <v>-0.051495</v>
      </c>
      <c r="K1242" s="4">
        <f>IFERROR(J1242/I1242,"")</f>
        <v/>
      </c>
      <c r="L1242" s="4">
        <f>IFERROR((D1242-E1242)/E1242,"")</f>
        <v/>
      </c>
    </row>
    <row r="1243">
      <c r="A1243" t="inlineStr">
        <is>
          <t>2026-06-19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0.899</v>
      </c>
      <c r="G1243" t="n">
        <v>0</v>
      </c>
      <c r="H1243" t="n">
        <v>0.358629</v>
      </c>
      <c r="I1243" t="n">
        <v>0.363017</v>
      </c>
      <c r="J1243" t="n">
        <v>-0.004388</v>
      </c>
      <c r="K1243" s="4">
        <f>IFERROR(J1243/I1243,"")</f>
        <v/>
      </c>
      <c r="L1243" s="4">
        <f>IFERROR((D1243-E1243)/E1243,"")</f>
        <v/>
      </c>
    </row>
    <row r="1244">
      <c r="A1244" t="inlineStr">
        <is>
          <t>2026-06-19</t>
        </is>
      </c>
      <c r="B1244" t="inlineStr">
        <is>
          <t>515750</t>
        </is>
      </c>
      <c r="C1244" t="inlineStr">
        <is>
          <t>科技50ETF富国</t>
        </is>
      </c>
      <c r="D1244" t="n">
        <v>29614.05</v>
      </c>
      <c r="E1244" t="n">
        <v>29814.05</v>
      </c>
      <c r="F1244" t="n">
        <v>2.033</v>
      </c>
      <c r="G1244" t="n">
        <v>-200</v>
      </c>
      <c r="H1244" t="n">
        <v>6.061197</v>
      </c>
      <c r="I1244" t="n">
        <v>6.024691</v>
      </c>
      <c r="J1244" t="n">
        <v>0.036506</v>
      </c>
      <c r="K1244" s="4">
        <f>IFERROR(J1244/I1244,"")</f>
        <v/>
      </c>
      <c r="L1244" s="4">
        <f>IFERROR((D1244-E1244)/E1244,"")</f>
        <v/>
      </c>
    </row>
    <row r="1245">
      <c r="A1245" t="inlineStr">
        <is>
          <t>2026-06-19</t>
        </is>
      </c>
      <c r="B1245" t="inlineStr">
        <is>
          <t>515760</t>
        </is>
      </c>
      <c r="C1245" t="inlineStr">
        <is>
          <t>浙江国资ETF华夏</t>
        </is>
      </c>
      <c r="D1245" t="n">
        <v>9738.809999999999</v>
      </c>
      <c r="E1245" t="n">
        <v>9688.809999999999</v>
      </c>
      <c r="F1245" t="n">
        <v>1.371</v>
      </c>
      <c r="G1245" t="n">
        <v>50</v>
      </c>
      <c r="H1245" t="n">
        <v>1.328336</v>
      </c>
      <c r="I1245" t="n">
        <v>1.354495</v>
      </c>
      <c r="J1245" t="n">
        <v>-0.026159</v>
      </c>
      <c r="K1245" s="4">
        <f>IFERROR(J1245/I1245,"")</f>
        <v/>
      </c>
      <c r="L1245" s="4">
        <f>IFERROR((D1245-E1245)/E1245,"")</f>
        <v/>
      </c>
    </row>
    <row r="1246">
      <c r="A1246" t="inlineStr">
        <is>
          <t>2026-06-19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1.504</v>
      </c>
      <c r="G1246" t="n">
        <v>0</v>
      </c>
      <c r="H1246" t="n">
        <v>0.597499</v>
      </c>
      <c r="I1246" t="n">
        <v>0.594321</v>
      </c>
      <c r="J1246" t="n">
        <v>0.003178</v>
      </c>
      <c r="K1246" s="4">
        <f>IFERROR(J1246/I1246,"")</f>
        <v/>
      </c>
      <c r="L1246" s="4">
        <f>IFERROR((D1246-E1246)/E1246,"")</f>
        <v/>
      </c>
    </row>
    <row r="1247">
      <c r="A1247" t="inlineStr">
        <is>
          <t>2026-06-19</t>
        </is>
      </c>
      <c r="B1247" t="inlineStr">
        <is>
          <t>515790</t>
        </is>
      </c>
      <c r="C1247" t="inlineStr">
        <is>
          <t>光伏ETF华泰柏瑞</t>
        </is>
      </c>
      <c r="D1247" t="n">
        <v>704749.4</v>
      </c>
      <c r="E1247" t="n">
        <v>710949.4</v>
      </c>
      <c r="F1247" t="n">
        <v>1.017</v>
      </c>
      <c r="G1247" t="n">
        <v>-6200</v>
      </c>
      <c r="H1247" t="n">
        <v>72.30355400000001</v>
      </c>
      <c r="I1247" t="n">
        <v>73.17882299999999</v>
      </c>
      <c r="J1247" t="n">
        <v>-0.875269</v>
      </c>
      <c r="K1247" s="4">
        <f>IFERROR(J1247/I1247,"")</f>
        <v/>
      </c>
      <c r="L1247" s="4">
        <f>IFERROR((D1247-E1247)/E1247,"")</f>
        <v/>
      </c>
    </row>
    <row r="1248">
      <c r="A1248" t="inlineStr">
        <is>
          <t>2026-06-19</t>
        </is>
      </c>
      <c r="B1248" t="inlineStr">
        <is>
          <t>515800</t>
        </is>
      </c>
      <c r="C1248" t="inlineStr">
        <is>
          <t>中证800ETF汇添富</t>
        </is>
      </c>
      <c r="D1248" t="n">
        <v>313843.72</v>
      </c>
      <c r="E1248" t="n">
        <v>304393.72</v>
      </c>
      <c r="F1248" t="n">
        <v>1.38</v>
      </c>
      <c r="G1248" t="n">
        <v>9450</v>
      </c>
      <c r="H1248" t="n">
        <v>42.006333</v>
      </c>
      <c r="I1248" t="n">
        <v>41.669688</v>
      </c>
      <c r="J1248" t="n">
        <v>0.336645</v>
      </c>
      <c r="K1248" s="4">
        <f>IFERROR(J1248/I1248,"")</f>
        <v/>
      </c>
      <c r="L1248" s="4">
        <f>IFERROR((D1248-E1248)/E1248,"")</f>
        <v/>
      </c>
    </row>
    <row r="1249">
      <c r="A1249" t="inlineStr">
        <is>
          <t>2026-06-19</t>
        </is>
      </c>
      <c r="B1249" t="inlineStr">
        <is>
          <t>515810</t>
        </is>
      </c>
      <c r="C1249" t="inlineStr">
        <is>
          <t>中证800ETF易方达</t>
        </is>
      </c>
      <c r="D1249" t="n">
        <v>33890.88</v>
      </c>
      <c r="E1249" t="n">
        <v>33890.88</v>
      </c>
      <c r="F1249" t="n">
        <v>1.815</v>
      </c>
      <c r="G1249" t="n">
        <v>0</v>
      </c>
      <c r="H1249" t="n">
        <v>6.151196</v>
      </c>
      <c r="I1249" t="n">
        <v>6.130861</v>
      </c>
      <c r="J1249" t="n">
        <v>0.020335</v>
      </c>
      <c r="K1249" s="4">
        <f>IFERROR(J1249/I1249,"")</f>
        <v/>
      </c>
      <c r="L1249" s="4">
        <f>IFERROR((D1249-E1249)/E1249,"")</f>
        <v/>
      </c>
    </row>
    <row r="1250">
      <c r="A1250" t="inlineStr">
        <is>
          <t>2026-06-19</t>
        </is>
      </c>
      <c r="B1250" t="inlineStr">
        <is>
          <t>515850</t>
        </is>
      </c>
      <c r="C1250" t="inlineStr">
        <is>
          <t>证券ETF富国</t>
        </is>
      </c>
      <c r="D1250" t="n">
        <v>30379.1</v>
      </c>
      <c r="E1250" t="n">
        <v>30479.1</v>
      </c>
      <c r="F1250" t="n">
        <v>1.307</v>
      </c>
      <c r="G1250" t="n">
        <v>-100</v>
      </c>
      <c r="H1250" t="n">
        <v>3.983618</v>
      </c>
      <c r="I1250" t="n">
        <v>4.106163</v>
      </c>
      <c r="J1250" t="n">
        <v>-0.122545</v>
      </c>
      <c r="K1250" s="4">
        <f>IFERROR(J1250/I1250,"")</f>
        <v/>
      </c>
      <c r="L1250" s="4">
        <f>IFERROR((D1250-E1250)/E1250,"")</f>
        <v/>
      </c>
    </row>
    <row r="1251">
      <c r="A1251" t="inlineStr">
        <is>
          <t>2026-06-19</t>
        </is>
      </c>
      <c r="B1251" t="inlineStr">
        <is>
          <t>515860</t>
        </is>
      </c>
      <c r="C1251" t="inlineStr">
        <is>
          <t>科技ETF嘉实</t>
        </is>
      </c>
      <c r="D1251" t="n">
        <v>10587.89</v>
      </c>
      <c r="E1251" t="n">
        <v>10687.89</v>
      </c>
      <c r="F1251" t="n">
        <v>2.225</v>
      </c>
      <c r="G1251" t="n">
        <v>-100</v>
      </c>
      <c r="H1251" t="n">
        <v>2.378056</v>
      </c>
      <c r="I1251" t="n">
        <v>2.338511</v>
      </c>
      <c r="J1251" t="n">
        <v>0.039545</v>
      </c>
      <c r="K1251" s="4">
        <f>IFERROR(J1251/I1251,"")</f>
        <v/>
      </c>
      <c r="L1251" s="4">
        <f>IFERROR((D1251-E1251)/E1251,"")</f>
        <v/>
      </c>
    </row>
    <row r="1252">
      <c r="A1252" t="inlineStr">
        <is>
          <t>2026-06-19</t>
        </is>
      </c>
      <c r="B1252" t="inlineStr">
        <is>
          <t>515880</t>
        </is>
      </c>
      <c r="C1252" t="inlineStr">
        <is>
          <t>通信ETF国泰</t>
        </is>
      </c>
      <c r="D1252" t="n">
        <v>2701188.7</v>
      </c>
      <c r="E1252" t="n">
        <v>2700588.7</v>
      </c>
      <c r="F1252" t="n">
        <v>1.822</v>
      </c>
      <c r="G1252" t="n">
        <v>600</v>
      </c>
      <c r="H1252" t="n">
        <v>492.047261</v>
      </c>
      <c r="I1252" t="n">
        <v>474.526163</v>
      </c>
      <c r="J1252" t="n">
        <v>17.521098</v>
      </c>
      <c r="K1252" s="4">
        <f>IFERROR(J1252/I1252,"")</f>
        <v/>
      </c>
      <c r="L1252" s="4">
        <f>IFERROR((D1252-E1252)/E1252,"")</f>
        <v/>
      </c>
    </row>
    <row r="1253">
      <c r="A1253" t="inlineStr">
        <is>
          <t>2026-06-19</t>
        </is>
      </c>
      <c r="B1253" t="inlineStr">
        <is>
          <t>515890</t>
        </is>
      </c>
      <c r="C1253" t="inlineStr">
        <is>
          <t>红利ETF博时</t>
        </is>
      </c>
      <c r="D1253" t="n">
        <v>34844.39</v>
      </c>
      <c r="E1253" t="n">
        <v>35344.39</v>
      </c>
      <c r="F1253" t="n">
        <v>1.386</v>
      </c>
      <c r="G1253" t="n">
        <v>-500</v>
      </c>
      <c r="H1253" t="n">
        <v>4.898732</v>
      </c>
      <c r="I1253" t="n">
        <v>4.937755</v>
      </c>
      <c r="J1253" t="n">
        <v>-0.039023</v>
      </c>
      <c r="K1253" s="4">
        <f>IFERROR(J1253/I1253,"")</f>
        <v/>
      </c>
      <c r="L1253" s="4">
        <f>IFERROR((D1253-E1253)/E1253,"")</f>
        <v/>
      </c>
    </row>
    <row r="1254">
      <c r="A1254" t="inlineStr">
        <is>
          <t>2026-06-19</t>
        </is>
      </c>
      <c r="B1254" t="inlineStr">
        <is>
          <t>515900</t>
        </is>
      </c>
      <c r="C1254" t="inlineStr">
        <is>
          <t>央企创新ETF博时</t>
        </is>
      </c>
      <c r="D1254" t="n">
        <v>222664.65</v>
      </c>
      <c r="E1254" t="n">
        <v>222784.65</v>
      </c>
      <c r="F1254" t="n">
        <v>1.723</v>
      </c>
      <c r="G1254" t="n">
        <v>-120</v>
      </c>
      <c r="H1254" t="n">
        <v>38.385796</v>
      </c>
      <c r="I1254" t="n">
        <v>38.764529</v>
      </c>
      <c r="J1254" t="n">
        <v>-0.378733</v>
      </c>
      <c r="K1254" s="4">
        <f>IFERROR(J1254/I1254,"")</f>
        <v/>
      </c>
      <c r="L1254" s="4">
        <f>IFERROR((D1254-E1254)/E1254,"")</f>
        <v/>
      </c>
    </row>
    <row r="1255">
      <c r="A1255" t="inlineStr">
        <is>
          <t>2026-06-19</t>
        </is>
      </c>
      <c r="B1255" t="inlineStr">
        <is>
          <t>515910</t>
        </is>
      </c>
      <c r="C1255" t="inlineStr">
        <is>
          <t>质量ETF中金</t>
        </is>
      </c>
      <c r="D1255" t="n">
        <v>25150.7</v>
      </c>
      <c r="E1255" t="n">
        <v>25450.7</v>
      </c>
      <c r="F1255" t="n">
        <v>0.718</v>
      </c>
      <c r="G1255" t="n">
        <v>-300</v>
      </c>
      <c r="H1255" t="n">
        <v>1.82736</v>
      </c>
      <c r="I1255" t="n">
        <v>1.81718</v>
      </c>
      <c r="J1255" t="n">
        <v>0.01018</v>
      </c>
      <c r="K1255" s="4">
        <f>IFERROR(J1255/I1255,"")</f>
        <v/>
      </c>
      <c r="L1255" s="4">
        <f>IFERROR((D1255-E1255)/E1255,"")</f>
        <v/>
      </c>
    </row>
    <row r="1256">
      <c r="A1256" t="inlineStr">
        <is>
          <t>2026-06-19</t>
        </is>
      </c>
      <c r="B1256" t="inlineStr">
        <is>
          <t>515920</t>
        </is>
      </c>
      <c r="C1256" t="inlineStr">
        <is>
          <t>智能消费ETF博时</t>
        </is>
      </c>
      <c r="D1256" t="n">
        <v>6290.57</v>
      </c>
      <c r="E1256" t="n">
        <v>6290.57</v>
      </c>
      <c r="F1256" t="n">
        <v>1.403</v>
      </c>
      <c r="G1256" t="n">
        <v>0</v>
      </c>
      <c r="H1256" t="n">
        <v>0.882567</v>
      </c>
      <c r="I1256" t="n">
        <v>0.861179</v>
      </c>
      <c r="J1256" t="n">
        <v>0.021388</v>
      </c>
      <c r="K1256" s="4">
        <f>IFERROR(J1256/I1256,"")</f>
        <v/>
      </c>
      <c r="L1256" s="4">
        <f>IFERROR((D1256-E1256)/E1256,"")</f>
        <v/>
      </c>
    </row>
    <row r="1257">
      <c r="A1257" t="inlineStr">
        <is>
          <t>2026-06-19</t>
        </is>
      </c>
      <c r="B1257" t="inlineStr">
        <is>
          <t>515950</t>
        </is>
      </c>
      <c r="C1257" t="inlineStr">
        <is>
          <t>医药50ETF富国</t>
        </is>
      </c>
      <c r="D1257" t="n">
        <v>61620.06</v>
      </c>
      <c r="E1257" t="n">
        <v>61520.06</v>
      </c>
      <c r="F1257" t="n">
        <v>0.8179999999999999</v>
      </c>
      <c r="G1257" t="n">
        <v>100</v>
      </c>
      <c r="H1257" t="n">
        <v>5.032341</v>
      </c>
      <c r="I1257" t="n">
        <v>5.007733</v>
      </c>
      <c r="J1257" t="n">
        <v>0.024608</v>
      </c>
      <c r="K1257" s="4">
        <f>IFERROR(J1257/I1257,"")</f>
        <v/>
      </c>
      <c r="L1257" s="4">
        <f>IFERROR((D1257-E1257)/E1257,"")</f>
        <v/>
      </c>
    </row>
    <row r="1258">
      <c r="A1258" t="inlineStr">
        <is>
          <t>2026-06-19</t>
        </is>
      </c>
      <c r="B1258" t="inlineStr">
        <is>
          <t>515960</t>
        </is>
      </c>
      <c r="C1258" t="inlineStr">
        <is>
          <t>医药ETF嘉实</t>
        </is>
      </c>
      <c r="D1258" t="n">
        <v>25999.19</v>
      </c>
      <c r="E1258" t="n">
        <v>25999.19</v>
      </c>
      <c r="F1258" t="n">
        <v>0.737</v>
      </c>
      <c r="G1258" t="n">
        <v>0</v>
      </c>
      <c r="H1258" t="n">
        <v>1.916141</v>
      </c>
      <c r="I1258" t="n">
        <v>1.890141</v>
      </c>
      <c r="J1258" t="n">
        <v>0.026</v>
      </c>
      <c r="K1258" s="4">
        <f>IFERROR(J1258/I1258,"")</f>
        <v/>
      </c>
      <c r="L1258" s="4">
        <f>IFERROR((D1258-E1258)/E1258,"")</f>
        <v/>
      </c>
    </row>
    <row r="1259">
      <c r="A1259" t="inlineStr">
        <is>
          <t>2026-06-19</t>
        </is>
      </c>
      <c r="B1259" t="inlineStr">
        <is>
          <t>515970</t>
        </is>
      </c>
      <c r="C1259" t="inlineStr">
        <is>
          <t>工程机械ETF华夏</t>
        </is>
      </c>
      <c r="D1259" t="n">
        <v>94008.8</v>
      </c>
      <c r="E1259" t="n">
        <v>94208.8</v>
      </c>
      <c r="F1259" t="n">
        <v>0.913</v>
      </c>
      <c r="G1259" t="n">
        <v>-200</v>
      </c>
      <c r="H1259" t="n">
        <v>8.601262999999999</v>
      </c>
      <c r="I1259" t="n">
        <v>8.226654999999999</v>
      </c>
      <c r="J1259" t="n">
        <v>0.374608</v>
      </c>
      <c r="K1259" s="4">
        <f>IFERROR(J1259/I1259,"")</f>
        <v/>
      </c>
      <c r="L1259" s="4">
        <f>IFERROR((D1259-E1259)/E1259,"")</f>
        <v/>
      </c>
    </row>
    <row r="1260">
      <c r="A1260" t="inlineStr">
        <is>
          <t>2026-06-19</t>
        </is>
      </c>
      <c r="B1260" t="inlineStr">
        <is>
          <t>515980</t>
        </is>
      </c>
      <c r="C1260" t="inlineStr">
        <is>
          <t>人工智能ETF华富</t>
        </is>
      </c>
      <c r="D1260" t="n">
        <v>549812.9</v>
      </c>
      <c r="E1260" t="n">
        <v>556112.9</v>
      </c>
      <c r="F1260" t="n">
        <v>1.23</v>
      </c>
      <c r="G1260" t="n">
        <v>-6300</v>
      </c>
      <c r="H1260" t="n">
        <v>68.401887</v>
      </c>
      <c r="I1260" t="n">
        <v>65.51329</v>
      </c>
      <c r="J1260" t="n">
        <v>2.888597</v>
      </c>
      <c r="K1260" s="4">
        <f>IFERROR(J1260/I1260,"")</f>
        <v/>
      </c>
      <c r="L1260" s="4">
        <f>IFERROR((D1260-E1260)/E1260,"")</f>
        <v/>
      </c>
    </row>
    <row r="1261">
      <c r="A1261" t="inlineStr">
        <is>
          <t>2026-06-19</t>
        </is>
      </c>
      <c r="B1261" t="inlineStr">
        <is>
          <t>515990</t>
        </is>
      </c>
      <c r="C1261" t="inlineStr">
        <is>
          <t>一带一路ETF汇添富</t>
        </is>
      </c>
      <c r="D1261" t="n">
        <v>5435.02</v>
      </c>
      <c r="E1261" t="n">
        <v>5435.02</v>
      </c>
      <c r="F1261" t="n">
        <v>1.541</v>
      </c>
      <c r="G1261" t="n">
        <v>0</v>
      </c>
      <c r="H1261" t="n">
        <v>0.8375359999999999</v>
      </c>
      <c r="I1261" t="n">
        <v>0.863462</v>
      </c>
      <c r="J1261" t="n">
        <v>-0.025926</v>
      </c>
      <c r="K1261" s="4">
        <f>IFERROR(J1261/I1261,"")</f>
        <v/>
      </c>
      <c r="L1261" s="4">
        <f>IFERROR((D1261-E1261)/E1261,"")</f>
        <v/>
      </c>
    </row>
    <row r="1262">
      <c r="A1262" t="inlineStr">
        <is>
          <t>2026-06-19</t>
        </is>
      </c>
      <c r="B1262" t="inlineStr">
        <is>
          <t>516000</t>
        </is>
      </c>
      <c r="C1262" t="inlineStr">
        <is>
          <t>大数据ETF华夏</t>
        </is>
      </c>
      <c r="D1262" t="n">
        <v>34685.5</v>
      </c>
      <c r="E1262" t="n">
        <v>34485.5</v>
      </c>
      <c r="F1262" t="n">
        <v>0.977</v>
      </c>
      <c r="G1262" t="n">
        <v>200</v>
      </c>
      <c r="H1262" t="n">
        <v>3.369233</v>
      </c>
      <c r="I1262" t="n">
        <v>3.261982</v>
      </c>
      <c r="J1262" t="n">
        <v>0.107251</v>
      </c>
      <c r="K1262" s="4">
        <f>IFERROR(J1262/I1262,"")</f>
        <v/>
      </c>
      <c r="L1262" s="4">
        <f>IFERROR((D1262-E1262)/E1262,"")</f>
        <v/>
      </c>
    </row>
    <row r="1263">
      <c r="A1263" t="inlineStr">
        <is>
          <t>2026-06-19</t>
        </is>
      </c>
      <c r="B1263" t="inlineStr">
        <is>
          <t>516010</t>
        </is>
      </c>
      <c r="C1263" t="inlineStr">
        <is>
          <t>游戏ETF国泰</t>
        </is>
      </c>
      <c r="D1263" t="n">
        <v>209069.3</v>
      </c>
      <c r="E1263" t="n">
        <v>211169.3</v>
      </c>
      <c r="F1263" t="n">
        <v>1.036</v>
      </c>
      <c r="G1263" t="n">
        <v>-2100</v>
      </c>
      <c r="H1263" t="n">
        <v>21.877139</v>
      </c>
      <c r="I1263" t="n">
        <v>22.042323</v>
      </c>
      <c r="J1263" t="n">
        <v>-0.165184</v>
      </c>
      <c r="K1263" s="4">
        <f>IFERROR(J1263/I1263,"")</f>
        <v/>
      </c>
      <c r="L1263" s="4">
        <f>IFERROR((D1263-E1263)/E1263,"")</f>
        <v/>
      </c>
    </row>
    <row r="1264">
      <c r="A1264" t="inlineStr">
        <is>
          <t>2026-06-19</t>
        </is>
      </c>
      <c r="B1264" t="inlineStr">
        <is>
          <t>516020</t>
        </is>
      </c>
      <c r="C1264" t="inlineStr">
        <is>
          <t>化工ETF华宝</t>
        </is>
      </c>
      <c r="D1264" t="n">
        <v>389632.62</v>
      </c>
      <c r="E1264" t="n">
        <v>392632.62</v>
      </c>
      <c r="F1264" t="n">
        <v>0.899</v>
      </c>
      <c r="G1264" t="n">
        <v>-3000</v>
      </c>
      <c r="H1264" t="n">
        <v>35.297673</v>
      </c>
      <c r="I1264" t="n">
        <v>38.281302</v>
      </c>
      <c r="J1264" t="n">
        <v>-2.983629</v>
      </c>
      <c r="K1264" s="4">
        <f>IFERROR(J1264/I1264,"")</f>
        <v/>
      </c>
      <c r="L1264" s="4">
        <f>IFERROR((D1264-E1264)/E1264,"")</f>
        <v/>
      </c>
    </row>
    <row r="1265">
      <c r="A1265" t="inlineStr">
        <is>
          <t>2026-06-19</t>
        </is>
      </c>
      <c r="B1265" t="inlineStr">
        <is>
          <t>516050</t>
        </is>
      </c>
      <c r="C1265" t="inlineStr">
        <is>
          <t>科技龙头ETF工银</t>
        </is>
      </c>
      <c r="D1265" t="n">
        <v>15222.8</v>
      </c>
      <c r="E1265" t="n">
        <v>15422.8</v>
      </c>
      <c r="F1265" t="n">
        <v>1.66</v>
      </c>
      <c r="G1265" t="n">
        <v>-200</v>
      </c>
      <c r="H1265" t="n">
        <v>2.560185</v>
      </c>
      <c r="I1265" t="n">
        <v>2.510584</v>
      </c>
      <c r="J1265" t="n">
        <v>0.049601</v>
      </c>
      <c r="K1265" s="4">
        <f>IFERROR(J1265/I1265,"")</f>
        <v/>
      </c>
      <c r="L1265" s="4">
        <f>IFERROR((D1265-E1265)/E1265,"")</f>
        <v/>
      </c>
    </row>
    <row r="1266">
      <c r="A1266" t="inlineStr">
        <is>
          <t>2026-06-19</t>
        </is>
      </c>
      <c r="B1266" t="inlineStr">
        <is>
          <t>516060</t>
        </is>
      </c>
      <c r="C1266" t="inlineStr">
        <is>
          <t>创新药ETF工银</t>
        </is>
      </c>
      <c r="D1266" t="n">
        <v>34623.74</v>
      </c>
      <c r="E1266" t="n">
        <v>35123.74</v>
      </c>
      <c r="F1266" t="n">
        <v>0.507</v>
      </c>
      <c r="G1266" t="n">
        <v>-500</v>
      </c>
      <c r="H1266" t="n">
        <v>1.780774</v>
      </c>
      <c r="I1266" t="n">
        <v>1.72174</v>
      </c>
      <c r="J1266" t="n">
        <v>0.059034</v>
      </c>
      <c r="K1266" s="4">
        <f>IFERROR(J1266/I1266,"")</f>
        <v/>
      </c>
      <c r="L1266" s="4">
        <f>IFERROR((D1266-E1266)/E1266,"")</f>
        <v/>
      </c>
    </row>
    <row r="1267">
      <c r="A1267" t="inlineStr">
        <is>
          <t>2026-06-19</t>
        </is>
      </c>
      <c r="B1267" t="inlineStr">
        <is>
          <t>516070</t>
        </is>
      </c>
      <c r="C1267" t="inlineStr">
        <is>
          <t>低碳ETF易方达</t>
        </is>
      </c>
      <c r="D1267" t="n">
        <v>29764.6</v>
      </c>
      <c r="E1267" t="n">
        <v>29564.6</v>
      </c>
      <c r="F1267" t="n">
        <v>0.64</v>
      </c>
      <c r="G1267" t="n">
        <v>200</v>
      </c>
      <c r="H1267" t="n">
        <v>1.892134</v>
      </c>
      <c r="I1267" t="n">
        <v>1.91283</v>
      </c>
      <c r="J1267" t="n">
        <v>-0.020696</v>
      </c>
      <c r="K1267" s="4">
        <f>IFERROR(J1267/I1267,"")</f>
        <v/>
      </c>
      <c r="L1267" s="4">
        <f>IFERROR((D1267-E1267)/E1267,"")</f>
        <v/>
      </c>
    </row>
    <row r="1268">
      <c r="A1268" t="inlineStr">
        <is>
          <t>2026-06-19</t>
        </is>
      </c>
      <c r="B1268" t="inlineStr">
        <is>
          <t>516080</t>
        </is>
      </c>
      <c r="C1268" t="inlineStr">
        <is>
          <t>创新药ETF易方达</t>
        </is>
      </c>
      <c r="D1268" t="n">
        <v>289055.48</v>
      </c>
      <c r="E1268" t="n">
        <v>288955.48</v>
      </c>
      <c r="F1268" t="n">
        <v>0.586</v>
      </c>
      <c r="G1268" t="n">
        <v>100</v>
      </c>
      <c r="H1268" t="n">
        <v>16.932791</v>
      </c>
      <c r="I1268" t="n">
        <v>16.429711</v>
      </c>
      <c r="J1268" t="n">
        <v>0.50308</v>
      </c>
      <c r="K1268" s="4">
        <f>IFERROR(J1268/I1268,"")</f>
        <v/>
      </c>
      <c r="L1268" s="4">
        <f>IFERROR((D1268-E1268)/E1268,"")</f>
        <v/>
      </c>
    </row>
    <row r="1269">
      <c r="A1269" t="inlineStr">
        <is>
          <t>2026-06-19</t>
        </is>
      </c>
      <c r="B1269" t="inlineStr">
        <is>
          <t>516090</t>
        </is>
      </c>
      <c r="C1269" t="inlineStr">
        <is>
          <t>新能源ETF易方达</t>
        </is>
      </c>
      <c r="D1269" t="n">
        <v>193684.48</v>
      </c>
      <c r="E1269" t="n">
        <v>192484.48</v>
      </c>
      <c r="F1269" t="n">
        <v>0.591</v>
      </c>
      <c r="G1269" t="n">
        <v>1200</v>
      </c>
      <c r="H1269" t="n">
        <v>11.375832</v>
      </c>
      <c r="I1269" t="n">
        <v>10.948452</v>
      </c>
      <c r="J1269" t="n">
        <v>0.42738</v>
      </c>
      <c r="K1269" s="4">
        <f>IFERROR(J1269/I1269,"")</f>
        <v/>
      </c>
      <c r="L1269" s="4">
        <f>IFERROR((D1269-E1269)/E1269,"")</f>
        <v/>
      </c>
    </row>
    <row r="1270">
      <c r="A1270" t="inlineStr">
        <is>
          <t>2026-06-19</t>
        </is>
      </c>
      <c r="B1270" t="inlineStr">
        <is>
          <t>516100</t>
        </is>
      </c>
      <c r="C1270" t="inlineStr">
        <is>
          <t>金融科技ETF华夏</t>
        </is>
      </c>
      <c r="D1270" t="n">
        <v>102075.97</v>
      </c>
      <c r="E1270" t="n">
        <v>102275.97</v>
      </c>
      <c r="F1270" t="n">
        <v>1.059</v>
      </c>
      <c r="G1270" t="n">
        <v>-200</v>
      </c>
      <c r="H1270" t="n">
        <v>10.831025</v>
      </c>
      <c r="I1270" t="n">
        <v>11.006401</v>
      </c>
      <c r="J1270" t="n">
        <v>-0.175376</v>
      </c>
      <c r="K1270" s="4">
        <f>IFERROR(J1270/I1270,"")</f>
        <v/>
      </c>
      <c r="L1270" s="4">
        <f>IFERROR((D1270-E1270)/E1270,"")</f>
        <v/>
      </c>
    </row>
    <row r="1271">
      <c r="A1271" t="inlineStr">
        <is>
          <t>2026-06-19</t>
        </is>
      </c>
      <c r="B1271" t="inlineStr">
        <is>
          <t>516110</t>
        </is>
      </c>
      <c r="C1271" t="inlineStr">
        <is>
          <t>汽车ETF国泰</t>
        </is>
      </c>
      <c r="D1271" t="n">
        <v>20462.31</v>
      </c>
      <c r="E1271" t="n">
        <v>21662.31</v>
      </c>
      <c r="F1271" t="n">
        <v>1.161</v>
      </c>
      <c r="G1271" t="n">
        <v>-1200</v>
      </c>
      <c r="H1271" t="n">
        <v>2.514995</v>
      </c>
      <c r="I1271" t="n">
        <v>2.491775</v>
      </c>
      <c r="J1271" t="n">
        <v>0.02322</v>
      </c>
      <c r="K1271" s="4">
        <f>IFERROR(J1271/I1271,"")</f>
        <v/>
      </c>
      <c r="L1271" s="4">
        <f>IFERROR((D1271-E1271)/E1271,"")</f>
        <v/>
      </c>
    </row>
    <row r="1272">
      <c r="A1272" t="inlineStr">
        <is>
          <t>2026-06-19</t>
        </is>
      </c>
      <c r="B1272" t="inlineStr">
        <is>
          <t>516120</t>
        </is>
      </c>
      <c r="C1272" t="inlineStr">
        <is>
          <t>化工ETF富国</t>
        </is>
      </c>
      <c r="D1272" t="n">
        <v>531958.2</v>
      </c>
      <c r="E1272" t="n">
        <v>537458.2</v>
      </c>
      <c r="F1272" t="n">
        <v>0.917</v>
      </c>
      <c r="G1272" t="n">
        <v>-5500</v>
      </c>
      <c r="H1272" t="n">
        <v>49.284917</v>
      </c>
      <c r="I1272" t="n">
        <v>50.780617</v>
      </c>
      <c r="J1272" t="n">
        <v>-1.4957</v>
      </c>
      <c r="K1272" s="4">
        <f>IFERROR(J1272/I1272,"")</f>
        <v/>
      </c>
      <c r="L1272" s="4">
        <f>IFERROR((D1272-E1272)/E1272,"")</f>
        <v/>
      </c>
    </row>
    <row r="1273">
      <c r="A1273" t="inlineStr">
        <is>
          <t>2026-06-19</t>
        </is>
      </c>
      <c r="B1273" t="inlineStr">
        <is>
          <t>516130</t>
        </is>
      </c>
      <c r="C1273" t="inlineStr">
        <is>
          <t>消费龙头ETF华宝</t>
        </is>
      </c>
      <c r="D1273" t="n">
        <v>151889</v>
      </c>
      <c r="E1273" t="n">
        <v>152789</v>
      </c>
      <c r="F1273" t="n">
        <v>0.642</v>
      </c>
      <c r="G1273" t="n">
        <v>-900</v>
      </c>
      <c r="H1273" t="n">
        <v>9.809054</v>
      </c>
      <c r="I1273" t="n">
        <v>9.948803</v>
      </c>
      <c r="J1273" t="n">
        <v>-0.139749</v>
      </c>
      <c r="K1273" s="4">
        <f>IFERROR(J1273/I1273,"")</f>
        <v/>
      </c>
      <c r="L1273" s="4">
        <f>IFERROR((D1273-E1273)/E1273,"")</f>
        <v/>
      </c>
    </row>
    <row r="1274">
      <c r="A1274" t="inlineStr">
        <is>
          <t>2026-06-19</t>
        </is>
      </c>
      <c r="B1274" t="inlineStr">
        <is>
          <t>516150</t>
        </is>
      </c>
      <c r="C1274" t="inlineStr">
        <is>
          <t>稀土ETF嘉实</t>
        </is>
      </c>
      <c r="D1274" t="n">
        <v>408957.7</v>
      </c>
      <c r="E1274" t="n">
        <v>407607.7</v>
      </c>
      <c r="F1274" t="n">
        <v>2.147</v>
      </c>
      <c r="G1274" t="n">
        <v>1350</v>
      </c>
      <c r="H1274" t="n">
        <v>87.513373</v>
      </c>
      <c r="I1274" t="n">
        <v>85.51975299999999</v>
      </c>
      <c r="J1274" t="n">
        <v>1.99362</v>
      </c>
      <c r="K1274" s="4">
        <f>IFERROR(J1274/I1274,"")</f>
        <v/>
      </c>
      <c r="L1274" s="4">
        <f>IFERROR((D1274-E1274)/E1274,"")</f>
        <v/>
      </c>
    </row>
    <row r="1275">
      <c r="A1275" t="inlineStr">
        <is>
          <t>2026-06-19</t>
        </is>
      </c>
      <c r="B1275" t="inlineStr">
        <is>
          <t>516160</t>
        </is>
      </c>
      <c r="C1275" t="inlineStr">
        <is>
          <t>新能源ETF南方</t>
        </is>
      </c>
      <c r="D1275" t="n">
        <v>180764.2</v>
      </c>
      <c r="E1275" t="n">
        <v>180964.2</v>
      </c>
      <c r="F1275" t="n">
        <v>3</v>
      </c>
      <c r="G1275" t="n">
        <v>-200</v>
      </c>
      <c r="H1275" t="n">
        <v>54.28926</v>
      </c>
      <c r="I1275" t="n">
        <v>54.810617</v>
      </c>
      <c r="J1275" t="n">
        <v>-0.521357</v>
      </c>
      <c r="K1275" s="4">
        <f>IFERROR(J1275/I1275,"")</f>
        <v/>
      </c>
      <c r="L1275" s="4">
        <f>IFERROR((D1275-E1275)/E1275,"")</f>
        <v/>
      </c>
    </row>
    <row r="1276">
      <c r="A1276" t="inlineStr">
        <is>
          <t>2026-06-19</t>
        </is>
      </c>
      <c r="B1276" t="inlineStr">
        <is>
          <t>516180</t>
        </is>
      </c>
      <c r="C1276" t="inlineStr">
        <is>
          <t>光伏ETF平安</t>
        </is>
      </c>
      <c r="D1276" t="n">
        <v>16898.7</v>
      </c>
      <c r="E1276" t="n">
        <v>17098.7</v>
      </c>
      <c r="F1276" t="n">
        <v>0.838</v>
      </c>
      <c r="G1276" t="n">
        <v>-200</v>
      </c>
      <c r="H1276" t="n">
        <v>1.432871</v>
      </c>
      <c r="I1276" t="n">
        <v>1.44484</v>
      </c>
      <c r="J1276" t="n">
        <v>-0.011969</v>
      </c>
      <c r="K1276" s="4">
        <f>IFERROR(J1276/I1276,"")</f>
        <v/>
      </c>
      <c r="L1276" s="4">
        <f>IFERROR((D1276-E1276)/E1276,"")</f>
        <v/>
      </c>
    </row>
    <row r="1277">
      <c r="A1277" t="inlineStr">
        <is>
          <t>2026-06-19</t>
        </is>
      </c>
      <c r="B1277" t="inlineStr">
        <is>
          <t>516190</t>
        </is>
      </c>
      <c r="C1277" t="inlineStr">
        <is>
          <t>传媒ETF华夏</t>
        </is>
      </c>
      <c r="D1277" t="n">
        <v>10081.85</v>
      </c>
      <c r="E1277" t="n">
        <v>10381.85</v>
      </c>
      <c r="F1277" t="n">
        <v>0.993</v>
      </c>
      <c r="G1277" t="n">
        <v>-300</v>
      </c>
      <c r="H1277" t="n">
        <v>1.030918</v>
      </c>
      <c r="I1277" t="n">
        <v>1.021575</v>
      </c>
      <c r="J1277" t="n">
        <v>0.009343000000000001</v>
      </c>
      <c r="K1277" s="4">
        <f>IFERROR(J1277/I1277,"")</f>
        <v/>
      </c>
      <c r="L1277" s="4">
        <f>IFERROR((D1277-E1277)/E1277,"")</f>
        <v/>
      </c>
    </row>
    <row r="1278">
      <c r="A1278" t="inlineStr">
        <is>
          <t>2026-06-19</t>
        </is>
      </c>
      <c r="B1278" t="inlineStr">
        <is>
          <t>516200</t>
        </is>
      </c>
      <c r="C1278" t="inlineStr">
        <is>
          <t>证券ETF华安</t>
        </is>
      </c>
      <c r="D1278" t="n">
        <v>35660.4</v>
      </c>
      <c r="E1278" t="n">
        <v>35660.4</v>
      </c>
      <c r="F1278" t="n">
        <v>1.004</v>
      </c>
      <c r="G1278" t="n">
        <v>0</v>
      </c>
      <c r="H1278" t="n">
        <v>3.580304</v>
      </c>
      <c r="I1278" t="n">
        <v>3.697625</v>
      </c>
      <c r="J1278" t="n">
        <v>-0.117321</v>
      </c>
      <c r="K1278" s="4">
        <f>IFERROR(J1278/I1278,"")</f>
        <v/>
      </c>
      <c r="L1278" s="4">
        <f>IFERROR((D1278-E1278)/E1278,"")</f>
        <v/>
      </c>
    </row>
    <row r="1279">
      <c r="A1279" t="inlineStr">
        <is>
          <t>2026-06-19</t>
        </is>
      </c>
      <c r="B1279" t="inlineStr">
        <is>
          <t>516210</t>
        </is>
      </c>
      <c r="C1279" t="inlineStr">
        <is>
          <t>银行ETF华安</t>
        </is>
      </c>
      <c r="D1279" t="n">
        <v>8653.1</v>
      </c>
      <c r="E1279" t="n">
        <v>8653.1</v>
      </c>
      <c r="F1279" t="n">
        <v>1.309</v>
      </c>
      <c r="G1279" t="n">
        <v>0</v>
      </c>
      <c r="H1279" t="n">
        <v>1.132691</v>
      </c>
      <c r="I1279" t="n">
        <v>1.157785</v>
      </c>
      <c r="J1279" t="n">
        <v>-0.025094</v>
      </c>
      <c r="K1279" s="4">
        <f>IFERROR(J1279/I1279,"")</f>
        <v/>
      </c>
      <c r="L1279" s="4">
        <f>IFERROR((D1279-E1279)/E1279,"")</f>
        <v/>
      </c>
    </row>
    <row r="1280">
      <c r="A1280" t="inlineStr">
        <is>
          <t>2026-06-19</t>
        </is>
      </c>
      <c r="B1280" t="inlineStr">
        <is>
          <t>516220</t>
        </is>
      </c>
      <c r="C1280" t="inlineStr">
        <is>
          <t>化工ETF国泰</t>
        </is>
      </c>
      <c r="D1280" t="n">
        <v>31917</v>
      </c>
      <c r="E1280" t="n">
        <v>32017</v>
      </c>
      <c r="F1280" t="n">
        <v>0.9350000000000001</v>
      </c>
      <c r="G1280" t="n">
        <v>-100</v>
      </c>
      <c r="H1280" t="n">
        <v>2.99359</v>
      </c>
      <c r="I1280" t="n">
        <v>3.05122</v>
      </c>
      <c r="J1280" t="n">
        <v>-0.05763</v>
      </c>
      <c r="K1280" s="4">
        <f>IFERROR(J1280/I1280,"")</f>
        <v/>
      </c>
      <c r="L1280" s="4">
        <f>IFERROR((D1280-E1280)/E1280,"")</f>
        <v/>
      </c>
    </row>
    <row r="1281">
      <c r="A1281" t="inlineStr">
        <is>
          <t>2026-06-19</t>
        </is>
      </c>
      <c r="B1281" t="inlineStr">
        <is>
          <t>516230</t>
        </is>
      </c>
      <c r="C1281" t="inlineStr">
        <is>
          <t>光伏ETF招商</t>
        </is>
      </c>
      <c r="D1281" t="n">
        <v>76892.10000000001</v>
      </c>
      <c r="E1281" t="n">
        <v>76892.10000000001</v>
      </c>
      <c r="F1281" t="n">
        <v>0.931</v>
      </c>
      <c r="G1281" t="n">
        <v>0</v>
      </c>
      <c r="H1281" t="n">
        <v>7.158655</v>
      </c>
      <c r="I1281" t="n">
        <v>7.243236</v>
      </c>
      <c r="J1281" t="n">
        <v>-0.084581</v>
      </c>
      <c r="K1281" s="4">
        <f>IFERROR(J1281/I1281,"")</f>
        <v/>
      </c>
      <c r="L1281" s="4">
        <f>IFERROR((D1281-E1281)/E1281,"")</f>
        <v/>
      </c>
    </row>
    <row r="1282">
      <c r="A1282" t="inlineStr">
        <is>
          <t>2026-06-19</t>
        </is>
      </c>
      <c r="B1282" t="inlineStr">
        <is>
          <t>516250</t>
        </is>
      </c>
      <c r="C1282" t="inlineStr">
        <is>
          <t>工程机械ETF富国</t>
        </is>
      </c>
      <c r="D1282" t="n">
        <v>9487.799999999999</v>
      </c>
      <c r="E1282" t="n">
        <v>9587.799999999999</v>
      </c>
      <c r="F1282" t="n">
        <v>1.038</v>
      </c>
      <c r="G1282" t="n">
        <v>-100</v>
      </c>
      <c r="H1282" t="n">
        <v>0.995214</v>
      </c>
      <c r="I1282" t="n">
        <v>0.999049</v>
      </c>
      <c r="J1282" t="n">
        <v>-0.003835</v>
      </c>
      <c r="K1282" s="4">
        <f>IFERROR(J1282/I1282,"")</f>
        <v/>
      </c>
      <c r="L1282" s="4">
        <f>IFERROR((D1282-E1282)/E1282,"")</f>
        <v/>
      </c>
    </row>
    <row r="1283">
      <c r="A1283" t="inlineStr">
        <is>
          <t>2026-06-19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1.63</v>
      </c>
      <c r="G1283" t="n">
        <v>0</v>
      </c>
      <c r="H1283" t="n">
        <v>0.747887</v>
      </c>
      <c r="I1283" t="n">
        <v>0.728158</v>
      </c>
      <c r="J1283" t="n">
        <v>0.019729</v>
      </c>
      <c r="K1283" s="4">
        <f>IFERROR(J1283/I1283,"")</f>
        <v/>
      </c>
      <c r="L1283" s="4">
        <f>IFERROR((D1283-E1283)/E1283,"")</f>
        <v/>
      </c>
    </row>
    <row r="1284">
      <c r="A1284" t="inlineStr">
        <is>
          <t>2026-06-19</t>
        </is>
      </c>
      <c r="B1284" t="inlineStr">
        <is>
          <t>516270</t>
        </is>
      </c>
      <c r="C1284" t="inlineStr">
        <is>
          <t>新能源ETF华安</t>
        </is>
      </c>
      <c r="D1284" t="n">
        <v>33140.9</v>
      </c>
      <c r="E1284" t="n">
        <v>33140.9</v>
      </c>
      <c r="F1284" t="n">
        <v>0.706</v>
      </c>
      <c r="G1284" t="n">
        <v>0</v>
      </c>
      <c r="H1284" t="n">
        <v>2.339748</v>
      </c>
      <c r="I1284" t="n">
        <v>2.373641</v>
      </c>
      <c r="J1284" t="n">
        <v>-0.033893</v>
      </c>
      <c r="K1284" s="4">
        <f>IFERROR(J1284/I1284,"")</f>
        <v/>
      </c>
      <c r="L1284" s="4">
        <f>IFERROR((D1284-E1284)/E1284,"")</f>
        <v/>
      </c>
    </row>
    <row r="1285">
      <c r="A1285" t="inlineStr">
        <is>
          <t>2026-06-19</t>
        </is>
      </c>
      <c r="B1285" t="inlineStr">
        <is>
          <t>516290</t>
        </is>
      </c>
      <c r="C1285" t="inlineStr">
        <is>
          <t>光伏ETF汇添富</t>
        </is>
      </c>
      <c r="D1285" t="n">
        <v>75919.69</v>
      </c>
      <c r="E1285" t="n">
        <v>76719.69</v>
      </c>
      <c r="F1285" t="n">
        <v>0.632</v>
      </c>
      <c r="G1285" t="n">
        <v>-800</v>
      </c>
      <c r="H1285" t="n">
        <v>4.848685</v>
      </c>
      <c r="I1285" t="n">
        <v>4.881957</v>
      </c>
      <c r="J1285" t="n">
        <v>-0.033272</v>
      </c>
      <c r="K1285" s="4">
        <f>IFERROR(J1285/I1285,"")</f>
        <v/>
      </c>
      <c r="L1285" s="4">
        <f>IFERROR((D1285-E1285)/E1285,"")</f>
        <v/>
      </c>
    </row>
    <row r="1286">
      <c r="A1286" t="inlineStr">
        <is>
          <t>2026-06-19</t>
        </is>
      </c>
      <c r="B1286" t="inlineStr">
        <is>
          <t>516300</t>
        </is>
      </c>
      <c r="C1286" t="inlineStr">
        <is>
          <t>中证1000ETF华泰柏瑞</t>
        </is>
      </c>
      <c r="D1286" t="n">
        <v>2501.26</v>
      </c>
      <c r="E1286" t="n">
        <v>2501.26</v>
      </c>
      <c r="F1286" t="n">
        <v>3.638</v>
      </c>
      <c r="G1286" t="n">
        <v>0</v>
      </c>
      <c r="H1286" t="n">
        <v>0.909958</v>
      </c>
      <c r="I1286" t="n">
        <v>0.902204</v>
      </c>
      <c r="J1286" t="n">
        <v>0.007754</v>
      </c>
      <c r="K1286" s="4">
        <f>IFERROR(J1286/I1286,"")</f>
        <v/>
      </c>
      <c r="L1286" s="4">
        <f>IFERROR((D1286-E1286)/E1286,"")</f>
        <v/>
      </c>
    </row>
    <row r="1287">
      <c r="A1287" t="inlineStr">
        <is>
          <t>2026-06-19</t>
        </is>
      </c>
      <c r="B1287" t="inlineStr">
        <is>
          <t>516310</t>
        </is>
      </c>
      <c r="C1287" t="inlineStr">
        <is>
          <t>银行ETF易方达</t>
        </is>
      </c>
      <c r="D1287" t="n">
        <v>161515.85</v>
      </c>
      <c r="E1287" t="n">
        <v>161245.85</v>
      </c>
      <c r="F1287" t="n">
        <v>1.269</v>
      </c>
      <c r="G1287" t="n">
        <v>270</v>
      </c>
      <c r="H1287" t="n">
        <v>20.462098</v>
      </c>
      <c r="I1287" t="n">
        <v>20.95416</v>
      </c>
      <c r="J1287" t="n">
        <v>-0.492062</v>
      </c>
      <c r="K1287" s="4">
        <f>IFERROR(J1287/I1287,"")</f>
        <v/>
      </c>
      <c r="L1287" s="4">
        <f>IFERROR((D1287-E1287)/E1287,"")</f>
        <v/>
      </c>
    </row>
    <row r="1288">
      <c r="A1288" t="inlineStr">
        <is>
          <t>2026-06-19</t>
        </is>
      </c>
      <c r="B1288" t="inlineStr">
        <is>
          <t>516320</t>
        </is>
      </c>
      <c r="C1288" t="inlineStr">
        <is>
          <t>高端装备ETF华夏</t>
        </is>
      </c>
      <c r="D1288" t="n">
        <v>7758.93</v>
      </c>
      <c r="E1288" t="n">
        <v>7858.93</v>
      </c>
      <c r="F1288" t="n">
        <v>1.063</v>
      </c>
      <c r="G1288" t="n">
        <v>-100</v>
      </c>
      <c r="H1288" t="n">
        <v>0.835404</v>
      </c>
      <c r="I1288" t="n">
        <v>0.869742</v>
      </c>
      <c r="J1288" t="n">
        <v>-0.034338</v>
      </c>
      <c r="K1288" s="4">
        <f>IFERROR(J1288/I1288,"")</f>
        <v/>
      </c>
      <c r="L1288" s="4">
        <f>IFERROR((D1288-E1288)/E1288,"")</f>
        <v/>
      </c>
    </row>
    <row r="1289">
      <c r="A1289" t="inlineStr">
        <is>
          <t>2026-06-19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F1289" t="n">
        <v>1.864</v>
      </c>
      <c r="G1289" t="n">
        <v>0</v>
      </c>
      <c r="H1289" t="n">
        <v>0.09080100000000001</v>
      </c>
      <c r="I1289" t="n">
        <v>0.088365</v>
      </c>
      <c r="J1289" t="n">
        <v>0.002436</v>
      </c>
      <c r="K1289" s="4">
        <f>IFERROR(J1289/I1289,"")</f>
        <v/>
      </c>
      <c r="L1289" s="4">
        <f>IFERROR((D1289-E1289)/E1289,"")</f>
        <v/>
      </c>
    </row>
    <row r="1290">
      <c r="A1290" t="inlineStr">
        <is>
          <t>2026-06-19</t>
        </is>
      </c>
      <c r="B1290" t="inlineStr">
        <is>
          <t>516350</t>
        </is>
      </c>
      <c r="C1290" t="inlineStr">
        <is>
          <t>芯片ETF易方达</t>
        </is>
      </c>
      <c r="D1290" t="n">
        <v>108441.53</v>
      </c>
      <c r="E1290" t="n">
        <v>111241.53</v>
      </c>
      <c r="F1290" t="n">
        <v>1.963</v>
      </c>
      <c r="G1290" t="n">
        <v>-2800</v>
      </c>
      <c r="H1290" t="n">
        <v>21.836713</v>
      </c>
      <c r="I1290" t="n">
        <v>21.3987</v>
      </c>
      <c r="J1290" t="n">
        <v>0.438013</v>
      </c>
      <c r="K1290" s="4">
        <f>IFERROR(J1290/I1290,"")</f>
        <v/>
      </c>
      <c r="L1290" s="4">
        <f>IFERROR((D1290-E1290)/E1290,"")</f>
        <v/>
      </c>
    </row>
    <row r="1291">
      <c r="A1291" t="inlineStr">
        <is>
          <t>2026-06-19</t>
        </is>
      </c>
      <c r="B1291" t="inlineStr">
        <is>
          <t>516360</t>
        </is>
      </c>
      <c r="C1291" t="inlineStr">
        <is>
          <t>新材料ETF华宝</t>
        </is>
      </c>
      <c r="D1291" t="n">
        <v>5755.18</v>
      </c>
      <c r="E1291" t="n">
        <v>5655.18</v>
      </c>
      <c r="F1291" t="n">
        <v>1.207</v>
      </c>
      <c r="G1291" t="n">
        <v>100</v>
      </c>
      <c r="H1291" t="n">
        <v>0.68258</v>
      </c>
      <c r="I1291" t="n">
        <v>0.661168</v>
      </c>
      <c r="J1291" t="n">
        <v>0.021412</v>
      </c>
      <c r="K1291" s="4">
        <f>IFERROR(J1291/I1291,"")</f>
        <v/>
      </c>
      <c r="L1291" s="4">
        <f>IFERROR((D1291-E1291)/E1291,"")</f>
        <v/>
      </c>
    </row>
    <row r="1292">
      <c r="A1292" t="inlineStr">
        <is>
          <t>2026-06-19</t>
        </is>
      </c>
      <c r="B1292" t="inlineStr">
        <is>
          <t>516370</t>
        </is>
      </c>
      <c r="C1292" t="inlineStr">
        <is>
          <t>电力ETF汇添富</t>
        </is>
      </c>
      <c r="D1292" t="n">
        <v>31440.8</v>
      </c>
      <c r="E1292" t="n">
        <v>30440.8</v>
      </c>
      <c r="F1292" t="n">
        <v>0.964</v>
      </c>
      <c r="G1292" t="n">
        <v>1000</v>
      </c>
      <c r="H1292" t="n">
        <v>2.934493</v>
      </c>
      <c r="I1292" t="n">
        <v>3.054888</v>
      </c>
      <c r="J1292" t="n">
        <v>-0.120395</v>
      </c>
      <c r="K1292" s="4">
        <f>IFERROR(J1292/I1292,"")</f>
        <v/>
      </c>
      <c r="L1292" s="4">
        <f>IFERROR((D1292-E1292)/E1292,"")</f>
        <v/>
      </c>
    </row>
    <row r="1293">
      <c r="A1293" t="inlineStr">
        <is>
          <t>2026-06-19</t>
        </is>
      </c>
      <c r="B1293" t="inlineStr">
        <is>
          <t>516380</t>
        </is>
      </c>
      <c r="C1293" t="inlineStr">
        <is>
          <t>智能电动车ETF华宝</t>
        </is>
      </c>
      <c r="D1293" t="n">
        <v>8044.93</v>
      </c>
      <c r="E1293" t="n">
        <v>8044.93</v>
      </c>
      <c r="F1293" t="n">
        <v>1.014</v>
      </c>
      <c r="G1293" t="n">
        <v>0</v>
      </c>
      <c r="H1293" t="n">
        <v>0.815755</v>
      </c>
      <c r="I1293" t="n">
        <v>0.810929</v>
      </c>
      <c r="J1293" t="n">
        <v>0.004826</v>
      </c>
      <c r="K1293" s="4">
        <f>IFERROR(J1293/I1293,"")</f>
        <v/>
      </c>
      <c r="L1293" s="4">
        <f>IFERROR((D1293-E1293)/E1293,"")</f>
        <v/>
      </c>
    </row>
    <row r="1294">
      <c r="A1294" t="inlineStr">
        <is>
          <t>2026-06-19</t>
        </is>
      </c>
      <c r="B1294" t="inlineStr">
        <is>
          <t>516390</t>
        </is>
      </c>
      <c r="C1294" t="inlineStr">
        <is>
          <t>新能源车ETF汇添富</t>
        </is>
      </c>
      <c r="D1294" t="n">
        <v>17526.1</v>
      </c>
      <c r="E1294" t="n">
        <v>17376.1</v>
      </c>
      <c r="F1294" t="n">
        <v>1.035</v>
      </c>
      <c r="G1294" t="n">
        <v>150</v>
      </c>
      <c r="H1294" t="n">
        <v>1.798426</v>
      </c>
      <c r="I1294" t="n">
        <v>1.815802</v>
      </c>
      <c r="J1294" t="n">
        <v>-0.017376</v>
      </c>
      <c r="K1294" s="4">
        <f>IFERROR(J1294/I1294,"")</f>
        <v/>
      </c>
      <c r="L1294" s="4">
        <f>IFERROR((D1294-E1294)/E1294,"")</f>
        <v/>
      </c>
    </row>
    <row r="1295">
      <c r="A1295" t="inlineStr">
        <is>
          <t>2026-06-19</t>
        </is>
      </c>
      <c r="B1295" t="inlineStr">
        <is>
          <t>516460</t>
        </is>
      </c>
      <c r="C1295" t="inlineStr">
        <is>
          <t>现金流ETF800鹏华</t>
        </is>
      </c>
      <c r="D1295" t="n">
        <v>53369.3</v>
      </c>
      <c r="E1295" t="n">
        <v>53269.3</v>
      </c>
      <c r="F1295" t="n">
        <v>1.18</v>
      </c>
      <c r="G1295" t="n">
        <v>100</v>
      </c>
      <c r="H1295" t="n">
        <v>6.285777</v>
      </c>
      <c r="I1295" t="n">
        <v>6.337781</v>
      </c>
      <c r="J1295" t="n">
        <v>-0.052004</v>
      </c>
      <c r="K1295" s="4">
        <f>IFERROR(J1295/I1295,"")</f>
        <v/>
      </c>
      <c r="L1295" s="4">
        <f>IFERROR((D1295-E1295)/E1295,"")</f>
        <v/>
      </c>
    </row>
    <row r="1296">
      <c r="A1296" t="inlineStr">
        <is>
          <t>2026-06-19</t>
        </is>
      </c>
      <c r="B1296" t="inlineStr">
        <is>
          <t>516500</t>
        </is>
      </c>
      <c r="C1296" t="inlineStr">
        <is>
          <t>生物科技ETF华夏</t>
        </is>
      </c>
      <c r="D1296" t="n">
        <v>29593.72</v>
      </c>
      <c r="E1296" t="n">
        <v>29693.72</v>
      </c>
      <c r="F1296" t="n">
        <v>0.545</v>
      </c>
      <c r="G1296" t="n">
        <v>-100</v>
      </c>
      <c r="H1296" t="n">
        <v>1.618308</v>
      </c>
      <c r="I1296" t="n">
        <v>1.566685</v>
      </c>
      <c r="J1296" t="n">
        <v>0.051623</v>
      </c>
      <c r="K1296" s="4">
        <f>IFERROR(J1296/I1296,"")</f>
        <v/>
      </c>
      <c r="L1296" s="4">
        <f>IFERROR((D1296-E1296)/E1296,"")</f>
        <v/>
      </c>
    </row>
    <row r="1297">
      <c r="A1297" t="inlineStr">
        <is>
          <t>2026-06-19</t>
        </is>
      </c>
      <c r="B1297" t="inlineStr">
        <is>
          <t>516510</t>
        </is>
      </c>
      <c r="C1297" t="inlineStr">
        <is>
          <t>云计算ETF易方达</t>
        </is>
      </c>
      <c r="D1297" t="n">
        <v>139489</v>
      </c>
      <c r="E1297" t="n">
        <v>137989</v>
      </c>
      <c r="F1297" t="n">
        <v>1.761</v>
      </c>
      <c r="G1297" t="n">
        <v>1500</v>
      </c>
      <c r="H1297" t="n">
        <v>24.299863</v>
      </c>
      <c r="I1297" t="n">
        <v>23.641201</v>
      </c>
      <c r="J1297" t="n">
        <v>0.658662</v>
      </c>
      <c r="K1297" s="4">
        <f>IFERROR(J1297/I1297,"")</f>
        <v/>
      </c>
      <c r="L1297" s="4">
        <f>IFERROR((D1297-E1297)/E1297,"")</f>
        <v/>
      </c>
    </row>
    <row r="1298">
      <c r="A1298" t="inlineStr">
        <is>
          <t>2026-06-19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85776.55</v>
      </c>
      <c r="E1298" t="n">
        <v>86976.55</v>
      </c>
      <c r="F1298" t="n">
        <v>1.208</v>
      </c>
      <c r="G1298" t="n">
        <v>-1200</v>
      </c>
      <c r="H1298" t="n">
        <v>10.506767</v>
      </c>
      <c r="I1298" t="n">
        <v>10.880795</v>
      </c>
      <c r="J1298" t="n">
        <v>-0.374028</v>
      </c>
      <c r="K1298" s="4">
        <f>IFERROR(J1298/I1298,"")</f>
        <v/>
      </c>
      <c r="L1298" s="4">
        <f>IFERROR((D1298-E1298)/E1298,"")</f>
        <v/>
      </c>
    </row>
    <row r="1299">
      <c r="A1299" t="inlineStr">
        <is>
          <t>2026-06-19</t>
        </is>
      </c>
      <c r="B1299" t="inlineStr">
        <is>
          <t>516530</t>
        </is>
      </c>
      <c r="C1299" t="inlineStr">
        <is>
          <t>物流ETF银华</t>
        </is>
      </c>
      <c r="D1299" t="n">
        <v>1830.23</v>
      </c>
      <c r="E1299" t="n">
        <v>1830.23</v>
      </c>
      <c r="F1299" t="n">
        <v>0.958</v>
      </c>
      <c r="G1299" t="n">
        <v>0</v>
      </c>
      <c r="H1299" t="n">
        <v>0.175336</v>
      </c>
      <c r="I1299" t="n">
        <v>0.178265</v>
      </c>
      <c r="J1299" t="n">
        <v>-0.002929</v>
      </c>
      <c r="K1299" s="4">
        <f>IFERROR(J1299/I1299,"")</f>
        <v/>
      </c>
      <c r="L1299" s="4">
        <f>IFERROR((D1299-E1299)/E1299,"")</f>
        <v/>
      </c>
    </row>
    <row r="1300">
      <c r="A1300" t="inlineStr">
        <is>
          <t>2026-06-19</t>
        </is>
      </c>
      <c r="B1300" t="inlineStr">
        <is>
          <t>516550</t>
        </is>
      </c>
      <c r="C1300" t="inlineStr">
        <is>
          <t>农业ETF嘉实</t>
        </is>
      </c>
      <c r="D1300" t="n">
        <v>24841.44</v>
      </c>
      <c r="E1300" t="n">
        <v>24841.44</v>
      </c>
      <c r="F1300" t="n">
        <v>0.662</v>
      </c>
      <c r="G1300" t="n">
        <v>0</v>
      </c>
      <c r="H1300" t="n">
        <v>1.644503</v>
      </c>
      <c r="I1300" t="n">
        <v>1.682785</v>
      </c>
      <c r="J1300" t="n">
        <v>-0.038282</v>
      </c>
      <c r="K1300" s="4">
        <f>IFERROR(J1300/I1300,"")</f>
        <v/>
      </c>
      <c r="L1300" s="4">
        <f>IFERROR((D1300-E1300)/E1300,"")</f>
        <v/>
      </c>
    </row>
    <row r="1301">
      <c r="A1301" t="inlineStr">
        <is>
          <t>2026-06-19</t>
        </is>
      </c>
      <c r="B1301" t="inlineStr">
        <is>
          <t>516560</t>
        </is>
      </c>
      <c r="C1301" t="inlineStr">
        <is>
          <t>养老ETF华宝</t>
        </is>
      </c>
      <c r="D1301" t="n">
        <v>21175.8</v>
      </c>
      <c r="E1301" t="n">
        <v>21175.8</v>
      </c>
      <c r="F1301" t="n">
        <v>0.702</v>
      </c>
      <c r="G1301" t="n">
        <v>0</v>
      </c>
      <c r="H1301" t="n">
        <v>1.486541</v>
      </c>
      <c r="I1301" t="n">
        <v>1.495707</v>
      </c>
      <c r="J1301" t="n">
        <v>-0.009166000000000001</v>
      </c>
      <c r="K1301" s="4">
        <f>IFERROR(J1301/I1301,"")</f>
        <v/>
      </c>
      <c r="L1301" s="4">
        <f>IFERROR((D1301-E1301)/E1301,"")</f>
        <v/>
      </c>
    </row>
    <row r="1302">
      <c r="A1302" t="inlineStr">
        <is>
          <t>2026-06-19</t>
        </is>
      </c>
      <c r="B1302" t="inlineStr">
        <is>
          <t>516570</t>
        </is>
      </c>
      <c r="C1302" t="inlineStr">
        <is>
          <t>化工行业ETF易方达</t>
        </is>
      </c>
      <c r="D1302" t="n">
        <v>124235.76</v>
      </c>
      <c r="E1302" t="n">
        <v>125135.76</v>
      </c>
      <c r="F1302" t="n">
        <v>0.988</v>
      </c>
      <c r="G1302" t="n">
        <v>-900</v>
      </c>
      <c r="H1302" t="n">
        <v>12.363413</v>
      </c>
      <c r="I1302" t="n">
        <v>12.810412</v>
      </c>
      <c r="J1302" t="n">
        <v>-0.446999</v>
      </c>
      <c r="K1302" s="4">
        <f>IFERROR(J1302/I1302,"")</f>
        <v/>
      </c>
      <c r="L1302" s="4">
        <f>IFERROR((D1302-E1302)/E1302,"")</f>
        <v/>
      </c>
    </row>
    <row r="1303">
      <c r="A1303" t="inlineStr">
        <is>
          <t>2026-06-19</t>
        </is>
      </c>
      <c r="B1303" t="inlineStr">
        <is>
          <t>516580</t>
        </is>
      </c>
      <c r="C1303" t="inlineStr">
        <is>
          <t>新能源ETF博时</t>
        </is>
      </c>
      <c r="D1303" t="n">
        <v>14712.41</v>
      </c>
      <c r="E1303" t="n">
        <v>14512.41</v>
      </c>
      <c r="F1303" t="n">
        <v>0.705</v>
      </c>
      <c r="G1303" t="n">
        <v>200</v>
      </c>
      <c r="H1303" t="n">
        <v>1.023125</v>
      </c>
      <c r="I1303" t="n">
        <v>1.041865</v>
      </c>
      <c r="J1303" t="n">
        <v>-0.01874</v>
      </c>
      <c r="K1303" s="4">
        <f>IFERROR(J1303/I1303,"")</f>
        <v/>
      </c>
      <c r="L1303" s="4">
        <f>IFERROR((D1303-E1303)/E1303,"")</f>
        <v/>
      </c>
    </row>
    <row r="1304">
      <c r="A1304" t="inlineStr">
        <is>
          <t>2026-06-19</t>
        </is>
      </c>
      <c r="B1304" t="inlineStr">
        <is>
          <t>516590</t>
        </is>
      </c>
      <c r="C1304" t="inlineStr">
        <is>
          <t>智能汽车ETF易方达</t>
        </is>
      </c>
      <c r="D1304" t="n">
        <v>4901.5</v>
      </c>
      <c r="E1304" t="n">
        <v>5001.5</v>
      </c>
      <c r="F1304" t="n">
        <v>1.275</v>
      </c>
      <c r="G1304" t="n">
        <v>-100</v>
      </c>
      <c r="H1304" t="n">
        <v>0.637691</v>
      </c>
      <c r="I1304" t="n">
        <v>0.63369</v>
      </c>
      <c r="J1304" t="n">
        <v>0.004001</v>
      </c>
      <c r="K1304" s="4">
        <f>IFERROR(J1304/I1304,"")</f>
        <v/>
      </c>
      <c r="L1304" s="4">
        <f>IFERROR((D1304-E1304)/E1304,"")</f>
        <v/>
      </c>
    </row>
    <row r="1305">
      <c r="A1305" t="inlineStr">
        <is>
          <t>2026-06-19</t>
        </is>
      </c>
      <c r="B1305" t="inlineStr">
        <is>
          <t>516600</t>
        </is>
      </c>
      <c r="C1305" t="inlineStr">
        <is>
          <t>消费服务ETF工银</t>
        </is>
      </c>
      <c r="D1305" t="n">
        <v>11633.21</v>
      </c>
      <c r="E1305" t="n">
        <v>11933.21</v>
      </c>
      <c r="F1305" t="n">
        <v>0.579</v>
      </c>
      <c r="G1305" t="n">
        <v>-300</v>
      </c>
      <c r="H1305" t="n">
        <v>0.690933</v>
      </c>
      <c r="I1305" t="n">
        <v>0.688546</v>
      </c>
      <c r="J1305" t="n">
        <v>0.002387</v>
      </c>
      <c r="K1305" s="4">
        <f>IFERROR(J1305/I1305,"")</f>
        <v/>
      </c>
      <c r="L1305" s="4">
        <f>IFERROR((D1305-E1305)/E1305,"")</f>
        <v/>
      </c>
    </row>
    <row r="1306">
      <c r="A1306" t="inlineStr">
        <is>
          <t>2026-06-19</t>
        </is>
      </c>
      <c r="B1306" t="inlineStr">
        <is>
          <t>516610</t>
        </is>
      </c>
      <c r="C1306" t="inlineStr">
        <is>
          <t>医疗设备ETF大成</t>
        </is>
      </c>
      <c r="D1306" t="n">
        <v>20697.48</v>
      </c>
      <c r="E1306" t="n">
        <v>21297.48</v>
      </c>
      <c r="F1306" t="n">
        <v>0.417</v>
      </c>
      <c r="G1306" t="n">
        <v>-600</v>
      </c>
      <c r="H1306" t="n">
        <v>0.888105</v>
      </c>
      <c r="I1306" t="n">
        <v>0.885975</v>
      </c>
      <c r="J1306" t="n">
        <v>0.00213</v>
      </c>
      <c r="K1306" s="4">
        <f>IFERROR(J1306/I1306,"")</f>
        <v/>
      </c>
      <c r="L1306" s="4">
        <f>IFERROR((D1306-E1306)/E1306,"")</f>
        <v/>
      </c>
    </row>
    <row r="1307">
      <c r="A1307" t="inlineStr">
        <is>
          <t>2026-06-19</t>
        </is>
      </c>
      <c r="B1307" t="inlineStr">
        <is>
          <t>516620</t>
        </is>
      </c>
      <c r="C1307" t="inlineStr">
        <is>
          <t>影视ETF国泰</t>
        </is>
      </c>
      <c r="D1307" t="n">
        <v>16626.75</v>
      </c>
      <c r="E1307" t="n">
        <v>16776.75</v>
      </c>
      <c r="F1307" t="n">
        <v>0.849</v>
      </c>
      <c r="G1307" t="n">
        <v>-150</v>
      </c>
      <c r="H1307" t="n">
        <v>1.424346</v>
      </c>
      <c r="I1307" t="n">
        <v>1.425862</v>
      </c>
      <c r="J1307" t="n">
        <v>-0.001516</v>
      </c>
      <c r="K1307" s="4">
        <f>IFERROR(J1307/I1307,"")</f>
        <v/>
      </c>
      <c r="L1307" s="4">
        <f>IFERROR((D1307-E1307)/E1307,"")</f>
        <v/>
      </c>
    </row>
    <row r="1308">
      <c r="A1308" t="inlineStr">
        <is>
          <t>2026-06-19</t>
        </is>
      </c>
      <c r="B1308" t="inlineStr">
        <is>
          <t>516630</t>
        </is>
      </c>
      <c r="C1308" t="inlineStr">
        <is>
          <t>云计算ETF华夏</t>
        </is>
      </c>
      <c r="D1308" t="n">
        <v>52515.6</v>
      </c>
      <c r="E1308" t="n">
        <v>52515.6</v>
      </c>
      <c r="F1308" t="n">
        <v>1.717</v>
      </c>
      <c r="G1308" t="n">
        <v>0</v>
      </c>
      <c r="H1308" t="n">
        <v>9.016928999999999</v>
      </c>
      <c r="I1308" t="n">
        <v>8.780608000000001</v>
      </c>
      <c r="J1308" t="n">
        <v>0.236321</v>
      </c>
      <c r="K1308" s="4">
        <f>IFERROR(J1308/I1308,"")</f>
        <v/>
      </c>
      <c r="L1308" s="4">
        <f>IFERROR((D1308-E1308)/E1308,"")</f>
        <v/>
      </c>
    </row>
    <row r="1309">
      <c r="A1309" t="inlineStr">
        <is>
          <t>2026-06-19</t>
        </is>
      </c>
      <c r="B1309" t="inlineStr">
        <is>
          <t>516640</t>
        </is>
      </c>
      <c r="C1309" t="inlineStr">
        <is>
          <t>芯片ETF富国</t>
        </is>
      </c>
      <c r="D1309" t="n">
        <v>108048.28</v>
      </c>
      <c r="E1309" t="n">
        <v>109848.28</v>
      </c>
      <c r="F1309" t="n">
        <v>1.737</v>
      </c>
      <c r="G1309" t="n">
        <v>-1800</v>
      </c>
      <c r="H1309" t="n">
        <v>19.080646</v>
      </c>
      <c r="I1309" t="n">
        <v>19.044193</v>
      </c>
      <c r="J1309" t="n">
        <v>0.036453</v>
      </c>
      <c r="K1309" s="4">
        <f>IFERROR(J1309/I1309,"")</f>
        <v/>
      </c>
      <c r="L1309" s="4">
        <f>IFERROR((D1309-E1309)/E1309,"")</f>
        <v/>
      </c>
    </row>
    <row r="1310">
      <c r="A1310" t="inlineStr">
        <is>
          <t>2026-06-19</t>
        </is>
      </c>
      <c r="B1310" t="inlineStr">
        <is>
          <t>516650</t>
        </is>
      </c>
      <c r="C1310" t="inlineStr">
        <is>
          <t>有色金属ETF华夏</t>
        </is>
      </c>
      <c r="D1310" t="n">
        <v>545146.48</v>
      </c>
      <c r="E1310" t="n">
        <v>548446.48</v>
      </c>
      <c r="F1310" t="n">
        <v>1.951</v>
      </c>
      <c r="G1310" t="n">
        <v>-3300</v>
      </c>
      <c r="H1310" t="n">
        <v>107.001908</v>
      </c>
      <c r="I1310" t="n">
        <v>108.511587</v>
      </c>
      <c r="J1310" t="n">
        <v>-1.509679</v>
      </c>
      <c r="K1310" s="4">
        <f>IFERROR(J1310/I1310,"")</f>
        <v/>
      </c>
      <c r="L1310" s="4">
        <f>IFERROR((D1310-E1310)/E1310,"")</f>
        <v/>
      </c>
    </row>
    <row r="1311">
      <c r="A1311" t="inlineStr">
        <is>
          <t>2026-06-19</t>
        </is>
      </c>
      <c r="B1311" t="inlineStr">
        <is>
          <t>516660</t>
        </is>
      </c>
      <c r="C1311" t="inlineStr">
        <is>
          <t>新能源车ETF华安</t>
        </is>
      </c>
      <c r="D1311" t="n">
        <v>15868.9</v>
      </c>
      <c r="E1311" t="n">
        <v>15868.9</v>
      </c>
      <c r="F1311" t="n">
        <v>1.177</v>
      </c>
      <c r="G1311" t="n">
        <v>0</v>
      </c>
      <c r="H1311" t="n">
        <v>1.86777</v>
      </c>
      <c r="I1311" t="n">
        <v>1.893912</v>
      </c>
      <c r="J1311" t="n">
        <v>-0.026142</v>
      </c>
      <c r="K1311" s="4">
        <f>IFERROR(J1311/I1311,"")</f>
        <v/>
      </c>
      <c r="L1311" s="4">
        <f>IFERROR((D1311-E1311)/E1311,"")</f>
        <v/>
      </c>
    </row>
    <row r="1312">
      <c r="A1312" t="inlineStr">
        <is>
          <t>2026-06-19</t>
        </is>
      </c>
      <c r="B1312" t="inlineStr">
        <is>
          <t>516670</t>
        </is>
      </c>
      <c r="C1312" t="inlineStr">
        <is>
          <t>畜牧养殖ETF招商</t>
        </is>
      </c>
      <c r="D1312" t="n">
        <v>308326.63</v>
      </c>
      <c r="E1312" t="n">
        <v>308426.63</v>
      </c>
      <c r="F1312" t="n">
        <v>0.553</v>
      </c>
      <c r="G1312" t="n">
        <v>-100</v>
      </c>
      <c r="H1312" t="n">
        <v>17.055993</v>
      </c>
      <c r="I1312" t="n">
        <v>17.327957</v>
      </c>
      <c r="J1312" t="n">
        <v>-0.271964</v>
      </c>
      <c r="K1312" s="4">
        <f>IFERROR(J1312/I1312,"")</f>
        <v/>
      </c>
      <c r="L1312" s="4">
        <f>IFERROR((D1312-E1312)/E1312,"")</f>
        <v/>
      </c>
    </row>
    <row r="1313">
      <c r="A1313" t="inlineStr">
        <is>
          <t>2026-06-19</t>
        </is>
      </c>
      <c r="B1313" t="inlineStr">
        <is>
          <t>516700</t>
        </is>
      </c>
      <c r="C1313" t="inlineStr">
        <is>
          <t>大数据ETF华宝</t>
        </is>
      </c>
      <c r="D1313" t="n">
        <v>12912.2</v>
      </c>
      <c r="E1313" t="n">
        <v>12762.2</v>
      </c>
      <c r="F1313" t="n">
        <v>0.9350000000000001</v>
      </c>
      <c r="G1313" t="n">
        <v>150</v>
      </c>
      <c r="H1313" t="n">
        <v>1.193266</v>
      </c>
      <c r="I1313" t="n">
        <v>1.173598</v>
      </c>
      <c r="J1313" t="n">
        <v>0.019668</v>
      </c>
      <c r="K1313" s="4">
        <f>IFERROR(J1313/I1313,"")</f>
        <v/>
      </c>
      <c r="L1313" s="4">
        <f>IFERROR((D1313-E1313)/E1313,"")</f>
        <v/>
      </c>
    </row>
    <row r="1314">
      <c r="A1314" t="inlineStr">
        <is>
          <t>2026-06-19</t>
        </is>
      </c>
      <c r="B1314" t="inlineStr">
        <is>
          <t>516710</t>
        </is>
      </c>
      <c r="C1314" t="inlineStr">
        <is>
          <t>新材料ETF华夏</t>
        </is>
      </c>
      <c r="D1314" t="n">
        <v>7227.2</v>
      </c>
      <c r="E1314" t="n">
        <v>7227.2</v>
      </c>
      <c r="F1314" t="n">
        <v>0.877</v>
      </c>
      <c r="G1314" t="n">
        <v>0</v>
      </c>
      <c r="H1314" t="n">
        <v>0.633825</v>
      </c>
      <c r="I1314" t="n">
        <v>0.6359939999999999</v>
      </c>
      <c r="J1314" t="n">
        <v>-0.002169</v>
      </c>
      <c r="K1314" s="4">
        <f>IFERROR(J1314/I1314,"")</f>
        <v/>
      </c>
      <c r="L1314" s="4">
        <f>IFERROR((D1314-E1314)/E1314,"")</f>
        <v/>
      </c>
    </row>
    <row r="1315">
      <c r="A1315" t="inlineStr">
        <is>
          <t>2026-06-19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1.215</v>
      </c>
      <c r="G1315" t="n">
        <v>0</v>
      </c>
      <c r="H1315" t="n">
        <v>0.149904</v>
      </c>
      <c r="I1315" t="n">
        <v>0.149164</v>
      </c>
      <c r="J1315" t="n">
        <v>0.00074</v>
      </c>
      <c r="K1315" s="4">
        <f>IFERROR(J1315/I1315,"")</f>
        <v/>
      </c>
      <c r="L1315" s="4">
        <f>IFERROR((D1315-E1315)/E1315,"")</f>
        <v/>
      </c>
    </row>
    <row r="1316">
      <c r="A1316" t="inlineStr">
        <is>
          <t>2026-06-19</t>
        </is>
      </c>
      <c r="B1316" t="inlineStr">
        <is>
          <t>516730</t>
        </is>
      </c>
      <c r="C1316" t="inlineStr">
        <is>
          <t>证券ETF浦银</t>
        </is>
      </c>
      <c r="D1316" t="n">
        <v>9488.08</v>
      </c>
      <c r="E1316" t="n">
        <v>9588.08</v>
      </c>
      <c r="F1316" t="n">
        <v>0.956</v>
      </c>
      <c r="G1316" t="n">
        <v>-100</v>
      </c>
      <c r="H1316" t="n">
        <v>0.91662</v>
      </c>
      <c r="I1316" t="n">
        <v>0.956213</v>
      </c>
      <c r="J1316" t="n">
        <v>-0.039593</v>
      </c>
      <c r="K1316" s="4">
        <f>IFERROR(J1316/I1316,"")</f>
        <v/>
      </c>
      <c r="L1316" s="4">
        <f>IFERROR((D1316-E1316)/E1316,"")</f>
        <v/>
      </c>
    </row>
    <row r="1317">
      <c r="A1317" t="inlineStr">
        <is>
          <t>2026-06-19</t>
        </is>
      </c>
      <c r="B1317" t="inlineStr">
        <is>
          <t>516750</t>
        </is>
      </c>
      <c r="C1317" t="inlineStr">
        <is>
          <t>建材ETF富国</t>
        </is>
      </c>
      <c r="D1317" t="n">
        <v>13316.73</v>
      </c>
      <c r="E1317" t="n">
        <v>12816.73</v>
      </c>
      <c r="F1317" t="n">
        <v>0.623</v>
      </c>
      <c r="G1317" t="n">
        <v>500</v>
      </c>
      <c r="H1317" t="n">
        <v>0.798482</v>
      </c>
      <c r="I1317" t="n">
        <v>0.875556</v>
      </c>
      <c r="J1317" t="n">
        <v>-0.077074</v>
      </c>
      <c r="K1317" s="4">
        <f>IFERROR(J1317/I1317,"")</f>
        <v/>
      </c>
      <c r="L1317" s="4">
        <f>IFERROR((D1317-E1317)/E1317,"")</f>
        <v/>
      </c>
    </row>
    <row r="1318">
      <c r="A1318" t="inlineStr">
        <is>
          <t>2026-06-19</t>
        </is>
      </c>
      <c r="B1318" t="inlineStr">
        <is>
          <t>516760</t>
        </is>
      </c>
      <c r="C1318" t="inlineStr">
        <is>
          <t>养殖ETF平安</t>
        </is>
      </c>
      <c r="D1318" t="n">
        <v>29221.51</v>
      </c>
      <c r="E1318" t="n">
        <v>29121.51</v>
      </c>
      <c r="F1318" t="n">
        <v>0.528</v>
      </c>
      <c r="G1318" t="n">
        <v>100</v>
      </c>
      <c r="H1318" t="n">
        <v>1.537616</v>
      </c>
      <c r="I1318" t="n">
        <v>1.558455</v>
      </c>
      <c r="J1318" t="n">
        <v>-0.020839</v>
      </c>
      <c r="K1318" s="4">
        <f>IFERROR(J1318/I1318,"")</f>
        <v/>
      </c>
      <c r="L1318" s="4">
        <f>IFERROR((D1318-E1318)/E1318,"")</f>
        <v/>
      </c>
    </row>
    <row r="1319">
      <c r="A1319" t="inlineStr">
        <is>
          <t>2026-06-19</t>
        </is>
      </c>
      <c r="B1319" t="inlineStr">
        <is>
          <t>516770</t>
        </is>
      </c>
      <c r="C1319" t="inlineStr">
        <is>
          <t>游戏ETF华泰柏瑞</t>
        </is>
      </c>
      <c r="D1319" t="n">
        <v>31404.8</v>
      </c>
      <c r="E1319" t="n">
        <v>31504.8</v>
      </c>
      <c r="F1319" t="n">
        <v>1.095</v>
      </c>
      <c r="G1319" t="n">
        <v>-100</v>
      </c>
      <c r="H1319" t="n">
        <v>3.449776</v>
      </c>
      <c r="I1319" t="n">
        <v>3.398126</v>
      </c>
      <c r="J1319" t="n">
        <v>0.05165</v>
      </c>
      <c r="K1319" s="4">
        <f>IFERROR(J1319/I1319,"")</f>
        <v/>
      </c>
      <c r="L1319" s="4">
        <f>IFERROR((D1319-E1319)/E1319,"")</f>
        <v/>
      </c>
    </row>
    <row r="1320">
      <c r="A1320" t="inlineStr">
        <is>
          <t>2026-06-19</t>
        </is>
      </c>
      <c r="B1320" t="inlineStr">
        <is>
          <t>516780</t>
        </is>
      </c>
      <c r="C1320" t="inlineStr">
        <is>
          <t>稀土ETF华泰柏瑞</t>
        </is>
      </c>
      <c r="D1320" t="n">
        <v>243659.97</v>
      </c>
      <c r="E1320" t="n">
        <v>244909.97</v>
      </c>
      <c r="F1320" t="n">
        <v>1.04</v>
      </c>
      <c r="G1320" t="n">
        <v>-1250</v>
      </c>
      <c r="H1320" t="n">
        <v>25.470637</v>
      </c>
      <c r="I1320" t="n">
        <v>25.030283</v>
      </c>
      <c r="J1320" t="n">
        <v>0.440354</v>
      </c>
      <c r="K1320" s="4">
        <f>IFERROR(J1320/I1320,"")</f>
        <v/>
      </c>
      <c r="L1320" s="4">
        <f>IFERROR((D1320-E1320)/E1320,"")</f>
        <v/>
      </c>
    </row>
    <row r="1321">
      <c r="A1321" t="inlineStr">
        <is>
          <t>2026-06-19</t>
        </is>
      </c>
      <c r="B1321" t="inlineStr">
        <is>
          <t>516790</t>
        </is>
      </c>
      <c r="C1321" t="inlineStr">
        <is>
          <t>医疗ETF华泰柏瑞</t>
        </is>
      </c>
      <c r="D1321" t="n">
        <v>17618.22</v>
      </c>
      <c r="E1321" t="n">
        <v>17618.22</v>
      </c>
      <c r="F1321" t="n">
        <v>0.501</v>
      </c>
      <c r="G1321" t="n">
        <v>0</v>
      </c>
      <c r="H1321" t="n">
        <v>0.882673</v>
      </c>
      <c r="I1321" t="n">
        <v>0.884435</v>
      </c>
      <c r="J1321" t="n">
        <v>-0.001762</v>
      </c>
      <c r="K1321" s="4">
        <f>IFERROR(J1321/I1321,"")</f>
        <v/>
      </c>
      <c r="L1321" s="4">
        <f>IFERROR((D1321-E1321)/E1321,"")</f>
        <v/>
      </c>
    </row>
    <row r="1322">
      <c r="A1322" t="inlineStr">
        <is>
          <t>2026-06-19</t>
        </is>
      </c>
      <c r="B1322" t="inlineStr">
        <is>
          <t>516800</t>
        </is>
      </c>
      <c r="C1322" t="inlineStr">
        <is>
          <t>智能制造ETF华宝</t>
        </is>
      </c>
      <c r="D1322" t="n">
        <v>19830.8</v>
      </c>
      <c r="E1322" t="n">
        <v>19830.8</v>
      </c>
      <c r="F1322" t="n">
        <v>1.147</v>
      </c>
      <c r="G1322" t="n">
        <v>0</v>
      </c>
      <c r="H1322" t="n">
        <v>2.274593</v>
      </c>
      <c r="I1322" t="n">
        <v>2.243596</v>
      </c>
      <c r="J1322" t="n">
        <v>0.030997</v>
      </c>
      <c r="K1322" s="4">
        <f>IFERROR(J1322/I1322,"")</f>
        <v/>
      </c>
      <c r="L1322" s="4">
        <f>IFERROR((D1322-E1322)/E1322,"")</f>
        <v/>
      </c>
    </row>
    <row r="1323">
      <c r="A1323" t="inlineStr">
        <is>
          <t>2026-06-19</t>
        </is>
      </c>
      <c r="B1323" t="inlineStr">
        <is>
          <t>516810</t>
        </is>
      </c>
      <c r="C1323" t="inlineStr">
        <is>
          <t>农业ETF华夏</t>
        </is>
      </c>
      <c r="D1323" t="n">
        <v>52847.89</v>
      </c>
      <c r="E1323" t="n">
        <v>52447.89</v>
      </c>
      <c r="F1323" t="n">
        <v>0.694</v>
      </c>
      <c r="G1323" t="n">
        <v>400</v>
      </c>
      <c r="H1323" t="n">
        <v>3.639884</v>
      </c>
      <c r="I1323" t="n">
        <v>3.692332</v>
      </c>
      <c r="J1323" t="n">
        <v>-0.052448</v>
      </c>
      <c r="K1323" s="4">
        <f>IFERROR(J1323/I1323,"")</f>
        <v/>
      </c>
      <c r="L1323" s="4">
        <f>IFERROR((D1323-E1323)/E1323,"")</f>
        <v/>
      </c>
    </row>
    <row r="1324">
      <c r="A1324" t="inlineStr">
        <is>
          <t>2026-06-19</t>
        </is>
      </c>
      <c r="B1324" t="inlineStr">
        <is>
          <t>516820</t>
        </is>
      </c>
      <c r="C1324" t="inlineStr">
        <is>
          <t>医疗创新ETF平安</t>
        </is>
      </c>
      <c r="D1324" t="n">
        <v>574841.52</v>
      </c>
      <c r="E1324" t="n">
        <v>567641.52</v>
      </c>
      <c r="F1324" t="n">
        <v>0.308</v>
      </c>
      <c r="G1324" t="n">
        <v>7200</v>
      </c>
      <c r="H1324" t="n">
        <v>17.483359</v>
      </c>
      <c r="I1324" t="n">
        <v>17.250222</v>
      </c>
      <c r="J1324" t="n">
        <v>0.233137</v>
      </c>
      <c r="K1324" s="4">
        <f>IFERROR(J1324/I1324,"")</f>
        <v/>
      </c>
      <c r="L1324" s="4">
        <f>IFERROR((D1324-E1324)/E1324,"")</f>
        <v/>
      </c>
    </row>
    <row r="1325">
      <c r="A1325" t="inlineStr">
        <is>
          <t>2026-06-19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1.104</v>
      </c>
      <c r="G1325" t="n">
        <v>0</v>
      </c>
      <c r="H1325" t="n">
        <v>0.962433</v>
      </c>
      <c r="I1325" t="n">
        <v>0.9598179999999999</v>
      </c>
      <c r="J1325" t="n">
        <v>0.002615</v>
      </c>
      <c r="K1325" s="4">
        <f>IFERROR(J1325/I1325,"")</f>
        <v/>
      </c>
      <c r="L1325" s="4">
        <f>IFERROR((D1325-E1325)/E1325,"")</f>
        <v/>
      </c>
    </row>
    <row r="1326">
      <c r="A1326" t="inlineStr">
        <is>
          <t>2026-06-19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13727.7</v>
      </c>
      <c r="F1326" t="n">
        <v>0.8129999999999999</v>
      </c>
      <c r="G1326" t="n">
        <v>-200</v>
      </c>
      <c r="H1326" t="n">
        <v>1.116062</v>
      </c>
      <c r="I1326" t="n">
        <v>1.139286</v>
      </c>
      <c r="J1326" t="n">
        <v>-0.023224</v>
      </c>
      <c r="K1326" s="4">
        <f>IFERROR(J1326/I1326,"")</f>
        <v/>
      </c>
      <c r="L1326" s="4">
        <f>IFERROR((D1326-E1326)/E1326,"")</f>
        <v/>
      </c>
    </row>
    <row r="1327">
      <c r="A1327" t="inlineStr">
        <is>
          <t>2026-06-19</t>
        </is>
      </c>
      <c r="B1327" t="inlineStr">
        <is>
          <t>516850</t>
        </is>
      </c>
      <c r="C1327" t="inlineStr">
        <is>
          <t>新能源ETF华夏</t>
        </is>
      </c>
      <c r="D1327" t="n">
        <v>14523.7</v>
      </c>
      <c r="E1327" t="n">
        <v>14223.7</v>
      </c>
      <c r="F1327" t="n">
        <v>1.105</v>
      </c>
      <c r="G1327" t="n">
        <v>300</v>
      </c>
      <c r="H1327" t="n">
        <v>1.571719</v>
      </c>
      <c r="I1327" t="n">
        <v>1.597093</v>
      </c>
      <c r="J1327" t="n">
        <v>-0.025374</v>
      </c>
      <c r="K1327" s="4">
        <f>IFERROR(J1327/I1327,"")</f>
        <v/>
      </c>
      <c r="L1327" s="4">
        <f>IFERROR((D1327-E1327)/E1327,"")</f>
        <v/>
      </c>
    </row>
    <row r="1328">
      <c r="A1328" t="inlineStr">
        <is>
          <t>2026-06-19</t>
        </is>
      </c>
      <c r="B1328" t="inlineStr">
        <is>
          <t>516860</t>
        </is>
      </c>
      <c r="C1328" t="inlineStr">
        <is>
          <t>金融科技ETF博时</t>
        </is>
      </c>
      <c r="D1328" t="n">
        <v>114552.2</v>
      </c>
      <c r="E1328" t="n">
        <v>115152.2</v>
      </c>
      <c r="F1328" t="n">
        <v>1.096</v>
      </c>
      <c r="G1328" t="n">
        <v>-600</v>
      </c>
      <c r="H1328" t="n">
        <v>12.620681</v>
      </c>
      <c r="I1328" t="n">
        <v>12.859594</v>
      </c>
      <c r="J1328" t="n">
        <v>-0.238913</v>
      </c>
      <c r="K1328" s="4">
        <f>IFERROR(J1328/I1328,"")</f>
        <v/>
      </c>
      <c r="L1328" s="4">
        <f>IFERROR((D1328-E1328)/E1328,"")</f>
        <v/>
      </c>
    </row>
    <row r="1329">
      <c r="A1329" t="inlineStr">
        <is>
          <t>2026-06-19</t>
        </is>
      </c>
      <c r="B1329" t="inlineStr">
        <is>
          <t>516880</t>
        </is>
      </c>
      <c r="C1329" t="inlineStr">
        <is>
          <t>光伏ETF银华</t>
        </is>
      </c>
      <c r="D1329" t="n">
        <v>104194.41</v>
      </c>
      <c r="E1329" t="n">
        <v>104794.41</v>
      </c>
      <c r="F1329" t="n">
        <v>0.861</v>
      </c>
      <c r="G1329" t="n">
        <v>-600</v>
      </c>
      <c r="H1329" t="n">
        <v>9.022798</v>
      </c>
      <c r="I1329" t="n">
        <v>9.145013000000001</v>
      </c>
      <c r="J1329" t="n">
        <v>-0.122215</v>
      </c>
      <c r="K1329" s="4">
        <f>IFERROR(J1329/I1329,"")</f>
        <v/>
      </c>
      <c r="L1329" s="4">
        <f>IFERROR((D1329-E1329)/E1329,"")</f>
        <v/>
      </c>
    </row>
    <row r="1330">
      <c r="A1330" t="inlineStr">
        <is>
          <t>2026-06-19</t>
        </is>
      </c>
      <c r="B1330" t="inlineStr">
        <is>
          <t>516890</t>
        </is>
      </c>
      <c r="C1330" t="inlineStr">
        <is>
          <t>新材料ETF平安</t>
        </is>
      </c>
      <c r="D1330" t="n">
        <v>3331.14</v>
      </c>
      <c r="E1330" t="n">
        <v>3431.14</v>
      </c>
      <c r="F1330" t="n">
        <v>0.908</v>
      </c>
      <c r="G1330" t="n">
        <v>-100</v>
      </c>
      <c r="H1330" t="n">
        <v>0.311548</v>
      </c>
      <c r="I1330" t="n">
        <v>0.313263</v>
      </c>
      <c r="J1330" t="n">
        <v>-0.001715</v>
      </c>
      <c r="K1330" s="4">
        <f>IFERROR(J1330/I1330,"")</f>
        <v/>
      </c>
      <c r="L1330" s="4">
        <f>IFERROR((D1330-E1330)/E1330,"")</f>
        <v/>
      </c>
    </row>
    <row r="1331">
      <c r="A1331" t="inlineStr">
        <is>
          <t>2026-06-19</t>
        </is>
      </c>
      <c r="B1331" t="inlineStr">
        <is>
          <t>516900</t>
        </is>
      </c>
      <c r="C1331" t="inlineStr">
        <is>
          <t>食品饮料ETF华安</t>
        </is>
      </c>
      <c r="D1331" t="n">
        <v>36722.9</v>
      </c>
      <c r="E1331" t="n">
        <v>36572.9</v>
      </c>
      <c r="F1331" t="n">
        <v>0.473</v>
      </c>
      <c r="G1331" t="n">
        <v>150</v>
      </c>
      <c r="H1331" t="n">
        <v>1.729898</v>
      </c>
      <c r="I1331" t="n">
        <v>1.762814</v>
      </c>
      <c r="J1331" t="n">
        <v>-0.032916</v>
      </c>
      <c r="K1331" s="4">
        <f>IFERROR(J1331/I1331,"")</f>
        <v/>
      </c>
      <c r="L1331" s="4">
        <f>IFERROR((D1331-E1331)/E1331,"")</f>
        <v/>
      </c>
    </row>
    <row r="1332">
      <c r="A1332" t="inlineStr">
        <is>
          <t>2026-06-19</t>
        </is>
      </c>
      <c r="B1332" t="inlineStr">
        <is>
          <t>516910</t>
        </is>
      </c>
      <c r="C1332" t="inlineStr">
        <is>
          <t>物流ETF富国</t>
        </is>
      </c>
      <c r="D1332" t="n">
        <v>7164.18</v>
      </c>
      <c r="E1332" t="n">
        <v>7864.18</v>
      </c>
      <c r="F1332" t="n">
        <v>1.112</v>
      </c>
      <c r="G1332" t="n">
        <v>-700</v>
      </c>
      <c r="H1332" t="n">
        <v>0.874497</v>
      </c>
      <c r="I1332" t="n">
        <v>0.910446</v>
      </c>
      <c r="J1332" t="n">
        <v>-0.035949</v>
      </c>
      <c r="K1332" s="4">
        <f>IFERROR(J1332/I1332,"")</f>
        <v/>
      </c>
      <c r="L1332" s="4">
        <f>IFERROR((D1332-E1332)/E1332,"")</f>
        <v/>
      </c>
    </row>
    <row r="1333">
      <c r="A1333" t="inlineStr">
        <is>
          <t>2026-06-19</t>
        </is>
      </c>
      <c r="B1333" t="inlineStr">
        <is>
          <t>516920</t>
        </is>
      </c>
      <c r="C1333" t="inlineStr">
        <is>
          <t>芯片ETF汇添富</t>
        </is>
      </c>
      <c r="D1333" t="n">
        <v>40946.3</v>
      </c>
      <c r="E1333" t="n">
        <v>41696.3</v>
      </c>
      <c r="F1333" t="n">
        <v>1.685</v>
      </c>
      <c r="G1333" t="n">
        <v>-750</v>
      </c>
      <c r="H1333" t="n">
        <v>7.025827</v>
      </c>
      <c r="I1333" t="n">
        <v>6.940122</v>
      </c>
      <c r="J1333" t="n">
        <v>0.085705</v>
      </c>
      <c r="K1333" s="4">
        <f>IFERROR(J1333/I1333,"")</f>
        <v/>
      </c>
      <c r="L1333" s="4">
        <f>IFERROR((D1333-E1333)/E1333,"")</f>
        <v/>
      </c>
    </row>
    <row r="1334">
      <c r="A1334" t="inlineStr">
        <is>
          <t>2026-06-19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11363.96</v>
      </c>
      <c r="E1334" t="n">
        <v>11513.96</v>
      </c>
      <c r="F1334" t="n">
        <v>0.432</v>
      </c>
      <c r="G1334" t="n">
        <v>-150</v>
      </c>
      <c r="H1334" t="n">
        <v>0.497403</v>
      </c>
      <c r="I1334" t="n">
        <v>0.485889</v>
      </c>
      <c r="J1334" t="n">
        <v>0.011514</v>
      </c>
      <c r="K1334" s="4">
        <f>IFERROR(J1334/I1334,"")</f>
        <v/>
      </c>
      <c r="L1334" s="4">
        <f>IFERROR((D1334-E1334)/E1334,"")</f>
        <v/>
      </c>
    </row>
    <row r="1335">
      <c r="A1335" t="inlineStr">
        <is>
          <t>2026-06-19</t>
        </is>
      </c>
      <c r="B1335" t="inlineStr">
        <is>
          <t>516950</t>
        </is>
      </c>
      <c r="C1335" t="inlineStr">
        <is>
          <t>基建ETF银华</t>
        </is>
      </c>
      <c r="D1335" t="n">
        <v>13282.1</v>
      </c>
      <c r="E1335" t="n">
        <v>13582.1</v>
      </c>
      <c r="F1335" t="n">
        <v>1.063</v>
      </c>
      <c r="G1335" t="n">
        <v>-300</v>
      </c>
      <c r="H1335" t="n">
        <v>1.443777</v>
      </c>
      <c r="I1335" t="n">
        <v>1.507596</v>
      </c>
      <c r="J1335" t="n">
        <v>-0.063819</v>
      </c>
      <c r="K1335" s="4">
        <f>IFERROR(J1335/I1335,"")</f>
        <v/>
      </c>
      <c r="L1335" s="4">
        <f>IFERROR((D1335-E1335)/E1335,"")</f>
        <v/>
      </c>
    </row>
    <row r="1336">
      <c r="A1336" t="inlineStr">
        <is>
          <t>2026-06-19</t>
        </is>
      </c>
      <c r="B1336" t="inlineStr">
        <is>
          <t>516960</t>
        </is>
      </c>
      <c r="C1336" t="inlineStr">
        <is>
          <t>机械ETF国泰</t>
        </is>
      </c>
      <c r="D1336" t="n">
        <v>1305.11</v>
      </c>
      <c r="E1336" t="n">
        <v>1305.11</v>
      </c>
      <c r="F1336" t="n">
        <v>1.001</v>
      </c>
      <c r="G1336" t="n">
        <v>0</v>
      </c>
      <c r="H1336" t="n">
        <v>0.130642</v>
      </c>
      <c r="I1336" t="n">
        <v>0.131294</v>
      </c>
      <c r="J1336" t="n">
        <v>-0.000652</v>
      </c>
      <c r="K1336" s="4">
        <f>IFERROR(J1336/I1336,"")</f>
        <v/>
      </c>
      <c r="L1336" s="4">
        <f>IFERROR((D1336-E1336)/E1336,"")</f>
        <v/>
      </c>
    </row>
    <row r="1337">
      <c r="A1337" t="inlineStr">
        <is>
          <t>2026-06-19</t>
        </is>
      </c>
      <c r="B1337" t="inlineStr">
        <is>
          <t>516970</t>
        </is>
      </c>
      <c r="C1337" t="inlineStr">
        <is>
          <t>基建ETF广发</t>
        </is>
      </c>
      <c r="D1337" t="n">
        <v>116854.25</v>
      </c>
      <c r="E1337" t="n">
        <v>117254.25</v>
      </c>
      <c r="F1337" t="n">
        <v>1.158</v>
      </c>
      <c r="G1337" t="n">
        <v>-400</v>
      </c>
      <c r="H1337" t="n">
        <v>13.578042</v>
      </c>
      <c r="I1337" t="n">
        <v>13.865541</v>
      </c>
      <c r="J1337" t="n">
        <v>-0.287499</v>
      </c>
      <c r="K1337" s="4">
        <f>IFERROR(J1337/I1337,"")</f>
        <v/>
      </c>
      <c r="L1337" s="4">
        <f>IFERROR((D1337-E1337)/E1337,"")</f>
        <v/>
      </c>
    </row>
    <row r="1338">
      <c r="A1338" t="inlineStr">
        <is>
          <t>2026-06-19</t>
        </is>
      </c>
      <c r="B1338" t="inlineStr">
        <is>
          <t>516980</t>
        </is>
      </c>
      <c r="C1338" t="inlineStr">
        <is>
          <t>证券先锋ETF华富</t>
        </is>
      </c>
      <c r="D1338" t="n">
        <v>4951.6</v>
      </c>
      <c r="E1338" t="n">
        <v>5251.6</v>
      </c>
      <c r="F1338" t="n">
        <v>1.018</v>
      </c>
      <c r="G1338" t="n">
        <v>-300</v>
      </c>
      <c r="H1338" t="n">
        <v>0.534613</v>
      </c>
      <c r="I1338" t="n">
        <v>0.558258</v>
      </c>
      <c r="J1338" t="n">
        <v>-0.023645</v>
      </c>
      <c r="K1338" s="4">
        <f>IFERROR(J1338/I1338,"")</f>
        <v/>
      </c>
      <c r="L1338" s="4">
        <f>IFERROR((D1338-E1338)/E1338,"")</f>
        <v/>
      </c>
    </row>
    <row r="1339">
      <c r="A1339" t="inlineStr">
        <is>
          <t>2026-06-19</t>
        </is>
      </c>
      <c r="B1339" t="inlineStr">
        <is>
          <t>517000</t>
        </is>
      </c>
      <c r="C1339" t="inlineStr">
        <is>
          <t>沪港深500ETF银华</t>
        </is>
      </c>
      <c r="D1339" t="n">
        <v>13779.3</v>
      </c>
      <c r="E1339" t="n">
        <v>13779.3</v>
      </c>
      <c r="F1339" t="n">
        <v>1.013</v>
      </c>
      <c r="G1339" t="n">
        <v>0</v>
      </c>
      <c r="H1339" t="n">
        <v>1.395843</v>
      </c>
      <c r="I1339" t="n">
        <v>1.457917</v>
      </c>
      <c r="J1339" t="n">
        <v>-0.062074</v>
      </c>
      <c r="K1339" s="4">
        <f>IFERROR(J1339/I1339,"")</f>
        <v/>
      </c>
      <c r="L1339" s="4">
        <f>IFERROR((D1339-E1339)/E1339,"")</f>
        <v/>
      </c>
    </row>
    <row r="1340">
      <c r="A1340" t="inlineStr">
        <is>
          <t>2026-06-19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1.127</v>
      </c>
      <c r="G1340" t="n">
        <v>0</v>
      </c>
      <c r="H1340" t="n">
        <v>0.982115</v>
      </c>
      <c r="I1340" t="n">
        <v>0.986472</v>
      </c>
      <c r="J1340" t="n">
        <v>-0.004357</v>
      </c>
      <c r="K1340" s="4">
        <f>IFERROR(J1340/I1340,"")</f>
        <v/>
      </c>
      <c r="L1340" s="4">
        <f>IFERROR((D1340-E1340)/E1340,"")</f>
        <v/>
      </c>
    </row>
    <row r="1341">
      <c r="A1341" t="inlineStr">
        <is>
          <t>2026-06-19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E1341" t="n">
        <v>8704.030000000001</v>
      </c>
      <c r="F1341" t="n">
        <v>1.158</v>
      </c>
      <c r="G1341" t="n">
        <v>0</v>
      </c>
      <c r="H1341" t="n">
        <v>1.007927</v>
      </c>
      <c r="I1341" t="n">
        <v>1.012279</v>
      </c>
      <c r="J1341" t="n">
        <v>-0.004352</v>
      </c>
      <c r="K1341" s="4">
        <f>IFERROR(J1341/I1341,"")</f>
        <v/>
      </c>
      <c r="L1341" s="4">
        <f>IFERROR((D1341-E1341)/E1341,"")</f>
        <v/>
      </c>
    </row>
    <row r="1342">
      <c r="A1342" t="inlineStr">
        <is>
          <t>2026-06-19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0.636</v>
      </c>
      <c r="G1342" t="n">
        <v>0</v>
      </c>
      <c r="H1342" t="n">
        <v>2.223488</v>
      </c>
      <c r="I1342" t="n">
        <v>2.251456</v>
      </c>
      <c r="J1342" t="n">
        <v>-0.027968</v>
      </c>
      <c r="K1342" s="4">
        <f>IFERROR(J1342/I1342,"")</f>
        <v/>
      </c>
      <c r="L1342" s="4">
        <f>IFERROR((D1342-E1342)/E1342,"")</f>
        <v/>
      </c>
    </row>
    <row r="1343">
      <c r="A1343" t="inlineStr">
        <is>
          <t>2026-06-19</t>
        </is>
      </c>
      <c r="B1343" t="inlineStr">
        <is>
          <t>517080</t>
        </is>
      </c>
      <c r="C1343" t="inlineStr">
        <is>
          <t>沪港深500ETF汇添富</t>
        </is>
      </c>
      <c r="D1343" t="n">
        <v>18916.6</v>
      </c>
      <c r="E1343" t="n">
        <v>19316.6</v>
      </c>
      <c r="F1343" t="n">
        <v>1.007</v>
      </c>
      <c r="G1343" t="n">
        <v>-400</v>
      </c>
      <c r="H1343" t="n">
        <v>1.945182</v>
      </c>
      <c r="I1343" t="n">
        <v>1.950977</v>
      </c>
      <c r="J1343" t="n">
        <v>-0.005795</v>
      </c>
      <c r="K1343" s="4">
        <f>IFERROR(J1343/I1343,"")</f>
        <v/>
      </c>
      <c r="L1343" s="4">
        <f>IFERROR((D1343-E1343)/E1343,"")</f>
        <v/>
      </c>
    </row>
    <row r="1344">
      <c r="A1344" t="inlineStr">
        <is>
          <t>2026-06-19</t>
        </is>
      </c>
      <c r="B1344" t="inlineStr">
        <is>
          <t>517090</t>
        </is>
      </c>
      <c r="C1344" t="inlineStr">
        <is>
          <t>央企共赢ETF国泰</t>
        </is>
      </c>
      <c r="D1344" t="n">
        <v>6207.5</v>
      </c>
      <c r="E1344" t="n">
        <v>6207.5</v>
      </c>
      <c r="F1344" t="n">
        <v>1.484</v>
      </c>
      <c r="G1344" t="n">
        <v>0</v>
      </c>
      <c r="H1344" t="n">
        <v>0.921193</v>
      </c>
      <c r="I1344" t="n">
        <v>0.956217</v>
      </c>
      <c r="J1344" t="n">
        <v>-0.035024</v>
      </c>
      <c r="K1344" s="4">
        <f>IFERROR(J1344/I1344,"")</f>
        <v/>
      </c>
      <c r="L1344" s="4">
        <f>IFERROR((D1344-E1344)/E1344,"")</f>
        <v/>
      </c>
    </row>
    <row r="1345">
      <c r="A1345" t="inlineStr">
        <is>
          <t>2026-06-19</t>
        </is>
      </c>
      <c r="B1345" t="inlineStr">
        <is>
          <t>517100</t>
        </is>
      </c>
      <c r="C1345" t="inlineStr">
        <is>
          <t>沪港深500ETF富国</t>
        </is>
      </c>
      <c r="D1345" t="n">
        <v>16160.21</v>
      </c>
      <c r="E1345" t="n">
        <v>16160.21</v>
      </c>
      <c r="F1345" t="n">
        <v>1.027</v>
      </c>
      <c r="G1345" t="n">
        <v>0</v>
      </c>
      <c r="H1345" t="n">
        <v>1.659654</v>
      </c>
      <c r="I1345" t="n">
        <v>1.666118</v>
      </c>
      <c r="J1345" t="n">
        <v>-0.006464</v>
      </c>
      <c r="K1345" s="4">
        <f>IFERROR(J1345/I1345,"")</f>
        <v/>
      </c>
      <c r="L1345" s="4">
        <f>IFERROR((D1345-E1345)/E1345,"")</f>
        <v/>
      </c>
    </row>
    <row r="1346">
      <c r="A1346" t="inlineStr">
        <is>
          <t>2026-06-19</t>
        </is>
      </c>
      <c r="B1346" t="inlineStr">
        <is>
          <t>517110</t>
        </is>
      </c>
      <c r="C1346" t="inlineStr">
        <is>
          <t>创新药ETF国泰</t>
        </is>
      </c>
      <c r="D1346" t="n">
        <v>83109.85000000001</v>
      </c>
      <c r="E1346" t="n">
        <v>83709.85000000001</v>
      </c>
      <c r="F1346" t="n">
        <v>0.625</v>
      </c>
      <c r="G1346" t="n">
        <v>-600</v>
      </c>
      <c r="H1346" t="n">
        <v>5.231866</v>
      </c>
      <c r="I1346" t="n">
        <v>5.10402</v>
      </c>
      <c r="J1346" t="n">
        <v>0.127846</v>
      </c>
      <c r="K1346" s="4">
        <f>IFERROR(J1346/I1346,"")</f>
        <v/>
      </c>
      <c r="L1346" s="4">
        <f>IFERROR((D1346-E1346)/E1346,"")</f>
        <v/>
      </c>
    </row>
    <row r="1347">
      <c r="A1347" t="inlineStr">
        <is>
          <t>2026-06-19</t>
        </is>
      </c>
      <c r="B1347" t="inlineStr">
        <is>
          <t>517120</t>
        </is>
      </c>
      <c r="C1347" t="inlineStr">
        <is>
          <t>创新药ETF华泰柏瑞</t>
        </is>
      </c>
      <c r="D1347" t="n">
        <v>46096.64</v>
      </c>
      <c r="E1347" t="n">
        <v>46096.64</v>
      </c>
      <c r="F1347" t="n">
        <v>0.597</v>
      </c>
      <c r="G1347" t="n">
        <v>0</v>
      </c>
      <c r="H1347" t="n">
        <v>2.751969</v>
      </c>
      <c r="I1347" t="n">
        <v>2.678215</v>
      </c>
      <c r="J1347" t="n">
        <v>0.073754</v>
      </c>
      <c r="K1347" s="4">
        <f>IFERROR(J1347/I1347,"")</f>
        <v/>
      </c>
      <c r="L1347" s="4">
        <f>IFERROR((D1347-E1347)/E1347,"")</f>
        <v/>
      </c>
    </row>
    <row r="1348">
      <c r="A1348" t="inlineStr">
        <is>
          <t>2026-06-19</t>
        </is>
      </c>
      <c r="B1348" t="inlineStr">
        <is>
          <t>517130</t>
        </is>
      </c>
      <c r="C1348" t="inlineStr">
        <is>
          <t>云计算ETF嘉实</t>
        </is>
      </c>
      <c r="D1348" t="n">
        <v>26115.4</v>
      </c>
      <c r="E1348" t="n">
        <v>26365.4</v>
      </c>
      <c r="F1348" t="n">
        <v>0.998</v>
      </c>
      <c r="G1348" t="n">
        <v>-250</v>
      </c>
      <c r="H1348" t="n">
        <v>2.631267</v>
      </c>
      <c r="I1348" t="n">
        <v>2.605648</v>
      </c>
      <c r="J1348" t="n">
        <v>0.025619</v>
      </c>
      <c r="K1348" s="4">
        <f>IFERROR(J1348/I1348,"")</f>
        <v/>
      </c>
      <c r="L1348" s="4">
        <f>IFERROR((D1348-E1348)/E1348,"")</f>
        <v/>
      </c>
    </row>
    <row r="1349">
      <c r="A1349" t="inlineStr">
        <is>
          <t>2026-06-19</t>
        </is>
      </c>
      <c r="B1349" t="inlineStr">
        <is>
          <t>517160</t>
        </is>
      </c>
      <c r="C1349" t="inlineStr">
        <is>
          <t>长江保护ETF南方</t>
        </is>
      </c>
      <c r="D1349" t="n">
        <v>181477.75</v>
      </c>
      <c r="E1349" t="n">
        <v>181477.75</v>
      </c>
      <c r="F1349" t="n">
        <v>1.017</v>
      </c>
      <c r="G1349" t="n">
        <v>0</v>
      </c>
      <c r="H1349" t="n">
        <v>18.456287</v>
      </c>
      <c r="I1349" t="n">
        <v>18.292957</v>
      </c>
      <c r="J1349" t="n">
        <v>0.16333</v>
      </c>
      <c r="K1349" s="4">
        <f>IFERROR(J1349/I1349,"")</f>
        <v/>
      </c>
      <c r="L1349" s="4">
        <f>IFERROR((D1349-E1349)/E1349,"")</f>
        <v/>
      </c>
    </row>
    <row r="1350">
      <c r="A1350" t="inlineStr">
        <is>
          <t>2026-06-19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1.018</v>
      </c>
      <c r="G1350" t="n">
        <v>0</v>
      </c>
      <c r="H1350" t="n">
        <v>0.164222</v>
      </c>
      <c r="I1350" t="n">
        <v>0.165029</v>
      </c>
      <c r="J1350" t="n">
        <v>-0.000807</v>
      </c>
      <c r="K1350" s="4">
        <f>IFERROR(J1350/I1350,"")</f>
        <v/>
      </c>
      <c r="L1350" s="4">
        <f>IFERROR((D1350-E1350)/E1350,"")</f>
        <v/>
      </c>
    </row>
    <row r="1351">
      <c r="A1351" t="inlineStr">
        <is>
          <t>2026-06-19</t>
        </is>
      </c>
      <c r="B1351" t="inlineStr">
        <is>
          <t>517180</t>
        </is>
      </c>
      <c r="C1351" t="inlineStr">
        <is>
          <t>中国国企ETF南方</t>
        </is>
      </c>
      <c r="D1351" t="n">
        <v>8949.629999999999</v>
      </c>
      <c r="E1351" t="n">
        <v>8949.629999999999</v>
      </c>
      <c r="F1351" t="n">
        <v>1.409</v>
      </c>
      <c r="G1351" t="n">
        <v>0</v>
      </c>
      <c r="H1351" t="n">
        <v>1.261002</v>
      </c>
      <c r="I1351" t="n">
        <v>1.286061</v>
      </c>
      <c r="J1351" t="n">
        <v>-0.025059</v>
      </c>
      <c r="K1351" s="4">
        <f>IFERROR(J1351/I1351,"")</f>
        <v/>
      </c>
      <c r="L1351" s="4">
        <f>IFERROR((D1351-E1351)/E1351,"")</f>
        <v/>
      </c>
    </row>
    <row r="1352">
      <c r="A1352" t="inlineStr">
        <is>
          <t>2026-06-19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0.5639999999999999</v>
      </c>
      <c r="G1352" t="n">
        <v>0</v>
      </c>
      <c r="H1352" t="n">
        <v>0.80529</v>
      </c>
      <c r="I1352" t="n">
        <v>0.815285</v>
      </c>
      <c r="J1352" t="n">
        <v>-0.009995</v>
      </c>
      <c r="K1352" s="4">
        <f>IFERROR(J1352/I1352,"")</f>
        <v/>
      </c>
      <c r="L1352" s="4">
        <f>IFERROR((D1352-E1352)/E1352,"")</f>
        <v/>
      </c>
    </row>
    <row r="1353">
      <c r="A1353" t="inlineStr">
        <is>
          <t>2026-06-19</t>
        </is>
      </c>
      <c r="B1353" t="inlineStr">
        <is>
          <t>517300</t>
        </is>
      </c>
      <c r="C1353" t="inlineStr">
        <is>
          <t>沪港深300ETF国寿</t>
        </is>
      </c>
      <c r="D1353" t="n">
        <v>154543.45</v>
      </c>
      <c r="E1353" t="n">
        <v>154543.45</v>
      </c>
      <c r="F1353" t="n">
        <v>0.962</v>
      </c>
      <c r="G1353" t="n">
        <v>0</v>
      </c>
      <c r="H1353" t="n">
        <v>14.867079</v>
      </c>
      <c r="I1353" t="n">
        <v>14.944351</v>
      </c>
      <c r="J1353" t="n">
        <v>-0.07727199999999999</v>
      </c>
      <c r="K1353" s="4">
        <f>IFERROR(J1353/I1353,"")</f>
        <v/>
      </c>
      <c r="L1353" s="4">
        <f>IFERROR((D1353-E1353)/E1353,"")</f>
        <v/>
      </c>
    </row>
    <row r="1354">
      <c r="A1354" t="inlineStr">
        <is>
          <t>2026-06-19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180616.9</v>
      </c>
      <c r="F1354" t="n">
        <v>1.021</v>
      </c>
      <c r="G1354" t="n">
        <v>0</v>
      </c>
      <c r="H1354" t="n">
        <v>18.440986</v>
      </c>
      <c r="I1354" t="n">
        <v>18.342766</v>
      </c>
      <c r="J1354" t="n">
        <v>0.09822</v>
      </c>
      <c r="K1354" s="4">
        <f>IFERROR(J1354/I1354,"")</f>
        <v/>
      </c>
      <c r="L1354" s="4">
        <f>IFERROR((D1354-E1354)/E1354,"")</f>
        <v/>
      </c>
    </row>
    <row r="1355">
      <c r="A1355" t="inlineStr">
        <is>
          <t>2026-06-19</t>
        </is>
      </c>
      <c r="B1355" t="inlineStr">
        <is>
          <t>517350</t>
        </is>
      </c>
      <c r="C1355" t="inlineStr">
        <is>
          <t>沪港深科技ETF广发</t>
        </is>
      </c>
      <c r="D1355" t="n">
        <v>6104.2</v>
      </c>
      <c r="E1355" t="n">
        <v>6104.2</v>
      </c>
      <c r="F1355" t="n">
        <v>1.014</v>
      </c>
      <c r="G1355" t="n">
        <v>0</v>
      </c>
      <c r="H1355" t="n">
        <v>0.618966</v>
      </c>
      <c r="I1355" t="n">
        <v>0.61103</v>
      </c>
      <c r="J1355" t="n">
        <v>0.007936</v>
      </c>
      <c r="K1355" s="4">
        <f>IFERROR(J1355/I1355,"")</f>
        <v/>
      </c>
      <c r="L1355" s="4">
        <f>IFERROR((D1355-E1355)/E1355,"")</f>
        <v/>
      </c>
    </row>
    <row r="1356">
      <c r="A1356" t="inlineStr">
        <is>
          <t>2026-06-19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0.928</v>
      </c>
      <c r="G1356" t="n">
        <v>0</v>
      </c>
      <c r="H1356" t="n">
        <v>0.24669</v>
      </c>
      <c r="I1356" t="n">
        <v>0.249083</v>
      </c>
      <c r="J1356" t="n">
        <v>-0.002393</v>
      </c>
      <c r="K1356" s="4">
        <f>IFERROR(J1356/I1356,"")</f>
        <v/>
      </c>
      <c r="L1356" s="4">
        <f>IFERROR((D1356-E1356)/E1356,"")</f>
        <v/>
      </c>
    </row>
    <row r="1357">
      <c r="A1357" t="inlineStr">
        <is>
          <t>2026-06-19</t>
        </is>
      </c>
      <c r="B1357" t="inlineStr">
        <is>
          <t>517380</t>
        </is>
      </c>
      <c r="C1357" t="inlineStr">
        <is>
          <t>创新药ETF天弘</t>
        </is>
      </c>
      <c r="D1357" t="n">
        <v>216232.63</v>
      </c>
      <c r="E1357" t="n">
        <v>220832.63</v>
      </c>
      <c r="F1357" t="n">
        <v>0.661</v>
      </c>
      <c r="G1357" t="n">
        <v>-4600</v>
      </c>
      <c r="H1357" t="n">
        <v>14.597037</v>
      </c>
      <c r="I1357" t="n">
        <v>14.340998</v>
      </c>
      <c r="J1357" t="n">
        <v>0.256039</v>
      </c>
      <c r="K1357" s="4">
        <f>IFERROR(J1357/I1357,"")</f>
        <v/>
      </c>
      <c r="L1357" s="4">
        <f>IFERROR((D1357-E1357)/E1357,"")</f>
        <v/>
      </c>
    </row>
    <row r="1358">
      <c r="A1358" t="inlineStr">
        <is>
          <t>2026-06-19</t>
        </is>
      </c>
      <c r="B1358" t="inlineStr">
        <is>
          <t>517390</t>
        </is>
      </c>
      <c r="C1358" t="inlineStr">
        <is>
          <t>云计算ETF天弘</t>
        </is>
      </c>
      <c r="D1358" t="n">
        <v>13811.26</v>
      </c>
      <c r="E1358" t="n">
        <v>14011.26</v>
      </c>
      <c r="F1358" t="n">
        <v>2.015</v>
      </c>
      <c r="G1358" t="n">
        <v>-200</v>
      </c>
      <c r="H1358" t="n">
        <v>2.823269</v>
      </c>
      <c r="I1358" t="n">
        <v>2.791207</v>
      </c>
      <c r="J1358" t="n">
        <v>0.032062</v>
      </c>
      <c r="K1358" s="4">
        <f>IFERROR(J1358/I1358,"")</f>
        <v/>
      </c>
      <c r="L1358" s="4">
        <f>IFERROR((D1358-E1358)/E1358,"")</f>
        <v/>
      </c>
    </row>
    <row r="1359">
      <c r="A1359" t="inlineStr">
        <is>
          <t>2026-06-19</t>
        </is>
      </c>
      <c r="B1359" t="inlineStr">
        <is>
          <t>517400</t>
        </is>
      </c>
      <c r="C1359" t="inlineStr">
        <is>
          <t>黄金股ETF国泰</t>
        </is>
      </c>
      <c r="D1359" t="n">
        <v>84079.2</v>
      </c>
      <c r="E1359" t="n">
        <v>86079.2</v>
      </c>
      <c r="F1359" t="n">
        <v>1.447</v>
      </c>
      <c r="G1359" t="n">
        <v>-2000</v>
      </c>
      <c r="H1359" t="n">
        <v>12.45566</v>
      </c>
      <c r="I1359" t="n">
        <v>12.810901</v>
      </c>
      <c r="J1359" t="n">
        <v>-0.355241</v>
      </c>
      <c r="K1359" s="4">
        <f>IFERROR(J1359/I1359,"")</f>
        <v/>
      </c>
      <c r="L1359" s="4">
        <f>IFERROR((D1359-E1359)/E1359,"")</f>
        <v/>
      </c>
    </row>
    <row r="1360">
      <c r="A1360" t="inlineStr">
        <is>
          <t>2026-06-19</t>
        </is>
      </c>
      <c r="B1360" t="inlineStr">
        <is>
          <t>517520</t>
        </is>
      </c>
      <c r="C1360" t="inlineStr">
        <is>
          <t>黄金股ETF永赢</t>
        </is>
      </c>
      <c r="D1360" t="n">
        <v>517140.4</v>
      </c>
      <c r="E1360" t="n">
        <v>525390.4</v>
      </c>
      <c r="F1360" t="n">
        <v>1.838</v>
      </c>
      <c r="G1360" t="n">
        <v>-8250</v>
      </c>
      <c r="H1360" t="n">
        <v>96.566756</v>
      </c>
      <c r="I1360" t="n">
        <v>97.13885500000001</v>
      </c>
      <c r="J1360" t="n">
        <v>-0.572099</v>
      </c>
      <c r="K1360" s="4">
        <f>IFERROR(J1360/I1360,"")</f>
        <v/>
      </c>
      <c r="L1360" s="4">
        <f>IFERROR((D1360-E1360)/E1360,"")</f>
        <v/>
      </c>
    </row>
    <row r="1361">
      <c r="A1361" t="inlineStr">
        <is>
          <t>2026-06-19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8941.74</v>
      </c>
      <c r="E1361" t="n">
        <v>8941.74</v>
      </c>
      <c r="F1361" t="n">
        <v>0.614</v>
      </c>
      <c r="G1361" t="n">
        <v>0</v>
      </c>
      <c r="H1361" t="n">
        <v>0.549023</v>
      </c>
      <c r="I1361" t="n">
        <v>0.5597529999999999</v>
      </c>
      <c r="J1361" t="n">
        <v>-0.01073</v>
      </c>
      <c r="K1361" s="4">
        <f>IFERROR(J1361/I1361,"")</f>
        <v/>
      </c>
      <c r="L1361" s="4">
        <f>IFERROR((D1361-E1361)/E1361,"")</f>
        <v/>
      </c>
    </row>
    <row r="1362">
      <c r="A1362" t="inlineStr">
        <is>
          <t>2026-06-19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1.435</v>
      </c>
      <c r="G1362" t="n">
        <v>0</v>
      </c>
      <c r="H1362" t="n">
        <v>0.641168</v>
      </c>
      <c r="I1362" t="n">
        <v>0.630444</v>
      </c>
      <c r="J1362" t="n">
        <v>0.010724</v>
      </c>
      <c r="K1362" s="4">
        <f>IFERROR(J1362/I1362,"")</f>
        <v/>
      </c>
      <c r="L1362" s="4">
        <f>IFERROR((D1362-E1362)/E1362,"")</f>
        <v/>
      </c>
    </row>
    <row r="1363">
      <c r="A1363" t="inlineStr">
        <is>
          <t>2026-06-19</t>
        </is>
      </c>
      <c r="B1363" t="inlineStr">
        <is>
          <t>517770</t>
        </is>
      </c>
      <c r="C1363" t="inlineStr">
        <is>
          <t>游戏传媒ETF浦银</t>
        </is>
      </c>
      <c r="D1363" t="n">
        <v>16294.78</v>
      </c>
      <c r="E1363" t="n">
        <v>16494.78</v>
      </c>
      <c r="F1363" t="n">
        <v>0.909</v>
      </c>
      <c r="G1363" t="n">
        <v>-200</v>
      </c>
      <c r="H1363" t="n">
        <v>1.499375</v>
      </c>
      <c r="I1363" t="n">
        <v>1.513444</v>
      </c>
      <c r="J1363" t="n">
        <v>-0.014069</v>
      </c>
      <c r="K1363" s="4">
        <f>IFERROR(J1363/I1363,"")</f>
        <v/>
      </c>
      <c r="L1363" s="4">
        <f>IFERROR((D1363-E1363)/E1363,"")</f>
        <v/>
      </c>
    </row>
    <row r="1364">
      <c r="A1364" t="inlineStr">
        <is>
          <t>2026-06-19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26553.97</v>
      </c>
      <c r="E1364" t="n">
        <v>26553.97</v>
      </c>
      <c r="F1364" t="n">
        <v>1.138</v>
      </c>
      <c r="G1364" t="n">
        <v>0</v>
      </c>
      <c r="H1364" t="n">
        <v>3.021842</v>
      </c>
      <c r="I1364" t="n">
        <v>2.940262</v>
      </c>
      <c r="J1364" t="n">
        <v>0.08158</v>
      </c>
      <c r="K1364" s="4">
        <f>IFERROR(J1364/I1364,"")</f>
        <v/>
      </c>
      <c r="L1364" s="4">
        <f>IFERROR((D1364-E1364)/E1364,"")</f>
        <v/>
      </c>
    </row>
    <row r="1365">
      <c r="A1365" t="inlineStr">
        <is>
          <t>2026-06-19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1.411</v>
      </c>
      <c r="G1365" t="n">
        <v>0</v>
      </c>
      <c r="H1365" t="n">
        <v>0.538793</v>
      </c>
      <c r="I1365" t="n">
        <v>0.527719</v>
      </c>
      <c r="J1365" t="n">
        <v>0.011074</v>
      </c>
      <c r="K1365" s="4">
        <f>IFERROR(J1365/I1365,"")</f>
        <v/>
      </c>
      <c r="L1365" s="4">
        <f>IFERROR((D1365-E1365)/E1365,"")</f>
        <v/>
      </c>
    </row>
    <row r="1366">
      <c r="A1366" t="inlineStr">
        <is>
          <t>2026-06-19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5533.71</v>
      </c>
      <c r="E1366" t="n">
        <v>5333.71</v>
      </c>
      <c r="F1366" t="n">
        <v>0.721</v>
      </c>
      <c r="G1366" t="n">
        <v>200</v>
      </c>
      <c r="H1366" t="n">
        <v>0.384561</v>
      </c>
      <c r="I1366" t="n">
        <v>0.390961</v>
      </c>
      <c r="J1366" t="n">
        <v>-0.0064</v>
      </c>
      <c r="K1366" s="4">
        <f>IFERROR(J1366/I1366,"")</f>
        <v/>
      </c>
      <c r="L1366" s="4">
        <f>IFERROR((D1366-E1366)/E1366,"")</f>
        <v/>
      </c>
    </row>
    <row r="1367">
      <c r="A1367" t="inlineStr">
        <is>
          <t>2026-06-19</t>
        </is>
      </c>
      <c r="B1367" t="inlineStr">
        <is>
          <t>517900</t>
        </is>
      </c>
      <c r="C1367" t="inlineStr">
        <is>
          <t>银行AH优选ETF招商</t>
        </is>
      </c>
      <c r="D1367" t="n">
        <v>48899.35</v>
      </c>
      <c r="E1367" t="n">
        <v>48899.35</v>
      </c>
      <c r="F1367" t="n">
        <v>1.442</v>
      </c>
      <c r="G1367" t="n">
        <v>0</v>
      </c>
      <c r="H1367" t="n">
        <v>7.051286</v>
      </c>
      <c r="I1367" t="n">
        <v>7.212653</v>
      </c>
      <c r="J1367" t="n">
        <v>-0.161367</v>
      </c>
      <c r="K1367" s="4">
        <f>IFERROR(J1367/I1367,"")</f>
        <v/>
      </c>
      <c r="L1367" s="4">
        <f>IFERROR((D1367-E1367)/E1367,"")</f>
        <v/>
      </c>
    </row>
    <row r="1368">
      <c r="A1368" t="inlineStr">
        <is>
          <t>2026-06-19</t>
        </is>
      </c>
      <c r="B1368" t="inlineStr">
        <is>
          <t>517950</t>
        </is>
      </c>
      <c r="C1368" t="inlineStr">
        <is>
          <t>沪深港科技50ETF交银</t>
        </is>
      </c>
      <c r="D1368" t="n">
        <v>6062.32</v>
      </c>
      <c r="E1368" t="n">
        <v>6062.32</v>
      </c>
      <c r="F1368" t="n">
        <v>1.282</v>
      </c>
      <c r="G1368" t="n">
        <v>0</v>
      </c>
      <c r="H1368" t="n">
        <v>0.77719</v>
      </c>
      <c r="I1368" t="n">
        <v>0.7952900000000001</v>
      </c>
      <c r="J1368" t="n">
        <v>-0.0181</v>
      </c>
      <c r="K1368" s="4">
        <f>IFERROR(J1368/I1368,"")</f>
        <v/>
      </c>
      <c r="L1368" s="4">
        <f>IFERROR((D1368-E1368)/E1368,"")</f>
        <v/>
      </c>
    </row>
    <row r="1369">
      <c r="A1369" t="inlineStr">
        <is>
          <t>2026-06-19</t>
        </is>
      </c>
      <c r="B1369" t="inlineStr">
        <is>
          <t>517990</t>
        </is>
      </c>
      <c r="C1369" t="inlineStr">
        <is>
          <t>沪港深医药ETF招商</t>
        </is>
      </c>
      <c r="D1369" t="n">
        <v>4798.79</v>
      </c>
      <c r="E1369" t="n">
        <v>4798.79</v>
      </c>
      <c r="F1369" t="n">
        <v>0.749</v>
      </c>
      <c r="G1369" t="n">
        <v>0</v>
      </c>
      <c r="H1369" t="n">
        <v>0.359429</v>
      </c>
      <c r="I1369" t="n">
        <v>0.35511</v>
      </c>
      <c r="J1369" t="n">
        <v>0.004319</v>
      </c>
      <c r="K1369" s="4">
        <f>IFERROR(J1369/I1369,"")</f>
        <v/>
      </c>
      <c r="L1369" s="4">
        <f>IFERROR((D1369-E1369)/E1369,"")</f>
        <v/>
      </c>
    </row>
    <row r="1370">
      <c r="A1370" t="inlineStr">
        <is>
          <t>2026-06-19</t>
        </is>
      </c>
      <c r="B1370" t="inlineStr">
        <is>
          <t>518600</t>
        </is>
      </c>
      <c r="C1370" t="inlineStr">
        <is>
          <t>金ETF广发</t>
        </is>
      </c>
      <c r="D1370" t="n">
        <v>85771.63</v>
      </c>
      <c r="E1370" t="n">
        <v>82231.63</v>
      </c>
      <c r="F1370" t="n">
        <v>9.284000000000001</v>
      </c>
      <c r="G1370" t="n">
        <v>3540</v>
      </c>
      <c r="H1370" t="n">
        <v>76.34385</v>
      </c>
      <c r="I1370" t="n">
        <v>75.082931</v>
      </c>
      <c r="J1370" t="n">
        <v>1.260919</v>
      </c>
      <c r="K1370" s="4">
        <f>IFERROR(J1370/I1370,"")</f>
        <v/>
      </c>
      <c r="L1370" s="4">
        <f>IFERROR((D1370-E1370)/E1370,"")</f>
        <v/>
      </c>
    </row>
    <row r="1371">
      <c r="A1371" t="inlineStr">
        <is>
          <t>2026-06-19</t>
        </is>
      </c>
      <c r="B1371" t="inlineStr">
        <is>
          <t>518660</t>
        </is>
      </c>
      <c r="C1371" t="inlineStr">
        <is>
          <t>黄金ETF工银</t>
        </is>
      </c>
      <c r="D1371" t="n">
        <v>94395.27</v>
      </c>
      <c r="E1371" t="n">
        <v>94305.27</v>
      </c>
      <c r="F1371" t="n">
        <v>8.930999999999999</v>
      </c>
      <c r="G1371" t="n">
        <v>90</v>
      </c>
      <c r="H1371" t="n">
        <v>84.224034</v>
      </c>
      <c r="I1371" t="n">
        <v>84.597207</v>
      </c>
      <c r="J1371" t="n">
        <v>-0.373173</v>
      </c>
      <c r="K1371" s="4">
        <f>IFERROR(J1371/I1371,"")</f>
        <v/>
      </c>
      <c r="L1371" s="4">
        <f>IFERROR((D1371-E1371)/E1371,"")</f>
        <v/>
      </c>
    </row>
    <row r="1372">
      <c r="A1372" t="inlineStr">
        <is>
          <t>2026-06-19</t>
        </is>
      </c>
      <c r="B1372" t="inlineStr">
        <is>
          <t>518680</t>
        </is>
      </c>
      <c r="C1372" t="inlineStr">
        <is>
          <t>金ETF富国</t>
        </is>
      </c>
      <c r="D1372" t="n">
        <v>79086.95</v>
      </c>
      <c r="E1372" t="n">
        <v>79496.95</v>
      </c>
      <c r="F1372" t="n">
        <v>9.324</v>
      </c>
      <c r="G1372" t="n">
        <v>-410</v>
      </c>
      <c r="H1372" t="n">
        <v>74.122958</v>
      </c>
      <c r="I1372" t="n">
        <v>74.47214200000001</v>
      </c>
      <c r="J1372" t="n">
        <v>-0.349184</v>
      </c>
      <c r="K1372" s="4">
        <f>IFERROR(J1372/I1372,"")</f>
        <v/>
      </c>
      <c r="L1372" s="4">
        <f>IFERROR((D1372-E1372)/E1372,"")</f>
        <v/>
      </c>
    </row>
    <row r="1373">
      <c r="A1373" t="inlineStr">
        <is>
          <t>2026-06-19</t>
        </is>
      </c>
      <c r="B1373" t="inlineStr">
        <is>
          <t>518800</t>
        </is>
      </c>
      <c r="C1373" t="inlineStr">
        <is>
          <t>黄金ETF国泰</t>
        </is>
      </c>
      <c r="D1373" t="n">
        <v>378247.92</v>
      </c>
      <c r="E1373" t="n">
        <v>379477.92</v>
      </c>
      <c r="F1373" t="n">
        <v>9.339</v>
      </c>
      <c r="G1373" t="n">
        <v>-1230</v>
      </c>
      <c r="H1373" t="n">
        <v>354.394431</v>
      </c>
      <c r="I1373" t="n">
        <v>355.96424</v>
      </c>
      <c r="J1373" t="n">
        <v>-1.569809</v>
      </c>
      <c r="K1373" s="4">
        <f>IFERROR(J1373/I1373,"")</f>
        <v/>
      </c>
      <c r="L1373" s="4">
        <f>IFERROR((D1373-E1373)/E1373,"")</f>
        <v/>
      </c>
    </row>
    <row r="1374">
      <c r="A1374" t="inlineStr">
        <is>
          <t>2026-06-19</t>
        </is>
      </c>
      <c r="B1374" t="inlineStr">
        <is>
          <t>518850</t>
        </is>
      </c>
      <c r="C1374" t="inlineStr">
        <is>
          <t>黄金ETF华夏</t>
        </is>
      </c>
      <c r="D1374" t="n">
        <v>179107.87</v>
      </c>
      <c r="E1374" t="n">
        <v>179557.87</v>
      </c>
      <c r="F1374" t="n">
        <v>8.992000000000001</v>
      </c>
      <c r="G1374" t="n">
        <v>-450</v>
      </c>
      <c r="H1374" t="n">
        <v>161.458436</v>
      </c>
      <c r="I1374" t="n">
        <v>162.428439</v>
      </c>
      <c r="J1374" t="n">
        <v>-0.9700029999999999</v>
      </c>
      <c r="K1374" s="4">
        <f>IFERROR(J1374/I1374,"")</f>
        <v/>
      </c>
      <c r="L1374" s="4">
        <f>IFERROR((D1374-E1374)/E1374,"")</f>
        <v/>
      </c>
    </row>
    <row r="1375">
      <c r="A1375" t="inlineStr">
        <is>
          <t>2026-06-19</t>
        </is>
      </c>
      <c r="B1375" t="inlineStr">
        <is>
          <t>518860</t>
        </is>
      </c>
      <c r="C1375" t="inlineStr">
        <is>
          <t>上海金ETF建信</t>
        </is>
      </c>
      <c r="D1375" t="n">
        <v>48885.98</v>
      </c>
      <c r="E1375" t="n">
        <v>49095.98</v>
      </c>
      <c r="F1375" t="n">
        <v>8.936999999999999</v>
      </c>
      <c r="G1375" t="n">
        <v>-210</v>
      </c>
      <c r="H1375" t="n">
        <v>43.87708</v>
      </c>
      <c r="I1375" t="n">
        <v>44.098012</v>
      </c>
      <c r="J1375" t="n">
        <v>-0.220932</v>
      </c>
      <c r="K1375" s="4">
        <f>IFERROR(J1375/I1375,"")</f>
        <v/>
      </c>
      <c r="L1375" s="4">
        <f>IFERROR((D1375-E1375)/E1375,"")</f>
        <v/>
      </c>
    </row>
    <row r="1376">
      <c r="A1376" t="inlineStr">
        <is>
          <t>2026-06-19</t>
        </is>
      </c>
      <c r="B1376" t="inlineStr">
        <is>
          <t>518880</t>
        </is>
      </c>
      <c r="C1376" t="inlineStr">
        <is>
          <t>黄金ETF华安</t>
        </is>
      </c>
      <c r="D1376" t="n">
        <v>1082864.08</v>
      </c>
      <c r="E1376" t="n">
        <v>1085814.08</v>
      </c>
      <c r="F1376" t="n">
        <v>8.907999999999999</v>
      </c>
      <c r="G1376" t="n">
        <v>-2950</v>
      </c>
      <c r="H1376" t="n">
        <v>967.243187</v>
      </c>
      <c r="I1376" t="n">
        <v>973.190666</v>
      </c>
      <c r="J1376" t="n">
        <v>-5.947479</v>
      </c>
      <c r="K1376" s="4">
        <f>IFERROR(J1376/I1376,"")</f>
        <v/>
      </c>
      <c r="L1376" s="4">
        <f>IFERROR((D1376-E1376)/E1376,"")</f>
        <v/>
      </c>
    </row>
    <row r="1377">
      <c r="A1377" t="inlineStr">
        <is>
          <t>2026-06-19</t>
        </is>
      </c>
      <c r="B1377" t="inlineStr">
        <is>
          <t>518890</t>
        </is>
      </c>
      <c r="C1377" t="inlineStr">
        <is>
          <t>上海金ETF中银</t>
        </is>
      </c>
      <c r="D1377" t="n">
        <v>40675.48</v>
      </c>
      <c r="E1377" t="n">
        <v>40825.48</v>
      </c>
      <c r="F1377" t="n">
        <v>8.922000000000001</v>
      </c>
      <c r="G1377" t="n">
        <v>-150</v>
      </c>
      <c r="H1377" t="n">
        <v>36.424497</v>
      </c>
      <c r="I1377" t="n">
        <v>36.624542</v>
      </c>
      <c r="J1377" t="n">
        <v>-0.200045</v>
      </c>
      <c r="K1377" s="4">
        <f>IFERROR(J1377/I1377,"")</f>
        <v/>
      </c>
      <c r="L1377" s="4">
        <f>IFERROR((D1377-E1377)/E1377,"")</f>
        <v/>
      </c>
    </row>
    <row r="1378">
      <c r="A1378" t="inlineStr">
        <is>
          <t>2026-06-19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198080.5</v>
      </c>
      <c r="E1378" t="n">
        <v>196730.5</v>
      </c>
      <c r="F1378" t="n">
        <v>1.201</v>
      </c>
      <c r="G1378" t="n">
        <v>1350</v>
      </c>
      <c r="H1378" t="n">
        <v>23.627333</v>
      </c>
      <c r="I1378" t="n">
        <v>23.273218</v>
      </c>
      <c r="J1378" t="n">
        <v>0.354115</v>
      </c>
      <c r="K1378" s="4">
        <f>IFERROR(J1378/I1378,"")</f>
        <v/>
      </c>
      <c r="L1378" s="4">
        <f>IFERROR((D1378-E1378)/E1378,"")</f>
        <v/>
      </c>
    </row>
    <row r="1379">
      <c r="A1379" t="inlineStr">
        <is>
          <t>2026-06-19</t>
        </is>
      </c>
      <c r="B1379" t="inlineStr">
        <is>
          <t>520510</t>
        </is>
      </c>
      <c r="C1379" t="inlineStr">
        <is>
          <t>港股通医疗ETF华夏</t>
        </is>
      </c>
      <c r="D1379" t="n">
        <v>22572.8</v>
      </c>
      <c r="E1379" t="n">
        <v>22572.8</v>
      </c>
      <c r="F1379" t="n">
        <v>0.723</v>
      </c>
      <c r="G1379" t="n">
        <v>0</v>
      </c>
      <c r="H1379" t="n">
        <v>1.632013</v>
      </c>
      <c r="I1379" t="n">
        <v>1.616212</v>
      </c>
      <c r="J1379" t="n">
        <v>0.015801</v>
      </c>
      <c r="K1379" s="4">
        <f>IFERROR(J1379/I1379,"")</f>
        <v/>
      </c>
      <c r="L1379" s="4">
        <f>IFERROR((D1379-E1379)/E1379,"")</f>
        <v/>
      </c>
    </row>
    <row r="1380">
      <c r="A1380" t="inlineStr">
        <is>
          <t>2026-06-19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5410.6</v>
      </c>
      <c r="E1380" t="n">
        <v>5410.6</v>
      </c>
      <c r="F1380" t="n">
        <v>0.929</v>
      </c>
      <c r="G1380" t="n">
        <v>0</v>
      </c>
      <c r="H1380" t="n">
        <v>0.502645</v>
      </c>
      <c r="I1380" t="n">
        <v>0.51563</v>
      </c>
      <c r="J1380" t="n">
        <v>-0.012985</v>
      </c>
      <c r="K1380" s="4">
        <f>IFERROR(J1380/I1380,"")</f>
        <v/>
      </c>
      <c r="L1380" s="4">
        <f>IFERROR((D1380-E1380)/E1380,"")</f>
        <v/>
      </c>
    </row>
    <row r="1381">
      <c r="A1381" t="inlineStr">
        <is>
          <t>2026-06-19</t>
        </is>
      </c>
      <c r="B1381" t="inlineStr">
        <is>
          <t>520530</t>
        </is>
      </c>
      <c r="C1381" t="inlineStr">
        <is>
          <t>港股通科技ETF东财</t>
        </is>
      </c>
      <c r="D1381" t="n">
        <v>26277.6</v>
      </c>
      <c r="E1381" t="n">
        <v>26277.6</v>
      </c>
      <c r="F1381" t="n">
        <v>0.789</v>
      </c>
      <c r="G1381" t="n">
        <v>0</v>
      </c>
      <c r="H1381" t="n">
        <v>2.073303</v>
      </c>
      <c r="I1381" t="n">
        <v>2.107464</v>
      </c>
      <c r="J1381" t="n">
        <v>-0.034161</v>
      </c>
      <c r="K1381" s="4">
        <f>IFERROR(J1381/I1381,"")</f>
        <v/>
      </c>
      <c r="L1381" s="4">
        <f>IFERROR((D1381-E1381)/E1381,"")</f>
        <v/>
      </c>
    </row>
    <row r="1382">
      <c r="A1382" t="inlineStr">
        <is>
          <t>2026-06-19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104552.4</v>
      </c>
      <c r="E1382" t="n">
        <v>104352.4</v>
      </c>
      <c r="F1382" t="n">
        <v>1.077</v>
      </c>
      <c r="G1382" t="n">
        <v>200</v>
      </c>
      <c r="H1382" t="n">
        <v>11.238753</v>
      </c>
      <c r="I1382" t="n">
        <v>11.551811</v>
      </c>
      <c r="J1382" t="n">
        <v>-0.313058</v>
      </c>
      <c r="K1382" s="4">
        <f>IFERROR(J1382/I1382,"")</f>
        <v/>
      </c>
      <c r="L1382" s="4">
        <f>IFERROR((D1382-E1382)/E1382,"")</f>
        <v/>
      </c>
    </row>
    <row r="1383">
      <c r="A1383" t="inlineStr">
        <is>
          <t>2026-06-19</t>
        </is>
      </c>
      <c r="B1383" t="inlineStr">
        <is>
          <t>520560</t>
        </is>
      </c>
      <c r="C1383" t="inlineStr">
        <is>
          <t>香港大盘30ETF华宝</t>
        </is>
      </c>
      <c r="D1383" t="n">
        <v>70041.89999999999</v>
      </c>
      <c r="E1383" t="n">
        <v>70041.89999999999</v>
      </c>
      <c r="F1383" t="n">
        <v>0.774</v>
      </c>
      <c r="G1383" t="n">
        <v>0</v>
      </c>
      <c r="H1383" t="n">
        <v>5.421243</v>
      </c>
      <c r="I1383" t="n">
        <v>5.547318</v>
      </c>
      <c r="J1383" t="n">
        <v>-0.126075</v>
      </c>
      <c r="K1383" s="4">
        <f>IFERROR(J1383/I1383,"")</f>
        <v/>
      </c>
      <c r="L1383" s="4">
        <f>IFERROR((D1383-E1383)/E1383,"")</f>
        <v/>
      </c>
    </row>
    <row r="1384">
      <c r="A1384" t="inlineStr">
        <is>
          <t>2026-06-19</t>
        </is>
      </c>
      <c r="B1384" t="inlineStr">
        <is>
          <t>520570</t>
        </is>
      </c>
      <c r="C1384" t="inlineStr">
        <is>
          <t>恒生科技ETF南方</t>
        </is>
      </c>
      <c r="D1384" t="n">
        <v>361687.6</v>
      </c>
      <c r="E1384" t="n">
        <v>361687.6</v>
      </c>
      <c r="F1384" t="n">
        <v>0.733</v>
      </c>
      <c r="G1384" t="n">
        <v>0</v>
      </c>
      <c r="H1384" t="n">
        <v>26.511701</v>
      </c>
      <c r="I1384" t="n">
        <v>26.981895</v>
      </c>
      <c r="J1384" t="n">
        <v>-0.470194</v>
      </c>
      <c r="K1384" s="4">
        <f>IFERROR(J1384/I1384,"")</f>
        <v/>
      </c>
      <c r="L1384" s="4">
        <f>IFERROR((D1384-E1384)/E1384,"")</f>
        <v/>
      </c>
    </row>
    <row r="1385">
      <c r="A1385" t="inlineStr">
        <is>
          <t>2026-06-19</t>
        </is>
      </c>
      <c r="B1385" t="inlineStr">
        <is>
          <t>520580</t>
        </is>
      </c>
      <c r="C1385" t="inlineStr">
        <is>
          <t>新兴亚洲ETF招商</t>
        </is>
      </c>
      <c r="D1385" t="n">
        <v>29498.39</v>
      </c>
      <c r="E1385" t="n">
        <v>29498.39</v>
      </c>
      <c r="F1385" t="n">
        <v>0.968</v>
      </c>
      <c r="G1385" t="n">
        <v>0</v>
      </c>
      <c r="H1385" t="n">
        <v>2.855444</v>
      </c>
      <c r="I1385" t="n">
        <v>2.849544</v>
      </c>
      <c r="J1385" t="n">
        <v>0.0059</v>
      </c>
      <c r="K1385" s="4">
        <f>IFERROR(J1385/I1385,"")</f>
        <v/>
      </c>
      <c r="L1385" s="4">
        <f>IFERROR((D1385-E1385)/E1385,"")</f>
        <v/>
      </c>
    </row>
    <row r="1386">
      <c r="A1386" t="inlineStr">
        <is>
          <t>2026-06-19</t>
        </is>
      </c>
      <c r="B1386" t="inlineStr">
        <is>
          <t>520590</t>
        </is>
      </c>
      <c r="C1386" t="inlineStr">
        <is>
          <t>恒生科技ETF鹏华</t>
        </is>
      </c>
      <c r="D1386" t="n">
        <v>22223.5</v>
      </c>
      <c r="E1386" t="n">
        <v>22223.5</v>
      </c>
      <c r="F1386" t="n">
        <v>0.787</v>
      </c>
      <c r="G1386" t="n">
        <v>0</v>
      </c>
      <c r="H1386" t="n">
        <v>1.748989</v>
      </c>
      <c r="I1386" t="n">
        <v>1.77788</v>
      </c>
      <c r="J1386" t="n">
        <v>-0.028891</v>
      </c>
      <c r="K1386" s="4">
        <f>IFERROR(J1386/I1386,"")</f>
        <v/>
      </c>
      <c r="L1386" s="4">
        <f>IFERROR((D1386-E1386)/E1386,"")</f>
        <v/>
      </c>
    </row>
    <row r="1387">
      <c r="A1387" t="inlineStr">
        <is>
          <t>2026-06-19</t>
        </is>
      </c>
      <c r="B1387" t="inlineStr">
        <is>
          <t>520600</t>
        </is>
      </c>
      <c r="C1387" t="inlineStr">
        <is>
          <t>港股通汽车ETF广发</t>
        </is>
      </c>
      <c r="D1387" t="n">
        <v>38336.8</v>
      </c>
      <c r="E1387" t="n">
        <v>38336.8</v>
      </c>
      <c r="F1387" t="n">
        <v>1.077</v>
      </c>
      <c r="G1387" t="n">
        <v>0</v>
      </c>
      <c r="H1387" t="n">
        <v>4.128873</v>
      </c>
      <c r="I1387" t="n">
        <v>4.236216</v>
      </c>
      <c r="J1387" t="n">
        <v>-0.107343</v>
      </c>
      <c r="K1387" s="4">
        <f>IFERROR(J1387/I1387,"")</f>
        <v/>
      </c>
      <c r="L1387" s="4">
        <f>IFERROR((D1387-E1387)/E1387,"")</f>
        <v/>
      </c>
    </row>
    <row r="1388">
      <c r="A1388" t="inlineStr">
        <is>
          <t>2026-06-19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28696.3</v>
      </c>
      <c r="E1388" t="n">
        <v>28696.3</v>
      </c>
      <c r="F1388" t="n">
        <v>0.895</v>
      </c>
      <c r="G1388" t="n">
        <v>0</v>
      </c>
      <c r="H1388" t="n">
        <v>2.568319</v>
      </c>
      <c r="I1388" t="n">
        <v>2.628581</v>
      </c>
      <c r="J1388" t="n">
        <v>-0.060262</v>
      </c>
      <c r="K1388" s="4">
        <f>IFERROR(J1388/I1388,"")</f>
        <v/>
      </c>
      <c r="L1388" s="4">
        <f>IFERROR((D1388-E1388)/E1388,"")</f>
        <v/>
      </c>
    </row>
    <row r="1389">
      <c r="A1389" t="inlineStr">
        <is>
          <t>2026-06-19</t>
        </is>
      </c>
      <c r="B1389" t="inlineStr">
        <is>
          <t>520620</t>
        </is>
      </c>
      <c r="C1389" t="inlineStr">
        <is>
          <t>恒生消费ETF嘉实</t>
        </is>
      </c>
      <c r="D1389" t="n">
        <v>34940.9</v>
      </c>
      <c r="E1389" t="n">
        <v>34940.9</v>
      </c>
      <c r="F1389" t="n">
        <v>0.79</v>
      </c>
      <c r="G1389" t="n">
        <v>0</v>
      </c>
      <c r="H1389" t="n">
        <v>2.760331</v>
      </c>
      <c r="I1389" t="n">
        <v>2.833707</v>
      </c>
      <c r="J1389" t="n">
        <v>-0.073376</v>
      </c>
      <c r="K1389" s="4">
        <f>IFERROR(J1389/I1389,"")</f>
        <v/>
      </c>
      <c r="L1389" s="4">
        <f>IFERROR((D1389-E1389)/E1389,"")</f>
        <v/>
      </c>
    </row>
    <row r="1390">
      <c r="A1390" t="inlineStr">
        <is>
          <t>2026-06-19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44711</v>
      </c>
      <c r="E1390" t="n">
        <v>44561</v>
      </c>
      <c r="F1390" t="n">
        <v>0.644</v>
      </c>
      <c r="G1390" t="n">
        <v>150</v>
      </c>
      <c r="H1390" t="n">
        <v>2.869728</v>
      </c>
      <c r="I1390" t="n">
        <v>2.954394</v>
      </c>
      <c r="J1390" t="n">
        <v>-0.08466600000000001</v>
      </c>
      <c r="K1390" s="4">
        <f>IFERROR(J1390/I1390,"")</f>
        <v/>
      </c>
      <c r="L1390" s="4">
        <f>IFERROR((D1390-E1390)/E1390,"")</f>
        <v/>
      </c>
    </row>
    <row r="1391">
      <c r="A1391" t="inlineStr">
        <is>
          <t>2026-06-19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232775.5</v>
      </c>
      <c r="E1391" t="n">
        <v>232775.5</v>
      </c>
      <c r="F1391" t="n">
        <v>0.587</v>
      </c>
      <c r="G1391" t="n">
        <v>0</v>
      </c>
      <c r="H1391" t="n">
        <v>13.663922</v>
      </c>
      <c r="I1391" t="n">
        <v>14.063498</v>
      </c>
      <c r="J1391" t="n">
        <v>-0.399576</v>
      </c>
      <c r="K1391" s="4">
        <f>IFERROR(J1391/I1391,"")</f>
        <v/>
      </c>
      <c r="L1391" s="4">
        <f>IFERROR((D1391-E1391)/E1391,"")</f>
        <v/>
      </c>
    </row>
    <row r="1392">
      <c r="A1392" t="inlineStr">
        <is>
          <t>2026-06-19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238648.55</v>
      </c>
      <c r="E1392" t="n">
        <v>238648.55</v>
      </c>
      <c r="F1392" t="n">
        <v>0.963</v>
      </c>
      <c r="G1392" t="n">
        <v>0</v>
      </c>
      <c r="H1392" t="n">
        <v>22.981855</v>
      </c>
      <c r="I1392" t="n">
        <v>23.578477</v>
      </c>
      <c r="J1392" t="n">
        <v>-0.596622</v>
      </c>
      <c r="K1392" s="4">
        <f>IFERROR(J1392/I1392,"")</f>
        <v/>
      </c>
      <c r="L1392" s="4">
        <f>IFERROR((D1392-E1392)/E1392,"")</f>
        <v/>
      </c>
    </row>
    <row r="1393">
      <c r="A1393" t="inlineStr">
        <is>
          <t>2026-06-19</t>
        </is>
      </c>
      <c r="B1393" t="inlineStr">
        <is>
          <t>520670</t>
        </is>
      </c>
      <c r="C1393" t="inlineStr">
        <is>
          <t>港股通科技ETF嘉实</t>
        </is>
      </c>
      <c r="D1393" t="n">
        <v>23842.81</v>
      </c>
      <c r="E1393" t="n">
        <v>23842.81</v>
      </c>
      <c r="F1393" t="n">
        <v>0.773</v>
      </c>
      <c r="G1393" t="n">
        <v>0</v>
      </c>
      <c r="H1393" t="n">
        <v>1.843049</v>
      </c>
      <c r="I1393" t="n">
        <v>1.885966</v>
      </c>
      <c r="J1393" t="n">
        <v>-0.042917</v>
      </c>
      <c r="K1393" s="4">
        <f>IFERROR(J1393/I1393,"")</f>
        <v/>
      </c>
      <c r="L1393" s="4">
        <f>IFERROR((D1393-E1393)/E1393,"")</f>
        <v/>
      </c>
    </row>
    <row r="1394">
      <c r="A1394" t="inlineStr">
        <is>
          <t>2026-06-19</t>
        </is>
      </c>
      <c r="B1394" t="inlineStr">
        <is>
          <t>520680</t>
        </is>
      </c>
      <c r="C1394" t="inlineStr">
        <is>
          <t>港股通汽车ETF南方</t>
        </is>
      </c>
      <c r="D1394" t="n">
        <v>6636.9</v>
      </c>
      <c r="E1394" t="n">
        <v>6636.9</v>
      </c>
      <c r="F1394" t="n">
        <v>0.867</v>
      </c>
      <c r="G1394" t="n">
        <v>0</v>
      </c>
      <c r="H1394" t="n">
        <v>0.575419</v>
      </c>
      <c r="I1394" t="n">
        <v>0.590684</v>
      </c>
      <c r="J1394" t="n">
        <v>-0.015265</v>
      </c>
      <c r="K1394" s="4">
        <f>IFERROR(J1394/I1394,"")</f>
        <v/>
      </c>
      <c r="L1394" s="4">
        <f>IFERROR((D1394-E1394)/E1394,"")</f>
        <v/>
      </c>
    </row>
    <row r="1395">
      <c r="A1395" t="inlineStr">
        <is>
          <t>2026-06-19</t>
        </is>
      </c>
      <c r="B1395" t="inlineStr">
        <is>
          <t>520690</t>
        </is>
      </c>
      <c r="C1395" t="inlineStr">
        <is>
          <t>港股创新药ETF博时</t>
        </is>
      </c>
      <c r="D1395" t="n">
        <v>75345.39999999999</v>
      </c>
      <c r="E1395" t="n">
        <v>75345.39999999999</v>
      </c>
      <c r="F1395" t="n">
        <v>0.625</v>
      </c>
      <c r="G1395" t="n">
        <v>0</v>
      </c>
      <c r="H1395" t="n">
        <v>4.709088</v>
      </c>
      <c r="I1395" t="n">
        <v>4.678949</v>
      </c>
      <c r="J1395" t="n">
        <v>0.030139</v>
      </c>
      <c r="K1395" s="4">
        <f>IFERROR(J1395/I1395,"")</f>
        <v/>
      </c>
      <c r="L1395" s="4">
        <f>IFERROR((D1395-E1395)/E1395,"")</f>
        <v/>
      </c>
    </row>
    <row r="1396">
      <c r="A1396" t="inlineStr">
        <is>
          <t>2026-06-19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54607.6</v>
      </c>
      <c r="E1396" t="n">
        <v>54607.6</v>
      </c>
      <c r="F1396" t="n">
        <v>1.231</v>
      </c>
      <c r="G1396" t="n">
        <v>0</v>
      </c>
      <c r="H1396" t="n">
        <v>6.722196</v>
      </c>
      <c r="I1396" t="n">
        <v>6.60752</v>
      </c>
      <c r="J1396" t="n">
        <v>0.114676</v>
      </c>
      <c r="K1396" s="4">
        <f>IFERROR(J1396/I1396,"")</f>
        <v/>
      </c>
      <c r="L1396" s="4">
        <f>IFERROR((D1396-E1396)/E1396,"")</f>
        <v/>
      </c>
    </row>
    <row r="1397">
      <c r="A1397" t="inlineStr">
        <is>
          <t>2026-06-19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10902.9</v>
      </c>
      <c r="E1397" t="n">
        <v>10902.9</v>
      </c>
      <c r="F1397" t="n">
        <v>1.029</v>
      </c>
      <c r="G1397" t="n">
        <v>0</v>
      </c>
      <c r="H1397" t="n">
        <v>1.121908</v>
      </c>
      <c r="I1397" t="n">
        <v>1.12627</v>
      </c>
      <c r="J1397" t="n">
        <v>-0.004362</v>
      </c>
      <c r="K1397" s="4">
        <f>IFERROR(J1397/I1397,"")</f>
        <v/>
      </c>
      <c r="L1397" s="4">
        <f>IFERROR((D1397-E1397)/E1397,"")</f>
        <v/>
      </c>
    </row>
    <row r="1398">
      <c r="A1398" t="inlineStr">
        <is>
          <t>2026-06-19</t>
        </is>
      </c>
      <c r="B1398" t="inlineStr">
        <is>
          <t>520720</t>
        </is>
      </c>
      <c r="C1398" t="inlineStr">
        <is>
          <t>港股汽车ETF国泰</t>
        </is>
      </c>
      <c r="D1398" t="n">
        <v>13394.2</v>
      </c>
      <c r="E1398" t="n">
        <v>13394.2</v>
      </c>
      <c r="F1398" t="n">
        <v>0.792</v>
      </c>
      <c r="G1398" t="n">
        <v>0</v>
      </c>
      <c r="H1398" t="n">
        <v>1.060821</v>
      </c>
      <c r="I1398" t="n">
        <v>1.088948</v>
      </c>
      <c r="J1398" t="n">
        <v>-0.028127</v>
      </c>
      <c r="K1398" s="4">
        <f>IFERROR(J1398/I1398,"")</f>
        <v/>
      </c>
      <c r="L1398" s="4">
        <f>IFERROR((D1398-E1398)/E1398,"")</f>
        <v/>
      </c>
    </row>
    <row r="1399">
      <c r="A1399" t="inlineStr">
        <is>
          <t>2026-06-19</t>
        </is>
      </c>
      <c r="B1399" t="inlineStr">
        <is>
          <t>520730</t>
        </is>
      </c>
      <c r="C1399" t="inlineStr">
        <is>
          <t>港股通汽车ETF万家</t>
        </is>
      </c>
      <c r="D1399" t="n">
        <v>14339.44</v>
      </c>
      <c r="E1399" t="n">
        <v>14639.44</v>
      </c>
      <c r="F1399" t="n">
        <v>0.8090000000000001</v>
      </c>
      <c r="G1399" t="n">
        <v>-300</v>
      </c>
      <c r="H1399" t="n">
        <v>1.184331</v>
      </c>
      <c r="I1399" t="n">
        <v>1.230744</v>
      </c>
      <c r="J1399" t="n">
        <v>-0.046413</v>
      </c>
      <c r="K1399" s="4">
        <f>IFERROR(J1399/I1399,"")</f>
        <v/>
      </c>
      <c r="L1399" s="4">
        <f>IFERROR((D1399-E1399)/E1399,"")</f>
        <v/>
      </c>
    </row>
    <row r="1400">
      <c r="A1400" t="inlineStr">
        <is>
          <t>2026-06-19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20746.6</v>
      </c>
      <c r="E1400" t="n">
        <v>20746.6</v>
      </c>
      <c r="F1400" t="n">
        <v>0.76</v>
      </c>
      <c r="G1400" t="n">
        <v>0</v>
      </c>
      <c r="H1400" t="n">
        <v>1.576742</v>
      </c>
      <c r="I1400" t="n">
        <v>1.555995</v>
      </c>
      <c r="J1400" t="n">
        <v>0.020747</v>
      </c>
      <c r="K1400" s="4">
        <f>IFERROR(J1400/I1400,"")</f>
        <v/>
      </c>
      <c r="L1400" s="4">
        <f>IFERROR((D1400-E1400)/E1400,"")</f>
        <v/>
      </c>
    </row>
    <row r="1401">
      <c r="A1401" t="inlineStr">
        <is>
          <t>2026-06-19</t>
        </is>
      </c>
      <c r="B1401" t="inlineStr">
        <is>
          <t>520770</t>
        </is>
      </c>
      <c r="C1401" t="inlineStr">
        <is>
          <t>恒指港股通ETF建信</t>
        </is>
      </c>
      <c r="D1401" t="n">
        <v>22737.38</v>
      </c>
      <c r="E1401" t="n">
        <v>25237.38</v>
      </c>
      <c r="F1401" t="n">
        <v>0.875</v>
      </c>
      <c r="G1401" t="n">
        <v>-2500</v>
      </c>
      <c r="H1401" t="n">
        <v>2.208271</v>
      </c>
      <c r="I1401" t="n">
        <v>2.339296</v>
      </c>
      <c r="J1401" t="n">
        <v>-0.131025</v>
      </c>
      <c r="K1401" s="4">
        <f>IFERROR(J1401/I1401,"")</f>
        <v/>
      </c>
      <c r="L1401" s="4">
        <f>IFERROR((D1401-E1401)/E1401,"")</f>
        <v/>
      </c>
    </row>
    <row r="1402">
      <c r="A1402" t="inlineStr">
        <is>
          <t>2026-06-19</t>
        </is>
      </c>
      <c r="B1402" t="inlineStr">
        <is>
          <t>520780</t>
        </is>
      </c>
      <c r="C1402" t="inlineStr">
        <is>
          <t>港股通汽车ETF华宝</t>
        </is>
      </c>
      <c r="D1402" t="n">
        <v>3646</v>
      </c>
      <c r="E1402" t="n">
        <v>3646</v>
      </c>
      <c r="F1402" t="n">
        <v>0.874</v>
      </c>
      <c r="G1402" t="n">
        <v>0</v>
      </c>
      <c r="H1402" t="n">
        <v>0.31866</v>
      </c>
      <c r="I1402" t="n">
        <v>0.326317</v>
      </c>
      <c r="J1402" t="n">
        <v>-0.007657</v>
      </c>
      <c r="K1402" s="4">
        <f>IFERROR(J1402/I1402,"")</f>
        <v/>
      </c>
      <c r="L1402" s="4">
        <f>IFERROR((D1402-E1402)/E1402,"")</f>
        <v/>
      </c>
    </row>
    <row r="1403">
      <c r="A1403" t="inlineStr">
        <is>
          <t>2026-06-19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37707.5</v>
      </c>
      <c r="E1403" t="n">
        <v>37207.5</v>
      </c>
      <c r="F1403" t="n">
        <v>0.804</v>
      </c>
      <c r="G1403" t="n">
        <v>500</v>
      </c>
      <c r="H1403" t="n">
        <v>2.991483</v>
      </c>
      <c r="I1403" t="n">
        <v>3.072501</v>
      </c>
      <c r="J1403" t="n">
        <v>-0.08101800000000001</v>
      </c>
      <c r="K1403" s="4">
        <f>IFERROR(J1403/I1403,"")</f>
        <v/>
      </c>
      <c r="L1403" s="4">
        <f>IFERROR((D1403-E1403)/E1403,"")</f>
        <v/>
      </c>
    </row>
    <row r="1404">
      <c r="A1404" t="inlineStr">
        <is>
          <t>2026-06-19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28436</v>
      </c>
      <c r="E1404" t="n">
        <v>28236</v>
      </c>
      <c r="F1404" t="n">
        <v>0.979</v>
      </c>
      <c r="G1404" t="n">
        <v>200</v>
      </c>
      <c r="H1404" t="n">
        <v>2.764304</v>
      </c>
      <c r="I1404" t="n">
        <v>2.840542</v>
      </c>
      <c r="J1404" t="n">
        <v>-0.076238</v>
      </c>
      <c r="K1404" s="4">
        <f>IFERROR(J1404/I1404,"")</f>
        <v/>
      </c>
      <c r="L1404" s="4">
        <f>IFERROR((D1404-E1404)/E1404,"")</f>
        <v/>
      </c>
    </row>
    <row r="1405">
      <c r="A1405" t="inlineStr">
        <is>
          <t>2026-06-19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6868.2</v>
      </c>
      <c r="E1405" t="n">
        <v>6868.2</v>
      </c>
      <c r="F1405" t="n">
        <v>0.871</v>
      </c>
      <c r="G1405" t="n">
        <v>0</v>
      </c>
      <c r="H1405" t="n">
        <v>0.59822</v>
      </c>
      <c r="I1405" t="n">
        <v>0.609896</v>
      </c>
      <c r="J1405" t="n">
        <v>-0.011676</v>
      </c>
      <c r="K1405" s="4">
        <f>IFERROR(J1405/I1405,"")</f>
        <v/>
      </c>
      <c r="L1405" s="4">
        <f>IFERROR((D1405-E1405)/E1405,"")</f>
        <v/>
      </c>
    </row>
    <row r="1406">
      <c r="A1406" t="inlineStr">
        <is>
          <t>2026-06-19</t>
        </is>
      </c>
      <c r="B1406" t="inlineStr">
        <is>
          <t>520830</t>
        </is>
      </c>
      <c r="C1406" t="inlineStr">
        <is>
          <t>沙特ETF华泰柏瑞</t>
        </is>
      </c>
      <c r="D1406" t="n">
        <v>122261.9</v>
      </c>
      <c r="E1406" t="n">
        <v>122911.9</v>
      </c>
      <c r="F1406" t="n">
        <v>0.905</v>
      </c>
      <c r="G1406" t="n">
        <v>-650</v>
      </c>
      <c r="H1406" t="n">
        <v>11.123527</v>
      </c>
      <c r="I1406" t="n">
        <v>11.10346</v>
      </c>
      <c r="J1406" t="n">
        <v>0.020067</v>
      </c>
      <c r="K1406" s="4">
        <f>IFERROR(J1406/I1406,"")</f>
        <v/>
      </c>
      <c r="L1406" s="4">
        <f>IFERROR((D1406-E1406)/E1406,"")</f>
        <v/>
      </c>
    </row>
    <row r="1407">
      <c r="A1407" t="inlineStr">
        <is>
          <t>2026-06-19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129254.9</v>
      </c>
      <c r="E1407" t="n">
        <v>129354.9</v>
      </c>
      <c r="F1407" t="n">
        <v>0.76</v>
      </c>
      <c r="G1407" t="n">
        <v>-100</v>
      </c>
      <c r="H1407" t="n">
        <v>9.830971999999999</v>
      </c>
      <c r="I1407" t="n">
        <v>10.12718</v>
      </c>
      <c r="J1407" t="n">
        <v>-0.296208</v>
      </c>
      <c r="K1407" s="4">
        <f>IFERROR(J1407/I1407,"")</f>
        <v/>
      </c>
      <c r="L1407" s="4">
        <f>IFERROR((D1407-E1407)/E1407,"")</f>
        <v/>
      </c>
    </row>
    <row r="1408">
      <c r="A1408" t="inlineStr">
        <is>
          <t>2026-06-19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17524.96</v>
      </c>
      <c r="E1408" t="n">
        <v>17524.96</v>
      </c>
      <c r="F1408" t="n">
        <v>0.6830000000000001</v>
      </c>
      <c r="G1408" t="n">
        <v>0</v>
      </c>
      <c r="H1408" t="n">
        <v>1.196954</v>
      </c>
      <c r="I1408" t="n">
        <v>1.188192</v>
      </c>
      <c r="J1408" t="n">
        <v>0.008762000000000001</v>
      </c>
      <c r="K1408" s="4">
        <f>IFERROR(J1408/I1408,"")</f>
        <v/>
      </c>
      <c r="L1408" s="4">
        <f>IFERROR((D1408-E1408)/E1408,"")</f>
        <v/>
      </c>
    </row>
    <row r="1409">
      <c r="A1409" t="inlineStr">
        <is>
          <t>2026-06-19</t>
        </is>
      </c>
      <c r="B1409" t="inlineStr">
        <is>
          <t>520860</t>
        </is>
      </c>
      <c r="C1409" t="inlineStr">
        <is>
          <t>港股通科技ETF富国</t>
        </is>
      </c>
      <c r="D1409" t="n">
        <v>37419.5</v>
      </c>
      <c r="E1409" t="n">
        <v>37419.5</v>
      </c>
      <c r="F1409" t="n">
        <v>0.758</v>
      </c>
      <c r="G1409" t="n">
        <v>0</v>
      </c>
      <c r="H1409" t="n">
        <v>2.836398</v>
      </c>
      <c r="I1409" t="n">
        <v>2.885043</v>
      </c>
      <c r="J1409" t="n">
        <v>-0.048645</v>
      </c>
      <c r="K1409" s="4">
        <f>IFERROR(J1409/I1409,"")</f>
        <v/>
      </c>
      <c r="L1409" s="4">
        <f>IFERROR((D1409-E1409)/E1409,"")</f>
        <v/>
      </c>
    </row>
    <row r="1410">
      <c r="A1410" t="inlineStr">
        <is>
          <t>2026-06-19</t>
        </is>
      </c>
      <c r="B1410" t="inlineStr">
        <is>
          <t>520870</t>
        </is>
      </c>
      <c r="C1410" t="inlineStr">
        <is>
          <t>巴西ETF易方达</t>
        </is>
      </c>
      <c r="D1410" t="n">
        <v>55147.72</v>
      </c>
      <c r="E1410" t="n">
        <v>55097.72</v>
      </c>
      <c r="F1410" t="n">
        <v>1.068</v>
      </c>
      <c r="G1410" t="n">
        <v>50</v>
      </c>
      <c r="H1410" t="n">
        <v>5.884436</v>
      </c>
      <c r="I1410" t="n">
        <v>5.873591</v>
      </c>
      <c r="J1410" t="n">
        <v>0.010845</v>
      </c>
      <c r="K1410" s="4">
        <f>IFERROR(J1410/I1410,"")</f>
        <v/>
      </c>
      <c r="L1410" s="4">
        <f>IFERROR((D1410-E1410)/E1410,"")</f>
        <v/>
      </c>
    </row>
    <row r="1411">
      <c r="A1411" t="inlineStr">
        <is>
          <t>2026-06-19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609761.8</v>
      </c>
      <c r="E1411" t="n">
        <v>609761.8</v>
      </c>
      <c r="F1411" t="n">
        <v>0.386</v>
      </c>
      <c r="G1411" t="n">
        <v>0</v>
      </c>
      <c r="H1411" t="n">
        <v>23.536805</v>
      </c>
      <c r="I1411" t="n">
        <v>23.239545</v>
      </c>
      <c r="J1411" t="n">
        <v>0.29726</v>
      </c>
      <c r="K1411" s="4">
        <f>IFERROR(J1411/I1411,"")</f>
        <v/>
      </c>
      <c r="L1411" s="4">
        <f>IFERROR((D1411-E1411)/E1411,"")</f>
        <v/>
      </c>
    </row>
    <row r="1412">
      <c r="A1412" t="inlineStr">
        <is>
          <t>2026-06-19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7200.8</v>
      </c>
      <c r="E1412" t="n">
        <v>7200.8</v>
      </c>
      <c r="F1412" t="n">
        <v>1.299</v>
      </c>
      <c r="G1412" t="n">
        <v>0</v>
      </c>
      <c r="H1412" t="n">
        <v>0.935384</v>
      </c>
      <c r="I1412" t="n">
        <v>0.962027</v>
      </c>
      <c r="J1412" t="n">
        <v>-0.026643</v>
      </c>
      <c r="K1412" s="4">
        <f>IFERROR(J1412/I1412,"")</f>
        <v/>
      </c>
      <c r="L1412" s="4">
        <f>IFERROR((D1412-E1412)/E1412,"")</f>
        <v/>
      </c>
    </row>
    <row r="1413">
      <c r="A1413" t="inlineStr">
        <is>
          <t>2026-06-19</t>
        </is>
      </c>
      <c r="B1413" t="inlineStr">
        <is>
          <t>520900</t>
        </is>
      </c>
      <c r="C1413" t="inlineStr">
        <is>
          <t>港股通红利ETF广发</t>
        </is>
      </c>
      <c r="D1413" t="n">
        <v>177367.5</v>
      </c>
      <c r="E1413" t="n">
        <v>177417.5</v>
      </c>
      <c r="F1413" t="n">
        <v>0.969</v>
      </c>
      <c r="G1413" t="n">
        <v>-50</v>
      </c>
      <c r="H1413" t="n">
        <v>17.191756</v>
      </c>
      <c r="I1413" t="n">
        <v>17.180638</v>
      </c>
      <c r="J1413" t="n">
        <v>0.011118</v>
      </c>
      <c r="K1413" s="4">
        <f>IFERROR(J1413/I1413,"")</f>
        <v/>
      </c>
      <c r="L1413" s="4">
        <f>IFERROR((D1413-E1413)/E1413,"")</f>
        <v/>
      </c>
    </row>
    <row r="1414">
      <c r="A1414" t="inlineStr">
        <is>
          <t>2026-06-19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81444.5</v>
      </c>
      <c r="E1414" t="n">
        <v>81444.5</v>
      </c>
      <c r="F1414" t="n">
        <v>0.62</v>
      </c>
      <c r="G1414" t="n">
        <v>0</v>
      </c>
      <c r="H1414" t="n">
        <v>5.049559</v>
      </c>
      <c r="I1414" t="n">
        <v>5.196159</v>
      </c>
      <c r="J1414" t="n">
        <v>-0.1466</v>
      </c>
      <c r="K1414" s="4">
        <f>IFERROR(J1414/I1414,"")</f>
        <v/>
      </c>
      <c r="L1414" s="4">
        <f>IFERROR((D1414-E1414)/E1414,"")</f>
        <v/>
      </c>
    </row>
    <row r="1415">
      <c r="A1415" t="inlineStr">
        <is>
          <t>2026-06-19</t>
        </is>
      </c>
      <c r="B1415" t="inlineStr">
        <is>
          <t>520920</t>
        </is>
      </c>
      <c r="C1415" t="inlineStr">
        <is>
          <t>恒生科技ETF天弘</t>
        </is>
      </c>
      <c r="D1415" t="n">
        <v>2012901.9</v>
      </c>
      <c r="E1415" t="n">
        <v>2023401.9</v>
      </c>
      <c r="F1415" t="n">
        <v>0.68</v>
      </c>
      <c r="G1415" t="n">
        <v>-10500</v>
      </c>
      <c r="H1415" t="n">
        <v>137.591329</v>
      </c>
      <c r="I1415" t="n">
        <v>140.266221</v>
      </c>
      <c r="J1415" t="n">
        <v>-2.674892</v>
      </c>
      <c r="K1415" s="4">
        <f>IFERROR(J1415/I1415,"")</f>
        <v/>
      </c>
      <c r="L1415" s="4">
        <f>IFERROR((D1415-E1415)/E1415,"")</f>
        <v/>
      </c>
    </row>
    <row r="1416">
      <c r="A1416" t="inlineStr">
        <is>
          <t>2026-06-19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12873.3</v>
      </c>
      <c r="E1416" t="n">
        <v>12873.3</v>
      </c>
      <c r="F1416" t="n">
        <v>0.759</v>
      </c>
      <c r="G1416" t="n">
        <v>0</v>
      </c>
      <c r="H1416" t="n">
        <v>0.977083</v>
      </c>
      <c r="I1416" t="n">
        <v>0.96421</v>
      </c>
      <c r="J1416" t="n">
        <v>0.012873</v>
      </c>
      <c r="K1416" s="4">
        <f>IFERROR(J1416/I1416,"")</f>
        <v/>
      </c>
      <c r="L1416" s="4">
        <f>IFERROR((D1416-E1416)/E1416,"")</f>
        <v/>
      </c>
    </row>
    <row r="1417">
      <c r="A1417" t="inlineStr">
        <is>
          <t>2026-06-19</t>
        </is>
      </c>
      <c r="B1417" t="inlineStr">
        <is>
          <t>520940</t>
        </is>
      </c>
      <c r="C1417" t="inlineStr">
        <is>
          <t>港股通恒生ETF华安</t>
        </is>
      </c>
      <c r="D1417" t="n">
        <v>2429.7</v>
      </c>
      <c r="E1417" t="n">
        <v>2429.7</v>
      </c>
      <c r="F1417" t="n">
        <v>0.944</v>
      </c>
      <c r="G1417" t="n">
        <v>0</v>
      </c>
      <c r="H1417" t="n">
        <v>0.229364</v>
      </c>
      <c r="I1417" t="n">
        <v>0.233251</v>
      </c>
      <c r="J1417" t="n">
        <v>-0.003887</v>
      </c>
      <c r="K1417" s="4">
        <f>IFERROR(J1417/I1417,"")</f>
        <v/>
      </c>
      <c r="L1417" s="4">
        <f>IFERROR((D1417-E1417)/E1417,"")</f>
        <v/>
      </c>
    </row>
    <row r="1418">
      <c r="A1418" t="inlineStr">
        <is>
          <t>2026-06-19</t>
        </is>
      </c>
      <c r="B1418" t="inlineStr">
        <is>
          <t>520950</t>
        </is>
      </c>
      <c r="C1418" t="inlineStr">
        <is>
          <t>港股通50ETF摩根</t>
        </is>
      </c>
      <c r="D1418" t="n">
        <v>37142.1</v>
      </c>
      <c r="E1418" t="n">
        <v>37142.1</v>
      </c>
      <c r="F1418" t="n">
        <v>0.793</v>
      </c>
      <c r="G1418" t="n">
        <v>0</v>
      </c>
      <c r="H1418" t="n">
        <v>2.945369</v>
      </c>
      <c r="I1418" t="n">
        <v>3.012224</v>
      </c>
      <c r="J1418" t="n">
        <v>-0.066855</v>
      </c>
      <c r="K1418" s="4">
        <f>IFERROR(J1418/I1418,"")</f>
        <v/>
      </c>
      <c r="L1418" s="4">
        <f>IFERROR((D1418-E1418)/E1418,"")</f>
        <v/>
      </c>
    </row>
    <row r="1419">
      <c r="A1419" t="inlineStr">
        <is>
          <t>2026-06-19</t>
        </is>
      </c>
      <c r="B1419" t="inlineStr">
        <is>
          <t>520960</t>
        </is>
      </c>
      <c r="C1419" t="inlineStr">
        <is>
          <t>恒指港股通ETF嘉实</t>
        </is>
      </c>
      <c r="D1419" t="n">
        <v>6660.34</v>
      </c>
      <c r="E1419" t="n">
        <v>6660.34</v>
      </c>
      <c r="F1419" t="n">
        <v>0.857</v>
      </c>
      <c r="G1419" t="n">
        <v>0</v>
      </c>
      <c r="H1419" t="n">
        <v>0.570792</v>
      </c>
      <c r="I1419" t="n">
        <v>0.600966</v>
      </c>
      <c r="J1419" t="n">
        <v>-0.030174</v>
      </c>
      <c r="K1419" s="4">
        <f>IFERROR(J1419/I1419,"")</f>
        <v/>
      </c>
      <c r="L1419" s="4">
        <f>IFERROR((D1419-E1419)/E1419,"")</f>
        <v/>
      </c>
    </row>
    <row r="1420">
      <c r="A1420" t="inlineStr">
        <is>
          <t>2026-06-19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135835.8</v>
      </c>
      <c r="E1420" t="n">
        <v>136235.8</v>
      </c>
      <c r="F1420" t="n">
        <v>0.6870000000000001</v>
      </c>
      <c r="G1420" t="n">
        <v>-400</v>
      </c>
      <c r="H1420" t="n">
        <v>9.359399</v>
      </c>
      <c r="I1420" t="n">
        <v>9.182293</v>
      </c>
      <c r="J1420" t="n">
        <v>0.177106</v>
      </c>
      <c r="K1420" s="4">
        <f>IFERROR(J1420/I1420,"")</f>
        <v/>
      </c>
      <c r="L1420" s="4">
        <f>IFERROR((D1420-E1420)/E1420,"")</f>
        <v/>
      </c>
    </row>
    <row r="1421">
      <c r="A1421" t="inlineStr">
        <is>
          <t>2026-06-19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390038.7</v>
      </c>
      <c r="E1421" t="n">
        <v>390038.7</v>
      </c>
      <c r="F1421" t="n">
        <v>0.872</v>
      </c>
      <c r="G1421" t="n">
        <v>0</v>
      </c>
      <c r="H1421" t="n">
        <v>34.011375</v>
      </c>
      <c r="I1421" t="n">
        <v>34.713444</v>
      </c>
      <c r="J1421" t="n">
        <v>-0.7020690000000001</v>
      </c>
      <c r="K1421" s="4">
        <f>IFERROR(J1421/I1421,"")</f>
        <v/>
      </c>
      <c r="L1421" s="4">
        <f>IFERROR((D1421-E1421)/E1421,"")</f>
        <v/>
      </c>
    </row>
    <row r="1422">
      <c r="A1422" t="inlineStr">
        <is>
          <t>2026-06-19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413447.05</v>
      </c>
      <c r="E1422" t="n">
        <v>416647.05</v>
      </c>
      <c r="F1422" t="n">
        <v>0.952</v>
      </c>
      <c r="G1422" t="n">
        <v>-3200</v>
      </c>
      <c r="H1422" t="n">
        <v>39.664799</v>
      </c>
      <c r="I1422" t="n">
        <v>40.794347</v>
      </c>
      <c r="J1422" t="n">
        <v>-1.129548</v>
      </c>
      <c r="K1422" s="4">
        <f>IFERROR(J1422/I1422,"")</f>
        <v/>
      </c>
      <c r="L1422" s="4">
        <f>IFERROR((D1422-E1422)/E1422,"")</f>
        <v/>
      </c>
    </row>
    <row r="1423">
      <c r="A1423" t="inlineStr">
        <is>
          <t>2026-06-19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8614.200000000001</v>
      </c>
      <c r="E1423" t="n">
        <v>8614.200000000001</v>
      </c>
      <c r="F1423" t="n">
        <v>1.354</v>
      </c>
      <c r="G1423" t="n">
        <v>0</v>
      </c>
      <c r="H1423" t="n">
        <v>1.166363</v>
      </c>
      <c r="I1423" t="n">
        <v>1.168086</v>
      </c>
      <c r="J1423" t="n">
        <v>-0.001723</v>
      </c>
      <c r="K1423" s="4">
        <f>IFERROR(J1423/I1423,"")</f>
        <v/>
      </c>
      <c r="L1423" s="4">
        <f>IFERROR((D1423-E1423)/E1423,"")</f>
        <v/>
      </c>
    </row>
    <row r="1424">
      <c r="A1424" t="inlineStr">
        <is>
          <t>2026-06-19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8745.799999999999</v>
      </c>
      <c r="E1424" t="n">
        <v>8745.799999999999</v>
      </c>
      <c r="F1424" t="n">
        <v>0.79</v>
      </c>
      <c r="G1424" t="n">
        <v>0</v>
      </c>
      <c r="H1424" t="n">
        <v>0.690918</v>
      </c>
      <c r="I1424" t="n">
        <v>0.691742</v>
      </c>
      <c r="J1424" t="n">
        <v>-0.000824</v>
      </c>
      <c r="K1424" s="4">
        <f>IFERROR(J1424/I1424,"")</f>
        <v/>
      </c>
      <c r="L1424" s="4">
        <f>IFERROR((D1424-E1424)/E1424,"")</f>
        <v/>
      </c>
    </row>
    <row r="1425">
      <c r="A1425" t="inlineStr">
        <is>
          <t>2026-06-19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6363</v>
      </c>
      <c r="E1425" t="n">
        <v>6363</v>
      </c>
      <c r="F1425" t="n">
        <v>1.221</v>
      </c>
      <c r="G1425" t="n">
        <v>0</v>
      </c>
      <c r="H1425" t="n">
        <v>0.776922</v>
      </c>
      <c r="I1425" t="n">
        <v>0.780104</v>
      </c>
      <c r="J1425" t="n">
        <v>-0.003182</v>
      </c>
      <c r="K1425" s="4">
        <f>IFERROR(J1425/I1425,"")</f>
        <v/>
      </c>
      <c r="L1425" s="4">
        <f>IFERROR((D1425-E1425)/E1425,"")</f>
        <v/>
      </c>
    </row>
    <row r="1426">
      <c r="A1426" t="inlineStr">
        <is>
          <t>2026-06-19</t>
        </is>
      </c>
      <c r="B1426" t="inlineStr">
        <is>
          <t>526070</t>
        </is>
      </c>
      <c r="C1426" t="inlineStr">
        <is>
          <t>恒指港股通ETF博时</t>
        </is>
      </c>
      <c r="D1426" t="n">
        <v>10637.7</v>
      </c>
      <c r="E1426" t="n">
        <v>10637.7</v>
      </c>
      <c r="F1426" t="n">
        <v>0.927</v>
      </c>
      <c r="G1426" t="n">
        <v>0</v>
      </c>
      <c r="H1426" t="n">
        <v>0.986115</v>
      </c>
      <c r="I1426" t="n">
        <v>1.008454</v>
      </c>
      <c r="J1426" t="n">
        <v>-0.022339</v>
      </c>
      <c r="K1426" s="4">
        <f>IFERROR(J1426/I1426,"")</f>
        <v/>
      </c>
      <c r="L1426" s="4">
        <f>IFERROR((D1426-E1426)/E1426,"")</f>
        <v/>
      </c>
    </row>
    <row r="1427">
      <c r="A1427" t="inlineStr">
        <is>
          <t>2026-06-19</t>
        </is>
      </c>
      <c r="B1427" t="inlineStr">
        <is>
          <t>530000</t>
        </is>
      </c>
      <c r="C1427" t="inlineStr">
        <is>
          <t>上证50ETF天弘</t>
        </is>
      </c>
      <c r="D1427" t="n">
        <v>97102.94</v>
      </c>
      <c r="E1427" t="n">
        <v>97102.94</v>
      </c>
      <c r="F1427" t="n">
        <v>1.374</v>
      </c>
      <c r="G1427" t="n">
        <v>0</v>
      </c>
      <c r="H1427" t="n">
        <v>13.341945</v>
      </c>
      <c r="I1427" t="n">
        <v>13.332234</v>
      </c>
      <c r="J1427" t="n">
        <v>0.009710999999999999</v>
      </c>
      <c r="K1427" s="4">
        <f>IFERROR(J1427/I1427,"")</f>
        <v/>
      </c>
      <c r="L1427" s="4">
        <f>IFERROR((D1427-E1427)/E1427,"")</f>
        <v/>
      </c>
    </row>
    <row r="1428">
      <c r="A1428" t="inlineStr">
        <is>
          <t>2026-06-19</t>
        </is>
      </c>
      <c r="B1428" t="inlineStr">
        <is>
          <t>530050</t>
        </is>
      </c>
      <c r="C1428" t="inlineStr">
        <is>
          <t>上证50ETF东财</t>
        </is>
      </c>
      <c r="D1428" t="n">
        <v>12881.3</v>
      </c>
      <c r="E1428" t="n">
        <v>13181.3</v>
      </c>
      <c r="F1428" t="n">
        <v>1.174</v>
      </c>
      <c r="G1428" t="n">
        <v>-300</v>
      </c>
      <c r="H1428" t="n">
        <v>1.547485</v>
      </c>
      <c r="I1428" t="n">
        <v>1.546166</v>
      </c>
      <c r="J1428" t="n">
        <v>0.001319</v>
      </c>
      <c r="K1428" s="4">
        <f>IFERROR(J1428/I1428,"")</f>
        <v/>
      </c>
      <c r="L1428" s="4">
        <f>IFERROR((D1428-E1428)/E1428,"")</f>
        <v/>
      </c>
    </row>
    <row r="1429">
      <c r="A1429" t="inlineStr">
        <is>
          <t>2026-06-19</t>
        </is>
      </c>
      <c r="B1429" t="inlineStr">
        <is>
          <t>530060</t>
        </is>
      </c>
      <c r="C1429" t="inlineStr">
        <is>
          <t>上证指数ETF易方达</t>
        </is>
      </c>
      <c r="D1429" t="n">
        <v>22819.3</v>
      </c>
      <c r="E1429" t="n">
        <v>23119.3</v>
      </c>
      <c r="F1429" t="n">
        <v>1.016</v>
      </c>
      <c r="G1429" t="n">
        <v>-300</v>
      </c>
      <c r="H1429" t="n">
        <v>2.348921</v>
      </c>
      <c r="I1429" t="n">
        <v>2.498859</v>
      </c>
      <c r="J1429" t="n">
        <v>-0.149938</v>
      </c>
      <c r="K1429" s="4">
        <f>IFERROR(J1429/I1429,"")</f>
        <v/>
      </c>
      <c r="L1429" s="4">
        <f>IFERROR((D1429-E1429)/E1429,"")</f>
        <v/>
      </c>
    </row>
    <row r="1430">
      <c r="A1430" t="inlineStr">
        <is>
          <t>2026-06-19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1.243</v>
      </c>
      <c r="G1430" t="n">
        <v>0</v>
      </c>
      <c r="H1430" t="n">
        <v>0.359438</v>
      </c>
      <c r="I1430" t="n">
        <v>0.359438</v>
      </c>
      <c r="J1430" t="n">
        <v>0</v>
      </c>
      <c r="K1430" s="4">
        <f>IFERROR(J1430/I1430,"")</f>
        <v/>
      </c>
      <c r="L1430" s="4">
        <f>IFERROR((D1430-E1430)/E1430,"")</f>
        <v/>
      </c>
    </row>
    <row r="1431">
      <c r="A1431" t="inlineStr">
        <is>
          <t>2026-06-19</t>
        </is>
      </c>
      <c r="B1431" t="inlineStr">
        <is>
          <t>530100</t>
        </is>
      </c>
      <c r="C1431" t="inlineStr">
        <is>
          <t>上证580ETF易方达</t>
        </is>
      </c>
      <c r="D1431" t="n">
        <v>12869.6</v>
      </c>
      <c r="E1431" t="n">
        <v>12869.6</v>
      </c>
      <c r="F1431" t="n">
        <v>1.312</v>
      </c>
      <c r="G1431" t="n">
        <v>0</v>
      </c>
      <c r="H1431" t="n">
        <v>1.688492</v>
      </c>
      <c r="I1431" t="n">
        <v>1.727702</v>
      </c>
      <c r="J1431" t="n">
        <v>-0.03921</v>
      </c>
      <c r="K1431" s="4">
        <f>IFERROR(J1431/I1431,"")</f>
        <v/>
      </c>
      <c r="L1431" s="4">
        <f>IFERROR((D1431-E1431)/E1431,"")</f>
        <v/>
      </c>
    </row>
    <row r="1432">
      <c r="A1432" t="inlineStr">
        <is>
          <t>2026-06-19</t>
        </is>
      </c>
      <c r="B1432" t="inlineStr">
        <is>
          <t>530180</t>
        </is>
      </c>
      <c r="C1432" t="inlineStr">
        <is>
          <t>上证180ETF易方达</t>
        </is>
      </c>
      <c r="D1432" t="n">
        <v>6795.2</v>
      </c>
      <c r="E1432" t="n">
        <v>6395.2</v>
      </c>
      <c r="F1432" t="n">
        <v>1.219</v>
      </c>
      <c r="G1432" t="n">
        <v>400</v>
      </c>
      <c r="H1432" t="n">
        <v>0.779575</v>
      </c>
      <c r="I1432" t="n">
        <v>0.803955</v>
      </c>
      <c r="J1432" t="n">
        <v>-0.02438</v>
      </c>
      <c r="K1432" s="4">
        <f>IFERROR(J1432/I1432,"")</f>
        <v/>
      </c>
      <c r="L1432" s="4">
        <f>IFERROR((D1432-E1432)/E1432,"")</f>
        <v/>
      </c>
    </row>
    <row r="1433">
      <c r="A1433" t="inlineStr">
        <is>
          <t>2026-06-19</t>
        </is>
      </c>
      <c r="B1433" t="inlineStr">
        <is>
          <t>530280</t>
        </is>
      </c>
      <c r="C1433" t="inlineStr">
        <is>
          <t>上证180ETF平安</t>
        </is>
      </c>
      <c r="D1433" t="n">
        <v>3443.4</v>
      </c>
      <c r="E1433" t="n">
        <v>3443.4</v>
      </c>
      <c r="F1433" t="n">
        <v>1.231</v>
      </c>
      <c r="G1433" t="n">
        <v>0</v>
      </c>
      <c r="H1433" t="n">
        <v>0.423883</v>
      </c>
      <c r="I1433" t="n">
        <v>0.423194</v>
      </c>
      <c r="J1433" t="n">
        <v>0.0006890000000000001</v>
      </c>
      <c r="K1433" s="4">
        <f>IFERROR(J1433/I1433,"")</f>
        <v/>
      </c>
      <c r="L1433" s="4">
        <f>IFERROR((D1433-E1433)/E1433,"")</f>
        <v/>
      </c>
    </row>
    <row r="1434">
      <c r="A1434" t="inlineStr">
        <is>
          <t>2026-06-19</t>
        </is>
      </c>
      <c r="B1434" t="inlineStr">
        <is>
          <t>530300</t>
        </is>
      </c>
      <c r="C1434" t="inlineStr">
        <is>
          <t>上证180ETF华泰柏瑞</t>
        </is>
      </c>
      <c r="D1434" t="n">
        <v>3764.3</v>
      </c>
      <c r="E1434" t="n">
        <v>3764.3</v>
      </c>
      <c r="F1434" t="n">
        <v>1.249</v>
      </c>
      <c r="G1434" t="n">
        <v>0</v>
      </c>
      <c r="H1434" t="n">
        <v>0.470161</v>
      </c>
      <c r="I1434" t="n">
        <v>0.469032</v>
      </c>
      <c r="J1434" t="n">
        <v>0.001129</v>
      </c>
      <c r="K1434" s="4">
        <f>IFERROR(J1434/I1434,"")</f>
        <v/>
      </c>
      <c r="L1434" s="4">
        <f>IFERROR((D1434-E1434)/E1434,"")</f>
        <v/>
      </c>
    </row>
    <row r="1435">
      <c r="A1435" t="inlineStr">
        <is>
          <t>2026-06-19</t>
        </is>
      </c>
      <c r="B1435" t="inlineStr">
        <is>
          <t>530380</t>
        </is>
      </c>
      <c r="C1435" t="inlineStr">
        <is>
          <t>上证380ETF易方达</t>
        </is>
      </c>
      <c r="D1435" t="n">
        <v>15870.5</v>
      </c>
      <c r="E1435" t="n">
        <v>15870.5</v>
      </c>
      <c r="F1435" t="n">
        <v>1.161</v>
      </c>
      <c r="G1435" t="n">
        <v>0</v>
      </c>
      <c r="H1435" t="n">
        <v>1.842565</v>
      </c>
      <c r="I1435" t="n">
        <v>1.837804</v>
      </c>
      <c r="J1435" t="n">
        <v>0.004761</v>
      </c>
      <c r="K1435" s="4">
        <f>IFERROR(J1435/I1435,"")</f>
        <v/>
      </c>
      <c r="L1435" s="4">
        <f>IFERROR((D1435-E1435)/E1435,"")</f>
        <v/>
      </c>
    </row>
    <row r="1436">
      <c r="A1436" t="inlineStr">
        <is>
          <t>2026-06-19</t>
        </is>
      </c>
      <c r="B1436" t="inlineStr">
        <is>
          <t>530530</t>
        </is>
      </c>
      <c r="C1436" t="inlineStr">
        <is>
          <t>上证580ETF华夏</t>
        </is>
      </c>
      <c r="D1436" t="n">
        <v>15846</v>
      </c>
      <c r="E1436" t="n">
        <v>15846</v>
      </c>
      <c r="F1436" t="n">
        <v>1.304</v>
      </c>
      <c r="G1436" t="n">
        <v>0</v>
      </c>
      <c r="H1436" t="n">
        <v>2.066318</v>
      </c>
      <c r="I1436" t="n">
        <v>2.05998</v>
      </c>
      <c r="J1436" t="n">
        <v>0.006338</v>
      </c>
      <c r="K1436" s="4">
        <f>IFERROR(J1436/I1436,"")</f>
        <v/>
      </c>
      <c r="L1436" s="4">
        <f>IFERROR((D1436-E1436)/E1436,"")</f>
        <v/>
      </c>
    </row>
    <row r="1437">
      <c r="A1437" t="inlineStr">
        <is>
          <t>2026-06-19</t>
        </is>
      </c>
      <c r="B1437" t="inlineStr">
        <is>
          <t>530580</t>
        </is>
      </c>
      <c r="C1437" t="inlineStr">
        <is>
          <t>上证180ETF南方</t>
        </is>
      </c>
      <c r="D1437" t="n">
        <v>5714.9</v>
      </c>
      <c r="E1437" t="n">
        <v>5914.9</v>
      </c>
      <c r="F1437" t="n">
        <v>1.202</v>
      </c>
      <c r="G1437" t="n">
        <v>-200</v>
      </c>
      <c r="H1437" t="n">
        <v>0.710971</v>
      </c>
      <c r="I1437" t="n">
        <v>0.710971</v>
      </c>
      <c r="J1437" t="n">
        <v>0</v>
      </c>
      <c r="K1437" s="4">
        <f>IFERROR(J1437/I1437,"")</f>
        <v/>
      </c>
      <c r="L1437" s="4">
        <f>IFERROR((D1437-E1437)/E1437,"")</f>
        <v/>
      </c>
    </row>
    <row r="1438">
      <c r="A1438" t="inlineStr">
        <is>
          <t>2026-06-19</t>
        </is>
      </c>
      <c r="B1438" t="inlineStr">
        <is>
          <t>530680</t>
        </is>
      </c>
      <c r="C1438" t="inlineStr">
        <is>
          <t>上证180ETF兴业</t>
        </is>
      </c>
      <c r="D1438" t="n">
        <v>12089.19</v>
      </c>
      <c r="E1438" t="n">
        <v>12289.19</v>
      </c>
      <c r="F1438" t="n">
        <v>1.187</v>
      </c>
      <c r="G1438" t="n">
        <v>-200</v>
      </c>
      <c r="H1438" t="n">
        <v>1.458727</v>
      </c>
      <c r="I1438" t="n">
        <v>1.455041</v>
      </c>
      <c r="J1438" t="n">
        <v>0.003686</v>
      </c>
      <c r="K1438" s="4">
        <f>IFERROR(J1438/I1438,"")</f>
        <v/>
      </c>
      <c r="L1438" s="4">
        <f>IFERROR((D1438-E1438)/E1438,"")</f>
        <v/>
      </c>
    </row>
    <row r="1439">
      <c r="A1439" t="inlineStr">
        <is>
          <t>2026-06-19</t>
        </is>
      </c>
      <c r="B1439" t="inlineStr">
        <is>
          <t>530800</t>
        </is>
      </c>
      <c r="C1439" t="inlineStr">
        <is>
          <t>上证180ETF银华</t>
        </is>
      </c>
      <c r="D1439" t="n">
        <v>1620.18</v>
      </c>
      <c r="E1439" t="n">
        <v>1620.18</v>
      </c>
      <c r="F1439" t="n">
        <v>1.237</v>
      </c>
      <c r="G1439" t="n">
        <v>0</v>
      </c>
      <c r="H1439" t="n">
        <v>0.200417</v>
      </c>
      <c r="I1439" t="n">
        <v>0.200579</v>
      </c>
      <c r="J1439" t="n">
        <v>-0.000162</v>
      </c>
      <c r="K1439" s="4">
        <f>IFERROR(J1439/I1439,"")</f>
        <v/>
      </c>
      <c r="L1439" s="4">
        <f>IFERROR((D1439-E1439)/E1439,"")</f>
        <v/>
      </c>
    </row>
    <row r="1440">
      <c r="A1440" t="inlineStr">
        <is>
          <t>2026-06-19</t>
        </is>
      </c>
      <c r="B1440" t="inlineStr">
        <is>
          <t>530880</t>
        </is>
      </c>
      <c r="C1440" t="inlineStr">
        <is>
          <t>红利国企ETF银河</t>
        </is>
      </c>
      <c r="D1440" t="n">
        <v>4933.6</v>
      </c>
      <c r="E1440" t="n">
        <v>5583.6</v>
      </c>
      <c r="F1440" t="n">
        <v>1.017</v>
      </c>
      <c r="G1440" t="n">
        <v>-650</v>
      </c>
      <c r="H1440" t="n">
        <v>0.567852</v>
      </c>
      <c r="I1440" t="n">
        <v>0.580136</v>
      </c>
      <c r="J1440" t="n">
        <v>-0.012284</v>
      </c>
      <c r="K1440" s="4">
        <f>IFERROR(J1440/I1440,"")</f>
        <v/>
      </c>
      <c r="L1440" s="4">
        <f>IFERROR((D1440-E1440)/E1440,"")</f>
        <v/>
      </c>
    </row>
    <row r="1441">
      <c r="A1441" t="inlineStr">
        <is>
          <t>2026-06-19</t>
        </is>
      </c>
      <c r="B1441" t="inlineStr">
        <is>
          <t>551000</t>
        </is>
      </c>
      <c r="C1441" t="inlineStr">
        <is>
          <t>科创债ETF博时</t>
        </is>
      </c>
      <c r="D1441" t="n">
        <v>8004.81</v>
      </c>
      <c r="E1441" t="n">
        <v>8004.81</v>
      </c>
      <c r="F1441" t="n">
        <v>101.569</v>
      </c>
      <c r="G1441" t="n">
        <v>0</v>
      </c>
      <c r="H1441" t="n">
        <v>81.304053</v>
      </c>
      <c r="I1441" t="n">
        <v>81.255223</v>
      </c>
      <c r="J1441" t="n">
        <v>0.04883</v>
      </c>
      <c r="K1441" s="4">
        <f>IFERROR(J1441/I1441,"")</f>
        <v/>
      </c>
      <c r="L1441" s="4">
        <f>IFERROR((D1441-E1441)/E1441,"")</f>
        <v/>
      </c>
    </row>
    <row r="1442">
      <c r="A1442" t="inlineStr">
        <is>
          <t>2026-06-19</t>
        </is>
      </c>
      <c r="B1442" t="inlineStr">
        <is>
          <t>551030</t>
        </is>
      </c>
      <c r="C1442" t="inlineStr">
        <is>
          <t>科创债ETF鹏华</t>
        </is>
      </c>
      <c r="D1442" t="n">
        <v>17622</v>
      </c>
      <c r="E1442" t="n">
        <v>17562</v>
      </c>
      <c r="F1442" t="n">
        <v>101.5</v>
      </c>
      <c r="G1442" t="n">
        <v>60</v>
      </c>
      <c r="H1442" t="n">
        <v>178.254259</v>
      </c>
      <c r="I1442" t="n">
        <v>177.758897</v>
      </c>
      <c r="J1442" t="n">
        <v>0.495362</v>
      </c>
      <c r="K1442" s="4">
        <f>IFERROR(J1442/I1442,"")</f>
        <v/>
      </c>
      <c r="L1442" s="4">
        <f>IFERROR((D1442-E1442)/E1442,"")</f>
        <v/>
      </c>
    </row>
    <row r="1443">
      <c r="A1443" t="inlineStr">
        <is>
          <t>2026-06-19</t>
        </is>
      </c>
      <c r="B1443" t="inlineStr">
        <is>
          <t>551060</t>
        </is>
      </c>
      <c r="C1443" t="inlineStr">
        <is>
          <t>科创债ETF中银</t>
        </is>
      </c>
      <c r="D1443" t="n">
        <v>5823.1</v>
      </c>
      <c r="E1443" t="n">
        <v>5803.1</v>
      </c>
      <c r="F1443" t="n">
        <v>101.515</v>
      </c>
      <c r="G1443" t="n">
        <v>20</v>
      </c>
      <c r="H1443" t="n">
        <v>58.910119</v>
      </c>
      <c r="I1443" t="n">
        <v>58.5871</v>
      </c>
      <c r="J1443" t="n">
        <v>0.323019</v>
      </c>
      <c r="K1443" s="4">
        <f>IFERROR(J1443/I1443,"")</f>
        <v/>
      </c>
      <c r="L1443" s="4">
        <f>IFERROR((D1443-E1443)/E1443,"")</f>
        <v/>
      </c>
    </row>
    <row r="1444">
      <c r="A1444" t="inlineStr">
        <is>
          <t>2026-06-19</t>
        </is>
      </c>
      <c r="B1444" t="inlineStr">
        <is>
          <t>551300</t>
        </is>
      </c>
      <c r="C1444" t="inlineStr">
        <is>
          <t>科创债ETF摩根</t>
        </is>
      </c>
      <c r="D1444" t="n">
        <v>4886.75</v>
      </c>
      <c r="E1444" t="n">
        <v>5086.75</v>
      </c>
      <c r="F1444" t="n">
        <v>101.79</v>
      </c>
      <c r="G1444" t="n">
        <v>-200</v>
      </c>
      <c r="H1444" t="n">
        <v>51.778069</v>
      </c>
      <c r="I1444" t="n">
        <v>53.779505</v>
      </c>
      <c r="J1444" t="n">
        <v>-2.001436</v>
      </c>
      <c r="K1444" s="4">
        <f>IFERROR(J1444/I1444,"")</f>
        <v/>
      </c>
      <c r="L1444" s="4">
        <f>IFERROR((D1444-E1444)/E1444,"")</f>
        <v/>
      </c>
    </row>
    <row r="1445">
      <c r="A1445" t="inlineStr">
        <is>
          <t>2026-06-19</t>
        </is>
      </c>
      <c r="B1445" t="inlineStr">
        <is>
          <t>551500</t>
        </is>
      </c>
      <c r="C1445" t="inlineStr">
        <is>
          <t>科创债ETF易方达</t>
        </is>
      </c>
      <c r="D1445" t="n">
        <v>10652</v>
      </c>
      <c r="E1445" t="n">
        <v>10627</v>
      </c>
      <c r="F1445" t="n">
        <v>101.819</v>
      </c>
      <c r="G1445" t="n">
        <v>25</v>
      </c>
      <c r="H1445" t="n">
        <v>108.203094</v>
      </c>
      <c r="I1445" t="n">
        <v>108.151022</v>
      </c>
      <c r="J1445" t="n">
        <v>0.052072</v>
      </c>
      <c r="K1445" s="4">
        <f>IFERROR(J1445/I1445,"")</f>
        <v/>
      </c>
      <c r="L1445" s="4">
        <f>IFERROR((D1445-E1445)/E1445,"")</f>
        <v/>
      </c>
    </row>
    <row r="1446">
      <c r="A1446" t="inlineStr">
        <is>
          <t>2026-06-19</t>
        </is>
      </c>
      <c r="B1446" t="inlineStr">
        <is>
          <t>551510</t>
        </is>
      </c>
      <c r="C1446" t="inlineStr">
        <is>
          <t>科创债ETF华泰柏瑞</t>
        </is>
      </c>
      <c r="D1446" t="n">
        <v>12599.61</v>
      </c>
      <c r="E1446" t="n">
        <v>12279.61</v>
      </c>
      <c r="F1446" t="n">
        <v>101.969</v>
      </c>
      <c r="G1446" t="n">
        <v>320</v>
      </c>
      <c r="H1446" t="n">
        <v>125.214</v>
      </c>
      <c r="I1446" t="n">
        <v>124.649122</v>
      </c>
      <c r="J1446" t="n">
        <v>0.564878</v>
      </c>
      <c r="K1446" s="4">
        <f>IFERROR(J1446/I1446,"")</f>
        <v/>
      </c>
      <c r="L1446" s="4">
        <f>IFERROR((D1446-E1446)/E1446,"")</f>
        <v/>
      </c>
    </row>
    <row r="1447">
      <c r="A1447" t="inlineStr">
        <is>
          <t>2026-06-19</t>
        </is>
      </c>
      <c r="B1447" t="inlineStr">
        <is>
          <t>551520</t>
        </is>
      </c>
      <c r="C1447" t="inlineStr">
        <is>
          <t>科创债ETF汇添富</t>
        </is>
      </c>
      <c r="D1447" t="n">
        <v>18502.16</v>
      </c>
      <c r="E1447" t="n">
        <v>18502.16</v>
      </c>
      <c r="F1447" t="n">
        <v>101.644</v>
      </c>
      <c r="G1447" t="n">
        <v>0</v>
      </c>
      <c r="H1447" t="n">
        <v>188.063392</v>
      </c>
      <c r="I1447" t="n">
        <v>175.339098</v>
      </c>
      <c r="J1447" t="n">
        <v>12.724294</v>
      </c>
      <c r="K1447" s="4">
        <f>IFERROR(J1447/I1447,"")</f>
        <v/>
      </c>
      <c r="L1447" s="4">
        <f>IFERROR((D1447-E1447)/E1447,"")</f>
        <v/>
      </c>
    </row>
    <row r="1448">
      <c r="A1448" t="inlineStr">
        <is>
          <t>2026-06-19</t>
        </is>
      </c>
      <c r="B1448" t="inlineStr">
        <is>
          <t>551550</t>
        </is>
      </c>
      <c r="C1448" t="inlineStr">
        <is>
          <t>科创债ETF华夏</t>
        </is>
      </c>
      <c r="D1448" t="n">
        <v>16614.82</v>
      </c>
      <c r="E1448" t="n">
        <v>16613.82</v>
      </c>
      <c r="F1448" t="n">
        <v>101.362</v>
      </c>
      <c r="G1448" t="n">
        <v>1</v>
      </c>
      <c r="H1448" t="n">
        <v>168.400982</v>
      </c>
      <c r="I1448" t="n">
        <v>168.133542</v>
      </c>
      <c r="J1448" t="n">
        <v>0.26744</v>
      </c>
      <c r="K1448" s="4">
        <f>IFERROR(J1448/I1448,"")</f>
        <v/>
      </c>
      <c r="L1448" s="4">
        <f>IFERROR((D1448-E1448)/E1448,"")</f>
        <v/>
      </c>
    </row>
    <row r="1449">
      <c r="A1449" t="inlineStr">
        <is>
          <t>2026-06-19</t>
        </is>
      </c>
      <c r="B1449" t="inlineStr">
        <is>
          <t>551560</t>
        </is>
      </c>
      <c r="C1449" t="inlineStr">
        <is>
          <t>科创债ETF兴业</t>
        </is>
      </c>
      <c r="D1449" t="n">
        <v>17060.88</v>
      </c>
      <c r="E1449" t="n">
        <v>17045.88</v>
      </c>
      <c r="F1449" t="n">
        <v>101.545</v>
      </c>
      <c r="G1449" t="n">
        <v>15</v>
      </c>
      <c r="H1449" t="n">
        <v>173.092374</v>
      </c>
      <c r="I1449" t="n">
        <v>172.55865</v>
      </c>
      <c r="J1449" t="n">
        <v>0.533724</v>
      </c>
      <c r="K1449" s="4">
        <f>IFERROR(J1449/I1449,"")</f>
        <v/>
      </c>
      <c r="L1449" s="4">
        <f>IFERROR((D1449-E1449)/E1449,"")</f>
        <v/>
      </c>
    </row>
    <row r="1450">
      <c r="A1450" t="inlineStr">
        <is>
          <t>2026-06-19</t>
        </is>
      </c>
      <c r="B1450" t="inlineStr">
        <is>
          <t>551580</t>
        </is>
      </c>
      <c r="C1450" t="inlineStr">
        <is>
          <t>科创债ETF泰康</t>
        </is>
      </c>
      <c r="D1450" t="n">
        <v>11377.68</v>
      </c>
      <c r="E1450" t="n">
        <v>11108.68</v>
      </c>
      <c r="F1450" t="n">
        <v>101.855</v>
      </c>
      <c r="G1450" t="n">
        <v>269</v>
      </c>
      <c r="H1450" t="n">
        <v>113.147414</v>
      </c>
      <c r="I1450" t="n">
        <v>113.089649</v>
      </c>
      <c r="J1450" t="n">
        <v>0.057765</v>
      </c>
      <c r="K1450" s="4">
        <f>IFERROR(J1450/I1450,"")</f>
        <v/>
      </c>
      <c r="L1450" s="4">
        <f>IFERROR((D1450-E1450)/E1450,"")</f>
        <v/>
      </c>
    </row>
    <row r="1451">
      <c r="A1451" t="inlineStr">
        <is>
          <t>2026-06-19</t>
        </is>
      </c>
      <c r="B1451" t="inlineStr">
        <is>
          <t>551800</t>
        </is>
      </c>
      <c r="C1451" t="inlineStr">
        <is>
          <t>科创债ETF国泰</t>
        </is>
      </c>
      <c r="D1451" t="n">
        <v>12046.14</v>
      </c>
      <c r="E1451" t="n">
        <v>12046.14</v>
      </c>
      <c r="F1451" t="n">
        <v>100.72</v>
      </c>
      <c r="G1451" t="n">
        <v>0</v>
      </c>
      <c r="H1451" t="n">
        <v>121.32874</v>
      </c>
      <c r="I1451" t="n">
        <v>121.286579</v>
      </c>
      <c r="J1451" t="n">
        <v>0.042161</v>
      </c>
      <c r="K1451" s="4">
        <f>IFERROR(J1451/I1451,"")</f>
        <v/>
      </c>
      <c r="L1451" s="4">
        <f>IFERROR((D1451-E1451)/E1451,"")</f>
        <v/>
      </c>
    </row>
    <row r="1452">
      <c r="A1452" t="inlineStr">
        <is>
          <t>2026-06-19</t>
        </is>
      </c>
      <c r="B1452" t="inlineStr">
        <is>
          <t>551900</t>
        </is>
      </c>
      <c r="C1452" t="inlineStr">
        <is>
          <t>科创债ETF招商</t>
        </is>
      </c>
      <c r="D1452" t="n">
        <v>14250.17</v>
      </c>
      <c r="E1452" t="n">
        <v>14230.17</v>
      </c>
      <c r="F1452" t="n">
        <v>101.424</v>
      </c>
      <c r="G1452" t="n">
        <v>20</v>
      </c>
      <c r="H1452" t="n">
        <v>144.328025</v>
      </c>
      <c r="I1452" t="n">
        <v>143.964113</v>
      </c>
      <c r="J1452" t="n">
        <v>0.363912</v>
      </c>
      <c r="K1452" s="4">
        <f>IFERROR(J1452/I1452,"")</f>
        <v/>
      </c>
      <c r="L1452" s="4">
        <f>IFERROR((D1452-E1452)/E1452,"")</f>
        <v/>
      </c>
    </row>
    <row r="1453">
      <c r="A1453" t="inlineStr">
        <is>
          <t>2026-06-19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</row>
    <row r="1454">
      <c r="A1454" t="inlineStr">
        <is>
          <t>2026-06-19</t>
        </is>
      </c>
      <c r="B1454" t="inlineStr">
        <is>
          <t>560010</t>
        </is>
      </c>
      <c r="C1454" t="inlineStr">
        <is>
          <t>中证1000ETF广发</t>
        </is>
      </c>
      <c r="D1454" t="n">
        <v>107262.17</v>
      </c>
      <c r="E1454" t="n">
        <v>99062.17</v>
      </c>
      <c r="F1454" t="n">
        <v>3.634</v>
      </c>
      <c r="G1454" t="n">
        <v>8200</v>
      </c>
      <c r="H1454" t="n">
        <v>35.999194</v>
      </c>
      <c r="I1454" t="n">
        <v>32.377341</v>
      </c>
      <c r="J1454" t="n">
        <v>3.621853</v>
      </c>
      <c r="K1454" s="4">
        <f>IFERROR(J1454/I1454,"")</f>
        <v/>
      </c>
      <c r="L1454" s="4">
        <f>IFERROR((D1454-E1454)/E1454,"")</f>
        <v/>
      </c>
    </row>
    <row r="1455">
      <c r="A1455" t="inlineStr">
        <is>
          <t>2026-06-19</t>
        </is>
      </c>
      <c r="B1455" t="inlineStr">
        <is>
          <t>560020</t>
        </is>
      </c>
      <c r="C1455" t="inlineStr">
        <is>
          <t>红利ETF汇添富</t>
        </is>
      </c>
      <c r="D1455" t="n">
        <v>11456.2</v>
      </c>
      <c r="E1455" t="n">
        <v>11356.2</v>
      </c>
      <c r="F1455" t="n">
        <v>1.056</v>
      </c>
      <c r="G1455" t="n">
        <v>100</v>
      </c>
      <c r="H1455" t="n">
        <v>1.199215</v>
      </c>
      <c r="I1455" t="n">
        <v>1.220792</v>
      </c>
      <c r="J1455" t="n">
        <v>-0.021577</v>
      </c>
      <c r="K1455" s="4">
        <f>IFERROR(J1455/I1455,"")</f>
        <v/>
      </c>
      <c r="L1455" s="4">
        <f>IFERROR((D1455-E1455)/E1455,"")</f>
        <v/>
      </c>
    </row>
    <row r="1456">
      <c r="A1456" t="inlineStr">
        <is>
          <t>2026-06-19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1.237</v>
      </c>
      <c r="G1456" t="n">
        <v>0</v>
      </c>
      <c r="H1456" t="n">
        <v>0.289854</v>
      </c>
      <c r="I1456" t="n">
        <v>0.298055</v>
      </c>
      <c r="J1456" t="n">
        <v>-0.008201</v>
      </c>
      <c r="K1456" s="4">
        <f>IFERROR(J1456/I1456,"")</f>
        <v/>
      </c>
      <c r="L1456" s="4">
        <f>IFERROR((D1456-E1456)/E1456,"")</f>
        <v/>
      </c>
    </row>
    <row r="1457">
      <c r="A1457" t="inlineStr">
        <is>
          <t>2026-06-19</t>
        </is>
      </c>
      <c r="B1457" t="inlineStr">
        <is>
          <t>560050</t>
        </is>
      </c>
      <c r="C1457" t="inlineStr">
        <is>
          <t>中国A50ETF汇添富</t>
        </is>
      </c>
      <c r="D1457" t="n">
        <v>241243.44</v>
      </c>
      <c r="E1457" t="n">
        <v>238493.44</v>
      </c>
      <c r="F1457" t="n">
        <v>1.157</v>
      </c>
      <c r="G1457" t="n">
        <v>2750</v>
      </c>
      <c r="H1457" t="n">
        <v>27.593691</v>
      </c>
      <c r="I1457" t="n">
        <v>27.31695</v>
      </c>
      <c r="J1457" t="n">
        <v>0.276741</v>
      </c>
      <c r="K1457" s="4">
        <f>IFERROR(J1457/I1457,"")</f>
        <v/>
      </c>
      <c r="L1457" s="4">
        <f>IFERROR((D1457-E1457)/E1457,"")</f>
        <v/>
      </c>
    </row>
    <row r="1458">
      <c r="A1458" t="inlineStr">
        <is>
          <t>2026-06-19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7709</v>
      </c>
      <c r="F1458" t="n">
        <v>1.006</v>
      </c>
      <c r="G1458" t="n">
        <v>0</v>
      </c>
      <c r="H1458" t="n">
        <v>0.775525</v>
      </c>
      <c r="I1458" t="n">
        <v>0.778609</v>
      </c>
      <c r="J1458" t="n">
        <v>-0.003084</v>
      </c>
      <c r="K1458" s="4">
        <f>IFERROR(J1458/I1458,"")</f>
        <v/>
      </c>
      <c r="L1458" s="4">
        <f>IFERROR((D1458-E1458)/E1458,"")</f>
        <v/>
      </c>
    </row>
    <row r="1459">
      <c r="A1459" t="inlineStr">
        <is>
          <t>2026-06-19</t>
        </is>
      </c>
      <c r="B1459" t="inlineStr">
        <is>
          <t>560070</t>
        </is>
      </c>
      <c r="C1459" t="inlineStr">
        <is>
          <t>央企红利ETF汇添富</t>
        </is>
      </c>
      <c r="D1459" t="n">
        <v>13036.23</v>
      </c>
      <c r="E1459" t="n">
        <v>13036.23</v>
      </c>
      <c r="F1459" t="n">
        <v>1.111</v>
      </c>
      <c r="G1459" t="n">
        <v>0</v>
      </c>
      <c r="H1459" t="n">
        <v>1.448325</v>
      </c>
      <c r="I1459" t="n">
        <v>1.482669</v>
      </c>
      <c r="J1459" t="n">
        <v>-0.034344</v>
      </c>
      <c r="K1459" s="4">
        <f>IFERROR(J1459/I1459,"")</f>
        <v/>
      </c>
      <c r="L1459" s="4">
        <f>IFERROR((D1459-E1459)/E1459,"")</f>
        <v/>
      </c>
    </row>
    <row r="1460">
      <c r="A1460" t="inlineStr">
        <is>
          <t>2026-06-19</t>
        </is>
      </c>
      <c r="B1460" t="inlineStr">
        <is>
          <t>560080</t>
        </is>
      </c>
      <c r="C1460" t="inlineStr">
        <is>
          <t>中药ETF汇添富</t>
        </is>
      </c>
      <c r="D1460" t="n">
        <v>264476.5</v>
      </c>
      <c r="E1460" t="n">
        <v>265926.5</v>
      </c>
      <c r="F1460" t="n">
        <v>0.896</v>
      </c>
      <c r="G1460" t="n">
        <v>-1450</v>
      </c>
      <c r="H1460" t="n">
        <v>23.827014</v>
      </c>
      <c r="I1460" t="n">
        <v>23.90539</v>
      </c>
      <c r="J1460" t="n">
        <v>-0.078376</v>
      </c>
      <c r="K1460" s="4">
        <f>IFERROR(J1460/I1460,"")</f>
        <v/>
      </c>
      <c r="L1460" s="4">
        <f>IFERROR((D1460-E1460)/E1460,"")</f>
        <v/>
      </c>
    </row>
    <row r="1461">
      <c r="A1461" t="inlineStr">
        <is>
          <t>2026-06-19</t>
        </is>
      </c>
      <c r="B1461" t="inlineStr">
        <is>
          <t>560090</t>
        </is>
      </c>
      <c r="C1461" t="inlineStr">
        <is>
          <t>证券ETF汇添富</t>
        </is>
      </c>
      <c r="D1461" t="n">
        <v>230586.5</v>
      </c>
      <c r="E1461" t="n">
        <v>230986.5</v>
      </c>
      <c r="F1461" t="n">
        <v>1.127</v>
      </c>
      <c r="G1461" t="n">
        <v>-400</v>
      </c>
      <c r="H1461" t="n">
        <v>26.032179</v>
      </c>
      <c r="I1461" t="n">
        <v>26.985834</v>
      </c>
      <c r="J1461" t="n">
        <v>-0.953655</v>
      </c>
      <c r="K1461" s="4">
        <f>IFERROR(J1461/I1461,"")</f>
        <v/>
      </c>
      <c r="L1461" s="4">
        <f>IFERROR((D1461-E1461)/E1461,"")</f>
        <v/>
      </c>
    </row>
    <row r="1462">
      <c r="A1462" t="inlineStr">
        <is>
          <t>2026-06-19</t>
        </is>
      </c>
      <c r="B1462" t="inlineStr">
        <is>
          <t>560100</t>
        </is>
      </c>
      <c r="C1462" t="inlineStr">
        <is>
          <t>中证500增强ETF南方</t>
        </is>
      </c>
      <c r="D1462" t="n">
        <v>5958.03</v>
      </c>
      <c r="E1462" t="n">
        <v>5958.03</v>
      </c>
      <c r="F1462" t="n">
        <v>1.469</v>
      </c>
      <c r="G1462" t="n">
        <v>0</v>
      </c>
      <c r="H1462" t="n">
        <v>0.875235</v>
      </c>
      <c r="I1462" t="n">
        <v>0.869873</v>
      </c>
      <c r="J1462" t="n">
        <v>0.005362</v>
      </c>
      <c r="K1462" s="4">
        <f>IFERROR(J1462/I1462,"")</f>
        <v/>
      </c>
      <c r="L1462" s="4">
        <f>IFERROR((D1462-E1462)/E1462,"")</f>
        <v/>
      </c>
    </row>
    <row r="1463">
      <c r="A1463" t="inlineStr">
        <is>
          <t>2026-06-19</t>
        </is>
      </c>
      <c r="B1463" t="inlineStr">
        <is>
          <t>560110</t>
        </is>
      </c>
      <c r="C1463" t="inlineStr">
        <is>
          <t>中证1000ETF汇添富</t>
        </is>
      </c>
      <c r="D1463" t="n">
        <v>13390.35</v>
      </c>
      <c r="E1463" t="n">
        <v>13390.35</v>
      </c>
      <c r="F1463" t="n">
        <v>1.31</v>
      </c>
      <c r="G1463" t="n">
        <v>0</v>
      </c>
      <c r="H1463" t="n">
        <v>1.754136</v>
      </c>
      <c r="I1463" t="n">
        <v>1.740746</v>
      </c>
      <c r="J1463" t="n">
        <v>0.01339</v>
      </c>
      <c r="K1463" s="4">
        <f>IFERROR(J1463/I1463,"")</f>
        <v/>
      </c>
      <c r="L1463" s="4">
        <f>IFERROR((D1463-E1463)/E1463,"")</f>
        <v/>
      </c>
    </row>
    <row r="1464">
      <c r="A1464" t="inlineStr">
        <is>
          <t>2026-06-19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68468.89999999999</v>
      </c>
      <c r="E1464" t="n">
        <v>69668.89999999999</v>
      </c>
      <c r="F1464" t="n">
        <v>1.158</v>
      </c>
      <c r="G1464" t="n">
        <v>-1200</v>
      </c>
      <c r="H1464" t="n">
        <v>8.067659000000001</v>
      </c>
      <c r="I1464" t="n">
        <v>8.277676</v>
      </c>
      <c r="J1464" t="n">
        <v>-0.210017</v>
      </c>
      <c r="K1464" s="4">
        <f>IFERROR(J1464/I1464,"")</f>
        <v/>
      </c>
      <c r="L1464" s="4">
        <f>IFERROR((D1464-E1464)/E1464,"")</f>
        <v/>
      </c>
    </row>
    <row r="1465">
      <c r="A1465" t="inlineStr">
        <is>
          <t>2026-06-19</t>
        </is>
      </c>
      <c r="B1465" t="inlineStr">
        <is>
          <t>560130</t>
        </is>
      </c>
      <c r="C1465" t="inlineStr">
        <is>
          <t>食品ETF鹏华</t>
        </is>
      </c>
      <c r="D1465" t="n">
        <v>7477.62</v>
      </c>
      <c r="E1465" t="n">
        <v>7477.62</v>
      </c>
      <c r="F1465" t="n">
        <v>0.875</v>
      </c>
      <c r="G1465" t="n">
        <v>0</v>
      </c>
      <c r="H1465" t="n">
        <v>0.654292</v>
      </c>
      <c r="I1465" t="n">
        <v>0.663265</v>
      </c>
      <c r="J1465" t="n">
        <v>-0.008973</v>
      </c>
      <c r="K1465" s="4">
        <f>IFERROR(J1465/I1465,"")</f>
        <v/>
      </c>
      <c r="L1465" s="4">
        <f>IFERROR((D1465-E1465)/E1465,"")</f>
        <v/>
      </c>
    </row>
    <row r="1466">
      <c r="A1466" t="inlineStr">
        <is>
          <t>2026-06-19</t>
        </is>
      </c>
      <c r="B1466" t="inlineStr">
        <is>
          <t>560150</t>
        </is>
      </c>
      <c r="C1466" t="inlineStr">
        <is>
          <t>红利低波ETF泰康</t>
        </is>
      </c>
      <c r="D1466" t="n">
        <v>68327.92999999999</v>
      </c>
      <c r="E1466" t="n">
        <v>68327.92999999999</v>
      </c>
      <c r="F1466" t="n">
        <v>1.074</v>
      </c>
      <c r="G1466" t="n">
        <v>0</v>
      </c>
      <c r="H1466" t="n">
        <v>7.338419</v>
      </c>
      <c r="I1466" t="n">
        <v>7.502406</v>
      </c>
      <c r="J1466" t="n">
        <v>-0.163987</v>
      </c>
      <c r="K1466" s="4">
        <f>IFERROR(J1466/I1466,"")</f>
        <v/>
      </c>
      <c r="L1466" s="4">
        <f>IFERROR((D1466-E1466)/E1466,"")</f>
        <v/>
      </c>
    </row>
    <row r="1467">
      <c r="A1467" t="inlineStr">
        <is>
          <t>2026-06-19</t>
        </is>
      </c>
      <c r="B1467" t="inlineStr">
        <is>
          <t>560160</t>
        </is>
      </c>
      <c r="C1467" t="inlineStr">
        <is>
          <t>食品ETF易方达</t>
        </is>
      </c>
      <c r="D1467" t="n">
        <v>12270.6</v>
      </c>
      <c r="E1467" t="n">
        <v>12370.6</v>
      </c>
      <c r="F1467" t="n">
        <v>0.881</v>
      </c>
      <c r="G1467" t="n">
        <v>-100</v>
      </c>
      <c r="H1467" t="n">
        <v>1.08985</v>
      </c>
      <c r="I1467" t="n">
        <v>1.103458</v>
      </c>
      <c r="J1467" t="n">
        <v>-0.013608</v>
      </c>
      <c r="K1467" s="4">
        <f>IFERROR(J1467/I1467,"")</f>
        <v/>
      </c>
      <c r="L1467" s="4">
        <f>IFERROR((D1467-E1467)/E1467,"")</f>
        <v/>
      </c>
    </row>
    <row r="1468">
      <c r="A1468" t="inlineStr">
        <is>
          <t>2026-06-19</t>
        </is>
      </c>
      <c r="B1468" t="inlineStr">
        <is>
          <t>560170</t>
        </is>
      </c>
      <c r="C1468" t="inlineStr">
        <is>
          <t>央企科技ETF南方</t>
        </is>
      </c>
      <c r="D1468" t="n">
        <v>28499.55</v>
      </c>
      <c r="E1468" t="n">
        <v>28099.55</v>
      </c>
      <c r="F1468" t="n">
        <v>1.429</v>
      </c>
      <c r="G1468" t="n">
        <v>400</v>
      </c>
      <c r="H1468" t="n">
        <v>4.015426</v>
      </c>
      <c r="I1468" t="n">
        <v>3.858417</v>
      </c>
      <c r="J1468" t="n">
        <v>0.157009</v>
      </c>
      <c r="K1468" s="4">
        <f>IFERROR(J1468/I1468,"")</f>
        <v/>
      </c>
      <c r="L1468" s="4">
        <f>IFERROR((D1468-E1468)/E1468,"")</f>
        <v/>
      </c>
    </row>
    <row r="1469">
      <c r="A1469" t="inlineStr">
        <is>
          <t>2026-06-19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1.259</v>
      </c>
      <c r="G1469" t="n">
        <v>0</v>
      </c>
      <c r="H1469" t="n">
        <v>0.196442</v>
      </c>
      <c r="I1469" t="n">
        <v>0.195974</v>
      </c>
      <c r="J1469" t="n">
        <v>0.000468</v>
      </c>
      <c r="K1469" s="4">
        <f>IFERROR(J1469/I1469,"")</f>
        <v/>
      </c>
      <c r="L1469" s="4">
        <f>IFERROR((D1469-E1469)/E1469,"")</f>
        <v/>
      </c>
    </row>
    <row r="1470">
      <c r="A1470" t="inlineStr">
        <is>
          <t>2026-06-19</t>
        </is>
      </c>
      <c r="B1470" t="inlineStr">
        <is>
          <t>560190</t>
        </is>
      </c>
      <c r="C1470" t="inlineStr">
        <is>
          <t>公用事业ETF鹏华</t>
        </is>
      </c>
      <c r="D1470" t="n">
        <v>2033.4</v>
      </c>
      <c r="E1470" t="n">
        <v>2133.4</v>
      </c>
      <c r="F1470" t="n">
        <v>1.038</v>
      </c>
      <c r="G1470" t="n">
        <v>-100</v>
      </c>
      <c r="H1470" t="n">
        <v>0.221447</v>
      </c>
      <c r="I1470" t="n">
        <v>0.239867</v>
      </c>
      <c r="J1470" t="n">
        <v>-0.01842</v>
      </c>
      <c r="K1470" s="4">
        <f>IFERROR(J1470/I1470,"")</f>
        <v/>
      </c>
      <c r="L1470" s="4">
        <f>IFERROR((D1470-E1470)/E1470,"")</f>
        <v/>
      </c>
    </row>
    <row r="1471">
      <c r="A1471" t="inlineStr">
        <is>
          <t>2026-06-19</t>
        </is>
      </c>
      <c r="B1471" t="inlineStr">
        <is>
          <t>560210</t>
        </is>
      </c>
      <c r="C1471" t="inlineStr">
        <is>
          <t>农牧渔ETF景顺</t>
        </is>
      </c>
      <c r="D1471" t="n">
        <v>58052.2</v>
      </c>
      <c r="E1471" t="n">
        <v>58952.2</v>
      </c>
      <c r="F1471" t="n">
        <v>0.736</v>
      </c>
      <c r="G1471" t="n">
        <v>-900</v>
      </c>
      <c r="H1471" t="n">
        <v>4.338882</v>
      </c>
      <c r="I1471" t="n">
        <v>4.427674</v>
      </c>
      <c r="J1471" t="n">
        <v>-0.088792</v>
      </c>
      <c r="K1471" s="4">
        <f>IFERROR(J1471/I1471,"")</f>
        <v/>
      </c>
      <c r="L1471" s="4">
        <f>IFERROR((D1471-E1471)/E1471,"")</f>
        <v/>
      </c>
    </row>
    <row r="1472">
      <c r="A1472" t="inlineStr">
        <is>
          <t>2026-06-19</t>
        </is>
      </c>
      <c r="B1472" t="inlineStr">
        <is>
          <t>560220</t>
        </is>
      </c>
      <c r="C1472" t="inlineStr">
        <is>
          <t>中证2000ETF广发</t>
        </is>
      </c>
      <c r="D1472" t="n">
        <v>4871.7</v>
      </c>
      <c r="E1472" t="n">
        <v>4871.7</v>
      </c>
      <c r="F1472" t="n">
        <v>1.574</v>
      </c>
      <c r="G1472" t="n">
        <v>0</v>
      </c>
      <c r="H1472" t="n">
        <v>0.766806</v>
      </c>
      <c r="I1472" t="n">
        <v>0.76096</v>
      </c>
      <c r="J1472" t="n">
        <v>0.005846</v>
      </c>
      <c r="K1472" s="4">
        <f>IFERROR(J1472/I1472,"")</f>
        <v/>
      </c>
      <c r="L1472" s="4">
        <f>IFERROR((D1472-E1472)/E1472,"")</f>
        <v/>
      </c>
    </row>
    <row r="1473">
      <c r="A1473" t="inlineStr">
        <is>
          <t>2026-06-19</t>
        </is>
      </c>
      <c r="B1473" t="inlineStr">
        <is>
          <t>560230</t>
        </is>
      </c>
      <c r="C1473" t="inlineStr">
        <is>
          <t>光伏ETF富国</t>
        </is>
      </c>
      <c r="D1473" t="n">
        <v>8388.9</v>
      </c>
      <c r="E1473" t="n">
        <v>8588.9</v>
      </c>
      <c r="F1473" t="n">
        <v>0.919</v>
      </c>
      <c r="G1473" t="n">
        <v>-200</v>
      </c>
      <c r="H1473" t="n">
        <v>0.78932</v>
      </c>
      <c r="I1473" t="n">
        <v>0.817368</v>
      </c>
      <c r="J1473" t="n">
        <v>-0.028048</v>
      </c>
      <c r="K1473" s="4">
        <f>IFERROR(J1473/I1473,"")</f>
        <v/>
      </c>
      <c r="L1473" s="4">
        <f>IFERROR((D1473-E1473)/E1473,"")</f>
        <v/>
      </c>
    </row>
    <row r="1474">
      <c r="A1474" t="inlineStr">
        <is>
          <t>2026-06-19</t>
        </is>
      </c>
      <c r="B1474" t="inlineStr">
        <is>
          <t>560250</t>
        </is>
      </c>
      <c r="C1474" t="inlineStr">
        <is>
          <t>红利质量ETF富国</t>
        </is>
      </c>
      <c r="D1474" t="n">
        <v>29983.3</v>
      </c>
      <c r="E1474" t="n">
        <v>30433.3</v>
      </c>
      <c r="F1474" t="n">
        <v>0.93</v>
      </c>
      <c r="G1474" t="n">
        <v>-450</v>
      </c>
      <c r="H1474" t="n">
        <v>2.830297</v>
      </c>
      <c r="I1474" t="n">
        <v>2.877889</v>
      </c>
      <c r="J1474" t="n">
        <v>-0.047592</v>
      </c>
      <c r="K1474" s="4">
        <f>IFERROR(J1474/I1474,"")</f>
        <v/>
      </c>
      <c r="L1474" s="4">
        <f>IFERROR((D1474-E1474)/E1474,"")</f>
        <v/>
      </c>
    </row>
    <row r="1475">
      <c r="A1475" t="inlineStr">
        <is>
          <t>2026-06-19</t>
        </is>
      </c>
      <c r="B1475" t="inlineStr">
        <is>
          <t>560260</t>
        </is>
      </c>
      <c r="C1475" t="inlineStr">
        <is>
          <t>医疗ETF广发</t>
        </is>
      </c>
      <c r="D1475" t="n">
        <v>188066.47</v>
      </c>
      <c r="E1475" t="n">
        <v>188066.47</v>
      </c>
      <c r="F1475" t="n">
        <v>0.745</v>
      </c>
      <c r="G1475" t="n">
        <v>0</v>
      </c>
      <c r="H1475" t="n">
        <v>14.010952</v>
      </c>
      <c r="I1475" t="n">
        <v>13.878492</v>
      </c>
      <c r="J1475" t="n">
        <v>0.13246</v>
      </c>
      <c r="K1475" s="4">
        <f>IFERROR(J1475/I1475,"")</f>
        <v/>
      </c>
      <c r="L1475" s="4">
        <f>IFERROR((D1475-E1475)/E1475,"")</f>
        <v/>
      </c>
    </row>
    <row r="1476">
      <c r="A1476" t="inlineStr">
        <is>
          <t>2026-06-19</t>
        </is>
      </c>
      <c r="B1476" t="inlineStr">
        <is>
          <t>560270</t>
        </is>
      </c>
      <c r="C1476" t="inlineStr">
        <is>
          <t>电力ETF工银</t>
        </is>
      </c>
      <c r="D1476" t="n">
        <v>15493.9</v>
      </c>
      <c r="E1476" t="n">
        <v>14393.9</v>
      </c>
      <c r="F1476" t="n">
        <v>0.995</v>
      </c>
      <c r="G1476" t="n">
        <v>1100</v>
      </c>
      <c r="H1476" t="n">
        <v>1.432193</v>
      </c>
      <c r="I1476" t="n">
        <v>1.473119</v>
      </c>
      <c r="J1476" t="n">
        <v>-0.040926</v>
      </c>
      <c r="K1476" s="4">
        <f>IFERROR(J1476/I1476,"")</f>
        <v/>
      </c>
      <c r="L1476" s="4">
        <f>IFERROR((D1476-E1476)/E1476,"")</f>
        <v/>
      </c>
    </row>
    <row r="1477">
      <c r="A1477" t="inlineStr">
        <is>
          <t>2026-06-19</t>
        </is>
      </c>
      <c r="B1477" t="inlineStr">
        <is>
          <t>560280</t>
        </is>
      </c>
      <c r="C1477" t="inlineStr">
        <is>
          <t>工程机械ETF广发</t>
        </is>
      </c>
      <c r="D1477" t="n">
        <v>199425.2</v>
      </c>
      <c r="E1477" t="n">
        <v>199775.2</v>
      </c>
      <c r="F1477" t="n">
        <v>1.648</v>
      </c>
      <c r="G1477" t="n">
        <v>-350</v>
      </c>
      <c r="H1477" t="n">
        <v>32.922953</v>
      </c>
      <c r="I1477" t="n">
        <v>33.482658</v>
      </c>
      <c r="J1477" t="n">
        <v>-0.559705</v>
      </c>
      <c r="K1477" s="4">
        <f>IFERROR(J1477/I1477,"")</f>
        <v/>
      </c>
      <c r="L1477" s="4">
        <f>IFERROR((D1477-E1477)/E1477,"")</f>
        <v/>
      </c>
    </row>
    <row r="1478">
      <c r="A1478" t="inlineStr">
        <is>
          <t>2026-06-19</t>
        </is>
      </c>
      <c r="B1478" t="inlineStr">
        <is>
          <t>560290</t>
        </is>
      </c>
      <c r="C1478" t="inlineStr">
        <is>
          <t>有色ETF景顺</t>
        </is>
      </c>
      <c r="D1478" t="n">
        <v>25269.4</v>
      </c>
      <c r="E1478" t="n">
        <v>25269.4</v>
      </c>
      <c r="F1478" t="n">
        <v>0.886</v>
      </c>
      <c r="G1478" t="n">
        <v>0</v>
      </c>
      <c r="H1478" t="n">
        <v>2.238869</v>
      </c>
      <c r="I1478" t="n">
        <v>2.217424</v>
      </c>
      <c r="J1478" t="n">
        <v>0.021445</v>
      </c>
      <c r="K1478" s="4">
        <f>IFERROR(J1478/I1478,"")</f>
        <v/>
      </c>
      <c r="L1478" s="4">
        <f>IFERROR((D1478-E1478)/E1478,"")</f>
        <v/>
      </c>
    </row>
    <row r="1479">
      <c r="A1479" t="inlineStr">
        <is>
          <t>2026-06-19</t>
        </is>
      </c>
      <c r="B1479" t="inlineStr">
        <is>
          <t>560300</t>
        </is>
      </c>
      <c r="C1479" t="inlineStr">
        <is>
          <t>电信ETF汇添富</t>
        </is>
      </c>
      <c r="D1479" t="n">
        <v>3080.34</v>
      </c>
      <c r="E1479" t="n">
        <v>3080.34</v>
      </c>
      <c r="F1479" t="n">
        <v>2.521</v>
      </c>
      <c r="G1479" t="n">
        <v>0</v>
      </c>
      <c r="H1479" t="n">
        <v>0.776553</v>
      </c>
      <c r="I1479" t="n">
        <v>0.771008</v>
      </c>
      <c r="J1479" t="n">
        <v>0.005545</v>
      </c>
      <c r="K1479" s="4">
        <f>IFERROR(J1479/I1479,"")</f>
        <v/>
      </c>
      <c r="L1479" s="4">
        <f>IFERROR((D1479-E1479)/E1479,"")</f>
        <v/>
      </c>
    </row>
    <row r="1480">
      <c r="A1480" t="inlineStr">
        <is>
          <t>2026-06-19</t>
        </is>
      </c>
      <c r="B1480" t="inlineStr">
        <is>
          <t>560310</t>
        </is>
      </c>
      <c r="C1480" t="inlineStr">
        <is>
          <t>光伏ETF博时</t>
        </is>
      </c>
      <c r="D1480" t="n">
        <v>18612.2</v>
      </c>
      <c r="E1480" t="n">
        <v>18512.2</v>
      </c>
      <c r="F1480" t="n">
        <v>0.917</v>
      </c>
      <c r="G1480" t="n">
        <v>100</v>
      </c>
      <c r="H1480" t="n">
        <v>1.697569</v>
      </c>
      <c r="I1480" t="n">
        <v>1.716081</v>
      </c>
      <c r="J1480" t="n">
        <v>-0.018512</v>
      </c>
      <c r="K1480" s="4">
        <f>IFERROR(J1480/I1480,"")</f>
        <v/>
      </c>
      <c r="L1480" s="4">
        <f>IFERROR((D1480-E1480)/E1480,"")</f>
        <v/>
      </c>
    </row>
    <row r="1481">
      <c r="A1481" t="inlineStr">
        <is>
          <t>2026-06-19</t>
        </is>
      </c>
      <c r="B1481" t="inlineStr">
        <is>
          <t>560320</t>
        </is>
      </c>
      <c r="C1481" t="inlineStr">
        <is>
          <t>食品ETF富国</t>
        </is>
      </c>
      <c r="D1481" t="n">
        <v>17133.2</v>
      </c>
      <c r="E1481" t="n">
        <v>17333.2</v>
      </c>
      <c r="F1481" t="n">
        <v>0.89</v>
      </c>
      <c r="G1481" t="n">
        <v>-200</v>
      </c>
      <c r="H1481" t="n">
        <v>1.542655</v>
      </c>
      <c r="I1481" t="n">
        <v>1.570731</v>
      </c>
      <c r="J1481" t="n">
        <v>-0.028076</v>
      </c>
      <c r="K1481" s="4">
        <f>IFERROR(J1481/I1481,"")</f>
        <v/>
      </c>
      <c r="L1481" s="4">
        <f>IFERROR((D1481-E1481)/E1481,"")</f>
        <v/>
      </c>
    </row>
    <row r="1482">
      <c r="A1482" t="inlineStr">
        <is>
          <t>2026-06-19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1.161</v>
      </c>
      <c r="G1482" t="n">
        <v>0</v>
      </c>
      <c r="H1482" t="n">
        <v>0.198879</v>
      </c>
      <c r="I1482" t="n">
        <v>0.20419</v>
      </c>
      <c r="J1482" t="n">
        <v>-0.005311</v>
      </c>
      <c r="K1482" s="4">
        <f>IFERROR(J1482/I1482,"")</f>
        <v/>
      </c>
      <c r="L1482" s="4">
        <f>IFERROR((D1482-E1482)/E1482,"")</f>
        <v/>
      </c>
    </row>
    <row r="1483">
      <c r="A1483" t="inlineStr">
        <is>
          <t>2026-06-19</t>
        </is>
      </c>
      <c r="B1483" t="inlineStr">
        <is>
          <t>560350</t>
        </is>
      </c>
      <c r="C1483" t="inlineStr">
        <is>
          <t>中证A50ETF摩根</t>
        </is>
      </c>
      <c r="D1483" t="n">
        <v>88153.21000000001</v>
      </c>
      <c r="E1483" t="n">
        <v>90753.21000000001</v>
      </c>
      <c r="F1483" t="n">
        <v>1.321</v>
      </c>
      <c r="G1483" t="n">
        <v>-2600</v>
      </c>
      <c r="H1483" t="n">
        <v>11.9885</v>
      </c>
      <c r="I1483" t="n">
        <v>12.27912</v>
      </c>
      <c r="J1483" t="n">
        <v>-0.29062</v>
      </c>
      <c r="K1483" s="4">
        <f>IFERROR(J1483/I1483,"")</f>
        <v/>
      </c>
      <c r="L1483" s="4">
        <f>IFERROR((D1483-E1483)/E1483,"")</f>
        <v/>
      </c>
    </row>
    <row r="1484">
      <c r="A1484" t="inlineStr">
        <is>
          <t>2026-06-19</t>
        </is>
      </c>
      <c r="B1484" t="inlineStr">
        <is>
          <t>560360</t>
        </is>
      </c>
      <c r="C1484" t="inlineStr">
        <is>
          <t>软件ETF万家</t>
        </is>
      </c>
      <c r="D1484" t="n">
        <v>20734.5</v>
      </c>
      <c r="E1484" t="n">
        <v>20934.5</v>
      </c>
      <c r="F1484" t="n">
        <v>1.268</v>
      </c>
      <c r="G1484" t="n">
        <v>-200</v>
      </c>
      <c r="H1484" t="n">
        <v>2.654495</v>
      </c>
      <c r="I1484" t="n">
        <v>2.63983</v>
      </c>
      <c r="J1484" t="n">
        <v>0.014665</v>
      </c>
      <c r="K1484" s="4">
        <f>IFERROR(J1484/I1484,"")</f>
        <v/>
      </c>
      <c r="L1484" s="4">
        <f>IFERROR((D1484-E1484)/E1484,"")</f>
        <v/>
      </c>
    </row>
    <row r="1485">
      <c r="A1485" t="inlineStr">
        <is>
          <t>2026-06-19</t>
        </is>
      </c>
      <c r="B1485" t="inlineStr">
        <is>
          <t>560370</t>
        </is>
      </c>
      <c r="C1485" t="inlineStr">
        <is>
          <t>红利质量ETF易方达</t>
        </is>
      </c>
      <c r="D1485" t="n">
        <v>12158.4</v>
      </c>
      <c r="E1485" t="n">
        <v>12158.4</v>
      </c>
      <c r="F1485" t="n">
        <v>0.849</v>
      </c>
      <c r="G1485" t="n">
        <v>0</v>
      </c>
      <c r="H1485" t="n">
        <v>1.032248</v>
      </c>
      <c r="I1485" t="n">
        <v>1.059753</v>
      </c>
      <c r="J1485" t="n">
        <v>-0.027505</v>
      </c>
      <c r="K1485" s="4">
        <f>IFERROR(J1485/I1485,"")</f>
        <v/>
      </c>
      <c r="L1485" s="4">
        <f>IFERROR((D1485-E1485)/E1485,"")</f>
        <v/>
      </c>
    </row>
    <row r="1486">
      <c r="A1486" t="inlineStr">
        <is>
          <t>2026-06-19</t>
        </is>
      </c>
      <c r="B1486" t="inlineStr">
        <is>
          <t>560380</t>
        </is>
      </c>
      <c r="C1486" t="inlineStr">
        <is>
          <t>A100ETF南方</t>
        </is>
      </c>
      <c r="D1486" t="n">
        <v>14686.1</v>
      </c>
      <c r="E1486" t="n">
        <v>14486.1</v>
      </c>
      <c r="F1486" t="n">
        <v>1.338</v>
      </c>
      <c r="G1486" t="n">
        <v>200</v>
      </c>
      <c r="H1486" t="n">
        <v>1.93824</v>
      </c>
      <c r="I1486" t="n">
        <v>1.922305</v>
      </c>
      <c r="J1486" t="n">
        <v>0.015935</v>
      </c>
      <c r="K1486" s="4">
        <f>IFERROR(J1486/I1486,"")</f>
        <v/>
      </c>
      <c r="L1486" s="4">
        <f>IFERROR((D1486-E1486)/E1486,"")</f>
        <v/>
      </c>
    </row>
    <row r="1487">
      <c r="A1487" t="inlineStr">
        <is>
          <t>2026-06-19</t>
        </is>
      </c>
      <c r="B1487" t="inlineStr">
        <is>
          <t>560390</t>
        </is>
      </c>
      <c r="C1487" t="inlineStr">
        <is>
          <t>电网设备ETF易方达</t>
        </is>
      </c>
      <c r="D1487" t="n">
        <v>117725.8</v>
      </c>
      <c r="E1487" t="n">
        <v>122725.8</v>
      </c>
      <c r="F1487" t="n">
        <v>1.102</v>
      </c>
      <c r="G1487" t="n">
        <v>-5000</v>
      </c>
      <c r="H1487" t="n">
        <v>13.524383</v>
      </c>
      <c r="I1487" t="n">
        <v>13.63709</v>
      </c>
      <c r="J1487" t="n">
        <v>-0.112707</v>
      </c>
      <c r="K1487" s="4">
        <f>IFERROR(J1487/I1487,"")</f>
        <v/>
      </c>
      <c r="L1487" s="4">
        <f>IFERROR((D1487-E1487)/E1487,"")</f>
        <v/>
      </c>
    </row>
    <row r="1488">
      <c r="A1488" t="inlineStr">
        <is>
          <t>2026-06-19</t>
        </is>
      </c>
      <c r="B1488" t="inlineStr">
        <is>
          <t>560400</t>
        </is>
      </c>
      <c r="C1488" t="inlineStr">
        <is>
          <t>证券ETF华泰柏瑞</t>
        </is>
      </c>
      <c r="D1488" t="n">
        <v>23649.3</v>
      </c>
      <c r="E1488" t="n">
        <v>23649.3</v>
      </c>
      <c r="F1488" t="n">
        <v>0.95</v>
      </c>
      <c r="G1488" t="n">
        <v>0</v>
      </c>
      <c r="H1488" t="n">
        <v>2.246684</v>
      </c>
      <c r="I1488" t="n">
        <v>2.310537</v>
      </c>
      <c r="J1488" t="n">
        <v>-0.06385299999999999</v>
      </c>
      <c r="K1488" s="4">
        <f>IFERROR(J1488/I1488,"")</f>
        <v/>
      </c>
      <c r="L1488" s="4">
        <f>IFERROR((D1488-E1488)/E1488,"")</f>
        <v/>
      </c>
    </row>
    <row r="1489">
      <c r="A1489" t="inlineStr">
        <is>
          <t>2026-06-19</t>
        </is>
      </c>
      <c r="B1489" t="inlineStr">
        <is>
          <t>560410</t>
        </is>
      </c>
      <c r="C1489" t="inlineStr">
        <is>
          <t>电池ETF鹏华</t>
        </is>
      </c>
      <c r="D1489" t="n">
        <v>6078.61</v>
      </c>
      <c r="E1489" t="n">
        <v>6078.61</v>
      </c>
      <c r="F1489" t="n">
        <v>1.053</v>
      </c>
      <c r="G1489" t="n">
        <v>0</v>
      </c>
      <c r="H1489" t="n">
        <v>0.640078</v>
      </c>
      <c r="I1489" t="n">
        <v>0.656168</v>
      </c>
      <c r="J1489" t="n">
        <v>-0.01609</v>
      </c>
      <c r="K1489" s="4">
        <f>IFERROR(J1489/I1489,"")</f>
        <v/>
      </c>
      <c r="L1489" s="4">
        <f>IFERROR((D1489-E1489)/E1489,"")</f>
        <v/>
      </c>
    </row>
    <row r="1490">
      <c r="A1490" t="inlineStr">
        <is>
          <t>2026-06-19</t>
        </is>
      </c>
      <c r="B1490" t="inlineStr">
        <is>
          <t>560420</t>
        </is>
      </c>
      <c r="C1490" t="inlineStr">
        <is>
          <t>食品ETF前海开源</t>
        </is>
      </c>
      <c r="D1490" t="n">
        <v>16678.02</v>
      </c>
      <c r="E1490" t="n">
        <v>16778.02</v>
      </c>
      <c r="F1490" t="n">
        <v>0.889</v>
      </c>
      <c r="G1490" t="n">
        <v>-100</v>
      </c>
      <c r="H1490" t="n">
        <v>1.491566</v>
      </c>
      <c r="I1490" t="n">
        <v>1.522928</v>
      </c>
      <c r="J1490" t="n">
        <v>-0.031362</v>
      </c>
      <c r="K1490" s="4">
        <f>IFERROR(J1490/I1490,"")</f>
        <v/>
      </c>
      <c r="L1490" s="4">
        <f>IFERROR((D1490-E1490)/E1490,"")</f>
        <v/>
      </c>
    </row>
    <row r="1491">
      <c r="A1491" t="inlineStr">
        <is>
          <t>2026-06-19</t>
        </is>
      </c>
      <c r="B1491" t="inlineStr">
        <is>
          <t>560450</t>
        </is>
      </c>
      <c r="C1491" t="inlineStr">
        <is>
          <t>电力ETF天弘</t>
        </is>
      </c>
      <c r="D1491" t="n">
        <v>31456.9</v>
      </c>
      <c r="E1491" t="n">
        <v>28706.9</v>
      </c>
      <c r="F1491" t="n">
        <v>0.979</v>
      </c>
      <c r="G1491" t="n">
        <v>2750</v>
      </c>
      <c r="H1491" t="n">
        <v>2.810406</v>
      </c>
      <c r="I1491" t="n">
        <v>2.872554</v>
      </c>
      <c r="J1491" t="n">
        <v>-0.062148</v>
      </c>
      <c r="K1491" s="4">
        <f>IFERROR(J1491/I1491,"")</f>
        <v/>
      </c>
      <c r="L1491" s="4">
        <f>IFERROR((D1491-E1491)/E1491,"")</f>
        <v/>
      </c>
    </row>
    <row r="1492">
      <c r="A1492" t="inlineStr">
        <is>
          <t>2026-06-19</t>
        </is>
      </c>
      <c r="B1492" t="inlineStr">
        <is>
          <t>560460</t>
        </is>
      </c>
      <c r="C1492" t="inlineStr">
        <is>
          <t>电力ETF平安</t>
        </is>
      </c>
      <c r="D1492" t="n">
        <v>34553.7</v>
      </c>
      <c r="E1492" t="n">
        <v>33453.7</v>
      </c>
      <c r="F1492" t="n">
        <v>0.9419999999999999</v>
      </c>
      <c r="G1492" t="n">
        <v>1100</v>
      </c>
      <c r="H1492" t="n">
        <v>3.151339</v>
      </c>
      <c r="I1492" t="n">
        <v>3.269961</v>
      </c>
      <c r="J1492" t="n">
        <v>-0.118622</v>
      </c>
      <c r="K1492" s="4">
        <f>IFERROR(J1492/I1492,"")</f>
        <v/>
      </c>
      <c r="L1492" s="4">
        <f>IFERROR((D1492-E1492)/E1492,"")</f>
        <v/>
      </c>
    </row>
    <row r="1493">
      <c r="A1493" t="inlineStr">
        <is>
          <t>2026-06-19</t>
        </is>
      </c>
      <c r="B1493" t="inlineStr">
        <is>
          <t>560470</t>
        </is>
      </c>
      <c r="C1493" t="inlineStr">
        <is>
          <t>有色ETF易方达</t>
        </is>
      </c>
      <c r="D1493" t="n">
        <v>25934</v>
      </c>
      <c r="E1493" t="n">
        <v>25734</v>
      </c>
      <c r="F1493" t="n">
        <v>0.95</v>
      </c>
      <c r="G1493" t="n">
        <v>200</v>
      </c>
      <c r="H1493" t="n">
        <v>2.44473</v>
      </c>
      <c r="I1493" t="n">
        <v>2.428283</v>
      </c>
      <c r="J1493" t="n">
        <v>0.016447</v>
      </c>
      <c r="K1493" s="4">
        <f>IFERROR(J1493/I1493,"")</f>
        <v/>
      </c>
      <c r="L1493" s="4">
        <f>IFERROR((D1493-E1493)/E1493,"")</f>
        <v/>
      </c>
    </row>
    <row r="1494">
      <c r="A1494" t="inlineStr">
        <is>
          <t>2026-06-19</t>
        </is>
      </c>
      <c r="B1494" t="inlineStr">
        <is>
          <t>560480</t>
        </is>
      </c>
      <c r="C1494" t="inlineStr">
        <is>
          <t>电力ETF招商</t>
        </is>
      </c>
      <c r="D1494" t="n">
        <v>14980.3</v>
      </c>
      <c r="E1494" t="n">
        <v>14980.3</v>
      </c>
      <c r="F1494" t="n">
        <v>0.9389999999999999</v>
      </c>
      <c r="G1494" t="n">
        <v>0</v>
      </c>
      <c r="H1494" t="n">
        <v>1.40665</v>
      </c>
      <c r="I1494" t="n">
        <v>1.465805</v>
      </c>
      <c r="J1494" t="n">
        <v>-0.059155</v>
      </c>
      <c r="K1494" s="4">
        <f>IFERROR(J1494/I1494,"")</f>
        <v/>
      </c>
      <c r="L1494" s="4">
        <f>IFERROR((D1494-E1494)/E1494,"")</f>
        <v/>
      </c>
    </row>
    <row r="1495">
      <c r="A1495" t="inlineStr">
        <is>
          <t>2026-06-19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12148.2</v>
      </c>
      <c r="E1495" t="n">
        <v>12548.2</v>
      </c>
      <c r="F1495" t="n">
        <v>1.053</v>
      </c>
      <c r="G1495" t="n">
        <v>-400</v>
      </c>
      <c r="H1495" t="n">
        <v>1.321325</v>
      </c>
      <c r="I1495" t="n">
        <v>1.347908</v>
      </c>
      <c r="J1495" t="n">
        <v>-0.026583</v>
      </c>
      <c r="K1495" s="4">
        <f>IFERROR(J1495/I1495,"")</f>
        <v/>
      </c>
      <c r="L1495" s="4">
        <f>IFERROR((D1495-E1495)/E1495,"")</f>
        <v/>
      </c>
    </row>
    <row r="1496">
      <c r="A1496" t="inlineStr">
        <is>
          <t>2026-06-19</t>
        </is>
      </c>
      <c r="B1496" t="inlineStr">
        <is>
          <t>560500</t>
        </is>
      </c>
      <c r="C1496" t="inlineStr">
        <is>
          <t>500质量成长ETF鹏扬</t>
        </is>
      </c>
      <c r="D1496" t="n">
        <v>29533.9</v>
      </c>
      <c r="E1496" t="n">
        <v>29733.9</v>
      </c>
      <c r="F1496" t="n">
        <v>1.415</v>
      </c>
      <c r="G1496" t="n">
        <v>-200</v>
      </c>
      <c r="H1496" t="n">
        <v>4.207347</v>
      </c>
      <c r="I1496" t="n">
        <v>4.244627</v>
      </c>
      <c r="J1496" t="n">
        <v>-0.03728</v>
      </c>
      <c r="K1496" s="4">
        <f>IFERROR(J1496/I1496,"")</f>
        <v/>
      </c>
      <c r="L1496" s="4">
        <f>IFERROR((D1496-E1496)/E1496,"")</f>
        <v/>
      </c>
    </row>
    <row r="1497">
      <c r="A1497" t="inlineStr">
        <is>
          <t>2026-06-19</t>
        </is>
      </c>
      <c r="B1497" t="inlineStr">
        <is>
          <t>560510</t>
        </is>
      </c>
      <c r="C1497" t="inlineStr">
        <is>
          <t>中证A500ETF泰康</t>
        </is>
      </c>
      <c r="D1497" t="n">
        <v>241702.69</v>
      </c>
      <c r="E1497" t="n">
        <v>242602.69</v>
      </c>
      <c r="F1497" t="n">
        <v>1.294</v>
      </c>
      <c r="G1497" t="n">
        <v>-900</v>
      </c>
      <c r="H1497" t="n">
        <v>31.392789</v>
      </c>
      <c r="I1497" t="n">
        <v>31.251546</v>
      </c>
      <c r="J1497" t="n">
        <v>0.141243</v>
      </c>
      <c r="K1497" s="4">
        <f>IFERROR(J1497/I1497,"")</f>
        <v/>
      </c>
      <c r="L1497" s="4">
        <f>IFERROR((D1497-E1497)/E1497,"")</f>
        <v/>
      </c>
    </row>
    <row r="1498">
      <c r="A1498" t="inlineStr">
        <is>
          <t>2026-06-19</t>
        </is>
      </c>
      <c r="B1498" t="inlineStr">
        <is>
          <t>560520</t>
        </is>
      </c>
      <c r="C1498" t="inlineStr">
        <is>
          <t>红利低波100ETF大成</t>
        </is>
      </c>
      <c r="D1498" t="n">
        <v>875.1</v>
      </c>
      <c r="E1498" t="n">
        <v>875.1</v>
      </c>
      <c r="F1498" t="n">
        <v>1.062</v>
      </c>
      <c r="G1498" t="n">
        <v>0</v>
      </c>
      <c r="H1498" t="n">
        <v>0.092936</v>
      </c>
      <c r="I1498" t="n">
        <v>0.094336</v>
      </c>
      <c r="J1498" t="n">
        <v>-0.0014</v>
      </c>
      <c r="K1498" s="4">
        <f>IFERROR(J1498/I1498,"")</f>
        <v/>
      </c>
      <c r="L1498" s="4">
        <f>IFERROR((D1498-E1498)/E1498,"")</f>
        <v/>
      </c>
    </row>
    <row r="1499">
      <c r="A1499" t="inlineStr">
        <is>
          <t>2026-06-19</t>
        </is>
      </c>
      <c r="B1499" t="inlineStr">
        <is>
          <t>560530</t>
        </is>
      </c>
      <c r="C1499" t="inlineStr">
        <is>
          <t>中证A500ETF摩根</t>
        </is>
      </c>
      <c r="D1499" t="n">
        <v>229062.37</v>
      </c>
      <c r="E1499" t="n">
        <v>230262.37</v>
      </c>
      <c r="F1499" t="n">
        <v>1.331</v>
      </c>
      <c r="G1499" t="n">
        <v>-1200</v>
      </c>
      <c r="H1499" t="n">
        <v>30.647921</v>
      </c>
      <c r="I1499" t="n">
        <v>30.622471</v>
      </c>
      <c r="J1499" t="n">
        <v>0.02545</v>
      </c>
      <c r="K1499" s="4">
        <f>IFERROR(J1499/I1499,"")</f>
        <v/>
      </c>
      <c r="L1499" s="4">
        <f>IFERROR((D1499-E1499)/E1499,"")</f>
        <v/>
      </c>
    </row>
    <row r="1500">
      <c r="A1500" t="inlineStr">
        <is>
          <t>2026-06-19</t>
        </is>
      </c>
      <c r="B1500" t="inlineStr">
        <is>
          <t>560550</t>
        </is>
      </c>
      <c r="C1500" t="inlineStr">
        <is>
          <t>碳中和ETF广发</t>
        </is>
      </c>
      <c r="D1500" t="n">
        <v>12959.74</v>
      </c>
      <c r="E1500" t="n">
        <v>12959.74</v>
      </c>
      <c r="F1500" t="n">
        <v>1.04</v>
      </c>
      <c r="G1500" t="n">
        <v>0</v>
      </c>
      <c r="H1500" t="n">
        <v>1.347813</v>
      </c>
      <c r="I1500" t="n">
        <v>1.362069</v>
      </c>
      <c r="J1500" t="n">
        <v>-0.014256</v>
      </c>
      <c r="K1500" s="4">
        <f>IFERROR(J1500/I1500,"")</f>
        <v/>
      </c>
      <c r="L1500" s="4">
        <f>IFERROR((D1500-E1500)/E1500,"")</f>
        <v/>
      </c>
    </row>
    <row r="1501">
      <c r="A1501" t="inlineStr">
        <is>
          <t>2026-06-19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0.752</v>
      </c>
      <c r="G1501" t="n">
        <v>0</v>
      </c>
      <c r="H1501" t="n">
        <v>0.527829</v>
      </c>
      <c r="I1501" t="n">
        <v>0.532743</v>
      </c>
      <c r="J1501" t="n">
        <v>-0.004914</v>
      </c>
      <c r="K1501" s="4">
        <f>IFERROR(J1501/I1501,"")</f>
        <v/>
      </c>
      <c r="L1501" s="4">
        <f>IFERROR((D1501-E1501)/E1501,"")</f>
        <v/>
      </c>
    </row>
    <row r="1502">
      <c r="A1502" t="inlineStr">
        <is>
          <t>2026-06-19</t>
        </is>
      </c>
      <c r="B1502" t="inlineStr">
        <is>
          <t>560570</t>
        </is>
      </c>
      <c r="C1502" t="inlineStr">
        <is>
          <t>A500红利ETF国联安</t>
        </is>
      </c>
      <c r="D1502" t="n">
        <v>144954.12</v>
      </c>
      <c r="E1502" t="n">
        <v>144954.12</v>
      </c>
      <c r="F1502" t="n">
        <v>0.947</v>
      </c>
      <c r="G1502" t="n">
        <v>0</v>
      </c>
      <c r="H1502" t="n">
        <v>13.727155</v>
      </c>
      <c r="I1502" t="n">
        <v>13.954297</v>
      </c>
      <c r="J1502" t="n">
        <v>-0.227142</v>
      </c>
      <c r="K1502" s="4">
        <f>IFERROR(J1502/I1502,"")</f>
        <v/>
      </c>
      <c r="L1502" s="4">
        <f>IFERROR((D1502-E1502)/E1502,"")</f>
        <v/>
      </c>
    </row>
    <row r="1503">
      <c r="A1503" t="inlineStr">
        <is>
          <t>2026-06-19</t>
        </is>
      </c>
      <c r="B1503" t="inlineStr">
        <is>
          <t>560580</t>
        </is>
      </c>
      <c r="C1503" t="inlineStr">
        <is>
          <t>电力ETF南方</t>
        </is>
      </c>
      <c r="D1503" t="n">
        <v>43700.3</v>
      </c>
      <c r="E1503" t="n">
        <v>43700.3</v>
      </c>
      <c r="F1503" t="n">
        <v>1.149</v>
      </c>
      <c r="G1503" t="n">
        <v>0</v>
      </c>
      <c r="H1503" t="n">
        <v>5.021164</v>
      </c>
      <c r="I1503" t="n">
        <v>5.195966</v>
      </c>
      <c r="J1503" t="n">
        <v>-0.174802</v>
      </c>
      <c r="K1503" s="4">
        <f>IFERROR(J1503/I1503,"")</f>
        <v/>
      </c>
      <c r="L1503" s="4">
        <f>IFERROR((D1503-E1503)/E1503,"")</f>
        <v/>
      </c>
    </row>
    <row r="1504">
      <c r="A1504" t="inlineStr">
        <is>
          <t>2026-06-19</t>
        </is>
      </c>
      <c r="B1504" t="inlineStr">
        <is>
          <t>560590</t>
        </is>
      </c>
      <c r="C1504" t="inlineStr">
        <is>
          <t>中证1000增强ETF鹏华</t>
        </is>
      </c>
      <c r="D1504" t="n">
        <v>1671</v>
      </c>
      <c r="E1504" t="n">
        <v>1671</v>
      </c>
      <c r="F1504" t="n">
        <v>1.626</v>
      </c>
      <c r="G1504" t="n">
        <v>0</v>
      </c>
      <c r="H1504" t="n">
        <v>0.271705</v>
      </c>
      <c r="I1504" t="n">
        <v>0.268363</v>
      </c>
      <c r="J1504" t="n">
        <v>0.003342</v>
      </c>
      <c r="K1504" s="4">
        <f>IFERROR(J1504/I1504,"")</f>
        <v/>
      </c>
      <c r="L1504" s="4">
        <f>IFERROR((D1504-E1504)/E1504,"")</f>
        <v/>
      </c>
    </row>
    <row r="1505">
      <c r="A1505" t="inlineStr">
        <is>
          <t>2026-06-19</t>
        </is>
      </c>
      <c r="B1505" t="inlineStr">
        <is>
          <t>560610</t>
        </is>
      </c>
      <c r="C1505" t="inlineStr">
        <is>
          <t>A500ETF招商</t>
        </is>
      </c>
      <c r="D1505" t="n">
        <v>400098.84</v>
      </c>
      <c r="E1505" t="n">
        <v>400098.84</v>
      </c>
      <c r="F1505" t="n">
        <v>1.296</v>
      </c>
      <c r="G1505" t="n">
        <v>0</v>
      </c>
      <c r="H1505" t="n">
        <v>51.85281</v>
      </c>
      <c r="I1505" t="n">
        <v>51.531331</v>
      </c>
      <c r="J1505" t="n">
        <v>0.321479</v>
      </c>
      <c r="K1505" s="4">
        <f>IFERROR(J1505/I1505,"")</f>
        <v/>
      </c>
      <c r="L1505" s="4">
        <f>IFERROR((D1505-E1505)/E1505,"")</f>
        <v/>
      </c>
    </row>
    <row r="1506">
      <c r="A1506" t="inlineStr">
        <is>
          <t>2026-06-19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2586.7</v>
      </c>
      <c r="F1506" t="n">
        <v>0.976</v>
      </c>
      <c r="G1506" t="n">
        <v>0</v>
      </c>
      <c r="H1506" t="n">
        <v>0.252462</v>
      </c>
      <c r="I1506" t="n">
        <v>0.260481</v>
      </c>
      <c r="J1506" t="n">
        <v>-0.008019</v>
      </c>
      <c r="K1506" s="4">
        <f>IFERROR(J1506/I1506,"")</f>
        <v/>
      </c>
      <c r="L1506" s="4">
        <f>IFERROR((D1506-E1506)/E1506,"")</f>
        <v/>
      </c>
    </row>
    <row r="1507">
      <c r="A1507" t="inlineStr">
        <is>
          <t>2026-06-19</t>
        </is>
      </c>
      <c r="B1507" t="inlineStr">
        <is>
          <t>560630</t>
        </is>
      </c>
      <c r="C1507" t="inlineStr">
        <is>
          <t>机器人ETF万家</t>
        </is>
      </c>
      <c r="D1507" t="n">
        <v>12339.4</v>
      </c>
      <c r="E1507" t="n">
        <v>12639.4</v>
      </c>
      <c r="F1507" t="n">
        <v>1.312</v>
      </c>
      <c r="G1507" t="n">
        <v>-300</v>
      </c>
      <c r="H1507" t="n">
        <v>1.658289</v>
      </c>
      <c r="I1507" t="n">
        <v>1.617843</v>
      </c>
      <c r="J1507" t="n">
        <v>0.040446</v>
      </c>
      <c r="K1507" s="4">
        <f>IFERROR(J1507/I1507,"")</f>
        <v/>
      </c>
      <c r="L1507" s="4">
        <f>IFERROR((D1507-E1507)/E1507,"")</f>
        <v/>
      </c>
    </row>
    <row r="1508">
      <c r="A1508" t="inlineStr">
        <is>
          <t>2026-06-19</t>
        </is>
      </c>
      <c r="B1508" t="inlineStr">
        <is>
          <t>560650</t>
        </is>
      </c>
      <c r="C1508" t="inlineStr">
        <is>
          <t>核心50ETF民生加银</t>
        </is>
      </c>
      <c r="D1508" t="n">
        <v>491.92</v>
      </c>
      <c r="E1508" t="n">
        <v>491.92</v>
      </c>
      <c r="F1508" t="n">
        <v>1.077</v>
      </c>
      <c r="G1508" t="n">
        <v>0</v>
      </c>
      <c r="H1508" t="n">
        <v>0.05298</v>
      </c>
      <c r="I1508" t="n">
        <v>0.052931</v>
      </c>
      <c r="J1508" t="n">
        <v>4.9e-05</v>
      </c>
      <c r="K1508" s="4">
        <f>IFERROR(J1508/I1508,"")</f>
        <v/>
      </c>
      <c r="L1508" s="4">
        <f>IFERROR((D1508-E1508)/E1508,"")</f>
        <v/>
      </c>
    </row>
    <row r="1509">
      <c r="A1509" t="inlineStr">
        <is>
          <t>2026-06-19</t>
        </is>
      </c>
      <c r="B1509" t="inlineStr">
        <is>
          <t>560660</t>
        </is>
      </c>
      <c r="C1509" t="inlineStr">
        <is>
          <t>云计算50ETF新华</t>
        </is>
      </c>
      <c r="D1509" t="n">
        <v>12793.8</v>
      </c>
      <c r="E1509" t="n">
        <v>12993.8</v>
      </c>
      <c r="F1509" t="n">
        <v>1.191</v>
      </c>
      <c r="G1509" t="n">
        <v>-200</v>
      </c>
      <c r="H1509" t="n">
        <v>1.547562</v>
      </c>
      <c r="I1509" t="n">
        <v>1.499485</v>
      </c>
      <c r="J1509" t="n">
        <v>0.048077</v>
      </c>
      <c r="K1509" s="4">
        <f>IFERROR(J1509/I1509,"")</f>
        <v/>
      </c>
      <c r="L1509" s="4">
        <f>IFERROR((D1509-E1509)/E1509,"")</f>
        <v/>
      </c>
    </row>
    <row r="1510">
      <c r="A1510" t="inlineStr">
        <is>
          <t>2026-06-19</t>
        </is>
      </c>
      <c r="B1510" t="inlineStr">
        <is>
          <t>560670</t>
        </is>
      </c>
      <c r="C1510" t="inlineStr">
        <is>
          <t>银行ETF华泰柏瑞</t>
        </is>
      </c>
      <c r="D1510" t="n">
        <v>8997.4</v>
      </c>
      <c r="E1510" t="n">
        <v>8997.4</v>
      </c>
      <c r="F1510" t="n">
        <v>0.983</v>
      </c>
      <c r="G1510" t="n">
        <v>0</v>
      </c>
      <c r="H1510" t="n">
        <v>0.884444</v>
      </c>
      <c r="I1510" t="n">
        <v>0.930288</v>
      </c>
      <c r="J1510" t="n">
        <v>-0.045844</v>
      </c>
      <c r="K1510" s="4">
        <f>IFERROR(J1510/I1510,"")</f>
        <v/>
      </c>
      <c r="L1510" s="4">
        <f>IFERROR((D1510-E1510)/E1510,"")</f>
        <v/>
      </c>
    </row>
    <row r="1511">
      <c r="A1511" t="inlineStr">
        <is>
          <t>2026-06-19</t>
        </is>
      </c>
      <c r="B1511" t="inlineStr">
        <is>
          <t>560680</t>
        </is>
      </c>
      <c r="C1511" t="inlineStr">
        <is>
          <t>消费ETF广发</t>
        </is>
      </c>
      <c r="D1511" t="n">
        <v>32922.56</v>
      </c>
      <c r="E1511" t="n">
        <v>32922.56</v>
      </c>
      <c r="F1511" t="n">
        <v>0.6860000000000001</v>
      </c>
      <c r="G1511" t="n">
        <v>0</v>
      </c>
      <c r="H1511" t="n">
        <v>2.258488</v>
      </c>
      <c r="I1511" t="n">
        <v>2.294079</v>
      </c>
      <c r="J1511" t="n">
        <v>-0.035591</v>
      </c>
      <c r="K1511" s="4">
        <f>IFERROR(J1511/I1511,"")</f>
        <v/>
      </c>
      <c r="L1511" s="4">
        <f>IFERROR((D1511-E1511)/E1511,"")</f>
        <v/>
      </c>
    </row>
    <row r="1512">
      <c r="A1512" t="inlineStr">
        <is>
          <t>2026-06-19</t>
        </is>
      </c>
      <c r="B1512" t="inlineStr">
        <is>
          <t>560690</t>
        </is>
      </c>
      <c r="C1512" t="inlineStr">
        <is>
          <t>电信ETF鹏华</t>
        </is>
      </c>
      <c r="D1512" t="n">
        <v>1888.9</v>
      </c>
      <c r="E1512" t="n">
        <v>1888.9</v>
      </c>
      <c r="F1512" t="n">
        <v>2.424</v>
      </c>
      <c r="G1512" t="n">
        <v>0</v>
      </c>
      <c r="H1512" t="n">
        <v>0.457869</v>
      </c>
      <c r="I1512" t="n">
        <v>0.472318</v>
      </c>
      <c r="J1512" t="n">
        <v>-0.014449</v>
      </c>
      <c r="K1512" s="4">
        <f>IFERROR(J1512/I1512,"")</f>
        <v/>
      </c>
      <c r="L1512" s="4">
        <f>IFERROR((D1512-E1512)/E1512,"")</f>
        <v/>
      </c>
    </row>
    <row r="1513">
      <c r="A1513" t="inlineStr">
        <is>
          <t>2026-06-19</t>
        </is>
      </c>
      <c r="B1513" t="inlineStr">
        <is>
          <t>560700</t>
        </is>
      </c>
      <c r="C1513" t="inlineStr">
        <is>
          <t>央企红利ETF广发</t>
        </is>
      </c>
      <c r="D1513" t="n">
        <v>36753.69</v>
      </c>
      <c r="E1513" t="n">
        <v>37053.69</v>
      </c>
      <c r="F1513" t="n">
        <v>1.129</v>
      </c>
      <c r="G1513" t="n">
        <v>-300</v>
      </c>
      <c r="H1513" t="n">
        <v>4.183361</v>
      </c>
      <c r="I1513" t="n">
        <v>4.27229</v>
      </c>
      <c r="J1513" t="n">
        <v>-0.08892899999999999</v>
      </c>
      <c r="K1513" s="4">
        <f>IFERROR(J1513/I1513,"")</f>
        <v/>
      </c>
      <c r="L1513" s="4">
        <f>IFERROR((D1513-E1513)/E1513,"")</f>
        <v/>
      </c>
    </row>
    <row r="1514">
      <c r="A1514" t="inlineStr">
        <is>
          <t>2026-06-19</t>
        </is>
      </c>
      <c r="B1514" t="inlineStr">
        <is>
          <t>560710</t>
        </is>
      </c>
      <c r="C1514" t="inlineStr">
        <is>
          <t>船舶ETF富国</t>
        </is>
      </c>
      <c r="D1514" t="n">
        <v>189558</v>
      </c>
      <c r="E1514" t="n">
        <v>188858</v>
      </c>
      <c r="F1514" t="n">
        <v>0.928</v>
      </c>
      <c r="G1514" t="n">
        <v>700</v>
      </c>
      <c r="H1514" t="n">
        <v>17.526022</v>
      </c>
      <c r="I1514" t="n">
        <v>17.21774</v>
      </c>
      <c r="J1514" t="n">
        <v>0.308282</v>
      </c>
      <c r="K1514" s="4">
        <f>IFERROR(J1514/I1514,"")</f>
        <v/>
      </c>
      <c r="L1514" s="4">
        <f>IFERROR((D1514-E1514)/E1514,"")</f>
        <v/>
      </c>
    </row>
    <row r="1515">
      <c r="A1515" t="inlineStr">
        <is>
          <t>2026-06-19</t>
        </is>
      </c>
      <c r="B1515" t="inlineStr">
        <is>
          <t>560720</t>
        </is>
      </c>
      <c r="C1515" t="inlineStr">
        <is>
          <t>红利低波100ETF工银</t>
        </is>
      </c>
      <c r="D1515" t="n">
        <v>20254.8</v>
      </c>
      <c r="E1515" t="n">
        <v>20454.8</v>
      </c>
      <c r="F1515" t="n">
        <v>0.95</v>
      </c>
      <c r="G1515" t="n">
        <v>-200</v>
      </c>
      <c r="H1515" t="n">
        <v>1.943206</v>
      </c>
      <c r="I1515" t="n">
        <v>1.993188</v>
      </c>
      <c r="J1515" t="n">
        <v>-0.049982</v>
      </c>
      <c r="K1515" s="4">
        <f>IFERROR(J1515/I1515,"")</f>
        <v/>
      </c>
      <c r="L1515" s="4">
        <f>IFERROR((D1515-E1515)/E1515,"")</f>
        <v/>
      </c>
    </row>
    <row r="1516">
      <c r="A1516" t="inlineStr">
        <is>
          <t>2026-06-19</t>
        </is>
      </c>
      <c r="B1516" t="inlineStr">
        <is>
          <t>560750</t>
        </is>
      </c>
      <c r="C1516" t="inlineStr">
        <is>
          <t>A500ETF申万菱信</t>
        </is>
      </c>
      <c r="D1516" t="n">
        <v>6655.48</v>
      </c>
      <c r="E1516" t="n">
        <v>6655.48</v>
      </c>
      <c r="F1516" t="n">
        <v>1.449</v>
      </c>
      <c r="G1516" t="n">
        <v>0</v>
      </c>
      <c r="H1516" t="n">
        <v>0.964378</v>
      </c>
      <c r="I1516" t="n">
        <v>0.957057</v>
      </c>
      <c r="J1516" t="n">
        <v>0.007321</v>
      </c>
      <c r="K1516" s="4">
        <f>IFERROR(J1516/I1516,"")</f>
        <v/>
      </c>
      <c r="L1516" s="4">
        <f>IFERROR((D1516-E1516)/E1516,"")</f>
        <v/>
      </c>
    </row>
    <row r="1517">
      <c r="A1517" t="inlineStr">
        <is>
          <t>2026-06-19</t>
        </is>
      </c>
      <c r="B1517" t="inlineStr">
        <is>
          <t>560770</t>
        </is>
      </c>
      <c r="C1517" t="inlineStr">
        <is>
          <t>机器人ETF招商</t>
        </is>
      </c>
      <c r="D1517" t="n">
        <v>151813.3</v>
      </c>
      <c r="E1517" t="n">
        <v>153913.3</v>
      </c>
      <c r="F1517" t="n">
        <v>1.156</v>
      </c>
      <c r="G1517" t="n">
        <v>-2100</v>
      </c>
      <c r="H1517" t="n">
        <v>17.792377</v>
      </c>
      <c r="I1517" t="n">
        <v>17.426103</v>
      </c>
      <c r="J1517" t="n">
        <v>0.366274</v>
      </c>
      <c r="K1517" s="4">
        <f>IFERROR(J1517/I1517,"")</f>
        <v/>
      </c>
      <c r="L1517" s="4">
        <f>IFERROR((D1517-E1517)/E1517,"")</f>
        <v/>
      </c>
    </row>
    <row r="1518">
      <c r="A1518" t="inlineStr">
        <is>
          <t>2026-06-19</t>
        </is>
      </c>
      <c r="B1518" t="inlineStr">
        <is>
          <t>560780</t>
        </is>
      </c>
      <c r="C1518" t="inlineStr">
        <is>
          <t>半导体设备ETF广发</t>
        </is>
      </c>
      <c r="D1518" t="n">
        <v>183349.6</v>
      </c>
      <c r="E1518" t="n">
        <v>178049.6</v>
      </c>
      <c r="F1518" t="n">
        <v>3.365</v>
      </c>
      <c r="G1518" t="n">
        <v>5300</v>
      </c>
      <c r="H1518" t="n">
        <v>59.91369</v>
      </c>
      <c r="I1518" t="n">
        <v>59.454392</v>
      </c>
      <c r="J1518" t="n">
        <v>0.459298</v>
      </c>
      <c r="K1518" s="4">
        <f>IFERROR(J1518/I1518,"")</f>
        <v/>
      </c>
      <c r="L1518" s="4">
        <f>IFERROR((D1518-E1518)/E1518,"")</f>
        <v/>
      </c>
    </row>
    <row r="1519">
      <c r="A1519" t="inlineStr">
        <is>
          <t>2026-06-19</t>
        </is>
      </c>
      <c r="B1519" t="inlineStr">
        <is>
          <t>560790</t>
        </is>
      </c>
      <c r="C1519" t="inlineStr">
        <is>
          <t>软件ETF鹏华</t>
        </is>
      </c>
      <c r="D1519" t="n">
        <v>24745.59</v>
      </c>
      <c r="E1519" t="n">
        <v>25745.59</v>
      </c>
      <c r="F1519" t="n">
        <v>0.867</v>
      </c>
      <c r="G1519" t="n">
        <v>-1000</v>
      </c>
      <c r="H1519" t="n">
        <v>2.232143</v>
      </c>
      <c r="I1519" t="n">
        <v>2.214967</v>
      </c>
      <c r="J1519" t="n">
        <v>0.017176</v>
      </c>
      <c r="K1519" s="4">
        <f>IFERROR(J1519/I1519,"")</f>
        <v/>
      </c>
      <c r="L1519" s="4">
        <f>IFERROR((D1519-E1519)/E1519,"")</f>
        <v/>
      </c>
    </row>
    <row r="1520">
      <c r="A1520" t="inlineStr">
        <is>
          <t>2026-06-19</t>
        </is>
      </c>
      <c r="B1520" t="inlineStr">
        <is>
          <t>560800</t>
        </is>
      </c>
      <c r="C1520" t="inlineStr">
        <is>
          <t>数字经济ETF鹏扬</t>
        </is>
      </c>
      <c r="D1520" t="n">
        <v>30595.11</v>
      </c>
      <c r="E1520" t="n">
        <v>30395.11</v>
      </c>
      <c r="F1520" t="n">
        <v>1.342</v>
      </c>
      <c r="G1520" t="n">
        <v>200</v>
      </c>
      <c r="H1520" t="n">
        <v>4.079024</v>
      </c>
      <c r="I1520" t="n">
        <v>3.981808</v>
      </c>
      <c r="J1520" t="n">
        <v>0.097216</v>
      </c>
      <c r="K1520" s="4">
        <f>IFERROR(J1520/I1520,"")</f>
        <v/>
      </c>
      <c r="L1520" s="4">
        <f>IFERROR((D1520-E1520)/E1520,"")</f>
        <v/>
      </c>
    </row>
    <row r="1521">
      <c r="A1521" t="inlineStr">
        <is>
          <t>2026-06-19</t>
        </is>
      </c>
      <c r="B1521" t="inlineStr">
        <is>
          <t>560810</t>
        </is>
      </c>
      <c r="C1521" t="inlineStr">
        <is>
          <t>央企ESGETF融通</t>
        </is>
      </c>
      <c r="D1521" t="n">
        <v>19711.6</v>
      </c>
      <c r="E1521" t="n">
        <v>19911.6</v>
      </c>
      <c r="F1521" t="n">
        <v>1.305</v>
      </c>
      <c r="G1521" t="n">
        <v>-200</v>
      </c>
      <c r="H1521" t="n">
        <v>2.598464</v>
      </c>
      <c r="I1521" t="n">
        <v>2.662851</v>
      </c>
      <c r="J1521" t="n">
        <v>-0.064387</v>
      </c>
      <c r="K1521" s="4">
        <f>IFERROR(J1521/I1521,"")</f>
        <v/>
      </c>
      <c r="L1521" s="4">
        <f>IFERROR((D1521-E1521)/E1521,"")</f>
        <v/>
      </c>
    </row>
    <row r="1522">
      <c r="A1522" t="inlineStr">
        <is>
          <t>2026-06-19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1.239</v>
      </c>
      <c r="G1522" t="n">
        <v>0</v>
      </c>
      <c r="H1522" t="n">
        <v>0.507073</v>
      </c>
      <c r="I1522" t="n">
        <v>0.506664</v>
      </c>
      <c r="J1522" t="n">
        <v>0.000409</v>
      </c>
      <c r="K1522" s="4">
        <f>IFERROR(J1522/I1522,"")</f>
        <v/>
      </c>
      <c r="L1522" s="4">
        <f>IFERROR((D1522-E1522)/E1522,"")</f>
        <v/>
      </c>
    </row>
    <row r="1523">
      <c r="A1523" t="inlineStr">
        <is>
          <t>2026-06-19</t>
        </is>
      </c>
      <c r="B1523" t="inlineStr">
        <is>
          <t>560830</t>
        </is>
      </c>
      <c r="C1523" t="inlineStr">
        <is>
          <t>电力ETF华夏</t>
        </is>
      </c>
      <c r="D1523" t="n">
        <v>79101.89999999999</v>
      </c>
      <c r="E1523" t="n">
        <v>77701.89999999999</v>
      </c>
      <c r="F1523" t="n">
        <v>0.9419999999999999</v>
      </c>
      <c r="G1523" t="n">
        <v>1400</v>
      </c>
      <c r="H1523" t="n">
        <v>7.319519</v>
      </c>
      <c r="I1523" t="n">
        <v>7.61006</v>
      </c>
      <c r="J1523" t="n">
        <v>-0.290541</v>
      </c>
      <c r="K1523" s="4">
        <f>IFERROR(J1523/I1523,"")</f>
        <v/>
      </c>
      <c r="L1523" s="4">
        <f>IFERROR((D1523-E1523)/E1523,"")</f>
        <v/>
      </c>
    </row>
    <row r="1524">
      <c r="A1524" t="inlineStr">
        <is>
          <t>2026-06-19</t>
        </is>
      </c>
      <c r="B1524" t="inlineStr">
        <is>
          <t>560850</t>
        </is>
      </c>
      <c r="C1524" t="inlineStr">
        <is>
          <t>信创ETF汇添富</t>
        </is>
      </c>
      <c r="D1524" t="n">
        <v>7916.4</v>
      </c>
      <c r="E1524" t="n">
        <v>8016.4</v>
      </c>
      <c r="F1524" t="n">
        <v>1.477</v>
      </c>
      <c r="G1524" t="n">
        <v>-100</v>
      </c>
      <c r="H1524" t="n">
        <v>1.184022</v>
      </c>
      <c r="I1524" t="n">
        <v>1.16318</v>
      </c>
      <c r="J1524" t="n">
        <v>0.020842</v>
      </c>
      <c r="K1524" s="4">
        <f>IFERROR(J1524/I1524,"")</f>
        <v/>
      </c>
      <c r="L1524" s="4">
        <f>IFERROR((D1524-E1524)/E1524,"")</f>
        <v/>
      </c>
    </row>
    <row r="1525">
      <c r="A1525" t="inlineStr">
        <is>
          <t>2026-06-19</t>
        </is>
      </c>
      <c r="B1525" t="inlineStr">
        <is>
          <t>560860</t>
        </is>
      </c>
      <c r="C1525" t="inlineStr">
        <is>
          <t>工业有色ETF万家</t>
        </is>
      </c>
      <c r="D1525" t="n">
        <v>626423.3</v>
      </c>
      <c r="E1525" t="n">
        <v>625323.3</v>
      </c>
      <c r="F1525" t="n">
        <v>1.783</v>
      </c>
      <c r="G1525" t="n">
        <v>1100</v>
      </c>
      <c r="H1525" t="n">
        <v>111.495144</v>
      </c>
      <c r="I1525" t="n">
        <v>108.885384</v>
      </c>
      <c r="J1525" t="n">
        <v>2.60976</v>
      </c>
      <c r="K1525" s="4">
        <f>IFERROR(J1525/I1525,"")</f>
        <v/>
      </c>
      <c r="L1525" s="4">
        <f>IFERROR((D1525-E1525)/E1525,"")</f>
        <v/>
      </c>
    </row>
    <row r="1526">
      <c r="A1526" t="inlineStr">
        <is>
          <t>2026-06-19</t>
        </is>
      </c>
      <c r="B1526" t="inlineStr">
        <is>
          <t>560870</t>
        </is>
      </c>
      <c r="C1526" t="inlineStr">
        <is>
          <t>工业有色ETF中银</t>
        </is>
      </c>
      <c r="D1526" t="n">
        <v>12535.19</v>
      </c>
      <c r="E1526" t="n">
        <v>14735.19</v>
      </c>
      <c r="F1526" t="n">
        <v>1.022</v>
      </c>
      <c r="G1526" t="n">
        <v>-2200</v>
      </c>
      <c r="H1526" t="n">
        <v>1.505936</v>
      </c>
      <c r="I1526" t="n">
        <v>1.589254</v>
      </c>
      <c r="J1526" t="n">
        <v>-0.083318</v>
      </c>
      <c r="K1526" s="4">
        <f>IFERROR(J1526/I1526,"")</f>
        <v/>
      </c>
      <c r="L1526" s="4">
        <f>IFERROR((D1526-E1526)/E1526,"")</f>
        <v/>
      </c>
    </row>
    <row r="1527">
      <c r="A1527" t="inlineStr">
        <is>
          <t>2026-06-19</t>
        </is>
      </c>
      <c r="B1527" t="inlineStr">
        <is>
          <t>560880</t>
        </is>
      </c>
      <c r="C1527" t="inlineStr">
        <is>
          <t>家电ETF广发</t>
        </is>
      </c>
      <c r="D1527" t="n">
        <v>21773.2</v>
      </c>
      <c r="E1527" t="n">
        <v>21923.2</v>
      </c>
      <c r="F1527" t="n">
        <v>1.538</v>
      </c>
      <c r="G1527" t="n">
        <v>-150</v>
      </c>
      <c r="H1527" t="n">
        <v>3.371788</v>
      </c>
      <c r="I1527" t="n">
        <v>3.391519</v>
      </c>
      <c r="J1527" t="n">
        <v>-0.019731</v>
      </c>
      <c r="K1527" s="4">
        <f>IFERROR(J1527/I1527,"")</f>
        <v/>
      </c>
      <c r="L1527" s="4">
        <f>IFERROR((D1527-E1527)/E1527,"")</f>
        <v/>
      </c>
    </row>
    <row r="1528">
      <c r="A1528" t="inlineStr">
        <is>
          <t>2026-06-19</t>
        </is>
      </c>
      <c r="B1528" t="inlineStr">
        <is>
          <t>560900</t>
        </is>
      </c>
      <c r="C1528" t="inlineStr">
        <is>
          <t>创新药ETF摩根</t>
        </is>
      </c>
      <c r="D1528" t="n">
        <v>19596.91</v>
      </c>
      <c r="E1528" t="n">
        <v>19796.91</v>
      </c>
      <c r="F1528" t="n">
        <v>0.793</v>
      </c>
      <c r="G1528" t="n">
        <v>-200</v>
      </c>
      <c r="H1528" t="n">
        <v>1.569895</v>
      </c>
      <c r="I1528" t="n">
        <v>1.526342</v>
      </c>
      <c r="J1528" t="n">
        <v>0.043553</v>
      </c>
      <c r="K1528" s="4">
        <f>IFERROR(J1528/I1528,"")</f>
        <v/>
      </c>
      <c r="L1528" s="4">
        <f>IFERROR((D1528-E1528)/E1528,"")</f>
        <v/>
      </c>
    </row>
    <row r="1529">
      <c r="A1529" t="inlineStr">
        <is>
          <t>2026-06-19</t>
        </is>
      </c>
      <c r="B1529" t="inlineStr">
        <is>
          <t>560910</t>
        </is>
      </c>
      <c r="C1529" t="inlineStr">
        <is>
          <t>电池ETF华泰柏瑞</t>
        </is>
      </c>
      <c r="D1529" t="n">
        <v>18872.1</v>
      </c>
      <c r="E1529" t="n">
        <v>18972.1</v>
      </c>
      <c r="F1529" t="n">
        <v>0.9399999999999999</v>
      </c>
      <c r="G1529" t="n">
        <v>-100</v>
      </c>
      <c r="H1529" t="n">
        <v>1.783377</v>
      </c>
      <c r="I1529" t="n">
        <v>1.823141</v>
      </c>
      <c r="J1529" t="n">
        <v>-0.039764</v>
      </c>
      <c r="K1529" s="4">
        <f>IFERROR(J1529/I1529,"")</f>
        <v/>
      </c>
      <c r="L1529" s="4">
        <f>IFERROR((D1529-E1529)/E1529,"")</f>
        <v/>
      </c>
    </row>
    <row r="1530">
      <c r="A1530" t="inlineStr">
        <is>
          <t>2026-06-19</t>
        </is>
      </c>
      <c r="B1530" t="inlineStr">
        <is>
          <t>560930</t>
        </is>
      </c>
      <c r="C1530" t="inlineStr">
        <is>
          <t>电力ETF易方达</t>
        </is>
      </c>
      <c r="D1530" t="n">
        <v>21902.4</v>
      </c>
      <c r="E1530" t="n">
        <v>21602.4</v>
      </c>
      <c r="F1530" t="n">
        <v>0.922</v>
      </c>
      <c r="G1530" t="n">
        <v>300</v>
      </c>
      <c r="H1530" t="n">
        <v>1.991741</v>
      </c>
      <c r="I1530" t="n">
        <v>2.075179</v>
      </c>
      <c r="J1530" t="n">
        <v>-0.083438</v>
      </c>
      <c r="K1530" s="4">
        <f>IFERROR(J1530/I1530,"")</f>
        <v/>
      </c>
      <c r="L1530" s="4">
        <f>IFERROR((D1530-E1530)/E1530,"")</f>
        <v/>
      </c>
    </row>
    <row r="1531">
      <c r="A1531" t="inlineStr">
        <is>
          <t>2026-06-19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1.46</v>
      </c>
      <c r="G1531" t="n">
        <v>0</v>
      </c>
      <c r="H1531" t="n">
        <v>0.196852</v>
      </c>
      <c r="I1531" t="n">
        <v>0.196987</v>
      </c>
      <c r="J1531" t="n">
        <v>-0.000135</v>
      </c>
      <c r="K1531" s="4">
        <f>IFERROR(J1531/I1531,"")</f>
        <v/>
      </c>
      <c r="L1531" s="4">
        <f>IFERROR((D1531-E1531)/E1531,"")</f>
        <v/>
      </c>
    </row>
    <row r="1532">
      <c r="A1532" t="inlineStr">
        <is>
          <t>2026-06-19</t>
        </is>
      </c>
      <c r="B1532" t="inlineStr">
        <is>
          <t>560970</t>
        </is>
      </c>
      <c r="C1532" t="inlineStr">
        <is>
          <t>工业有色ETF平安</t>
        </is>
      </c>
      <c r="D1532" t="n">
        <v>10313.8</v>
      </c>
      <c r="E1532" t="n">
        <v>11313.8</v>
      </c>
      <c r="F1532" t="n">
        <v>1.043</v>
      </c>
      <c r="G1532" t="n">
        <v>-1000</v>
      </c>
      <c r="H1532" t="n">
        <v>1.180029</v>
      </c>
      <c r="I1532" t="n">
        <v>1.19506</v>
      </c>
      <c r="J1532" t="n">
        <v>-0.015031</v>
      </c>
      <c r="K1532" s="4">
        <f>IFERROR(J1532/I1532,"")</f>
        <v/>
      </c>
      <c r="L1532" s="4">
        <f>IFERROR((D1532-E1532)/E1532,"")</f>
        <v/>
      </c>
    </row>
    <row r="1533">
      <c r="A1533" t="inlineStr">
        <is>
          <t>2026-06-19</t>
        </is>
      </c>
      <c r="B1533" t="inlineStr">
        <is>
          <t>560980</t>
        </is>
      </c>
      <c r="C1533" t="inlineStr">
        <is>
          <t>光伏龙头ETF广发</t>
        </is>
      </c>
      <c r="D1533" t="n">
        <v>37052.2</v>
      </c>
      <c r="E1533" t="n">
        <v>37652.2</v>
      </c>
      <c r="F1533" t="n">
        <v>0.793</v>
      </c>
      <c r="G1533" t="n">
        <v>-600</v>
      </c>
      <c r="H1533" t="n">
        <v>2.985819</v>
      </c>
      <c r="I1533" t="n">
        <v>2.9695</v>
      </c>
      <c r="J1533" t="n">
        <v>0.016319</v>
      </c>
      <c r="K1533" s="4">
        <f>IFERROR(J1533/I1533,"")</f>
        <v/>
      </c>
      <c r="L1533" s="4">
        <f>IFERROR((D1533-E1533)/E1533,"")</f>
        <v/>
      </c>
    </row>
    <row r="1534">
      <c r="A1534" t="inlineStr">
        <is>
          <t>2026-06-19</t>
        </is>
      </c>
      <c r="B1534" t="inlineStr">
        <is>
          <t>560990</t>
        </is>
      </c>
      <c r="C1534" t="inlineStr">
        <is>
          <t>科技先锋ETF中金</t>
        </is>
      </c>
      <c r="D1534" t="n">
        <v>1318.71</v>
      </c>
      <c r="E1534" t="n">
        <v>1518.71</v>
      </c>
      <c r="F1534" t="n">
        <v>1.286</v>
      </c>
      <c r="G1534" t="n">
        <v>-200</v>
      </c>
      <c r="H1534" t="n">
        <v>0.195306</v>
      </c>
      <c r="I1534" t="n">
        <v>0.189079</v>
      </c>
      <c r="J1534" t="n">
        <v>0.006227</v>
      </c>
      <c r="K1534" s="4">
        <f>IFERROR(J1534/I1534,"")</f>
        <v/>
      </c>
      <c r="L1534" s="4">
        <f>IFERROR((D1534-E1534)/E1534,"")</f>
        <v/>
      </c>
    </row>
    <row r="1535">
      <c r="A1535" t="inlineStr">
        <is>
          <t>2026-06-19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1.358</v>
      </c>
      <c r="G1535" t="n">
        <v>0</v>
      </c>
      <c r="H1535" t="n">
        <v>0.643964</v>
      </c>
      <c r="I1535" t="n">
        <v>0.6368509999999999</v>
      </c>
      <c r="J1535" t="n">
        <v>0.007113</v>
      </c>
      <c r="K1535" s="4">
        <f>IFERROR(J1535/I1535,"")</f>
        <v/>
      </c>
      <c r="L1535" s="4">
        <f>IFERROR((D1535-E1535)/E1535,"")</f>
        <v/>
      </c>
    </row>
    <row r="1536">
      <c r="A1536" t="inlineStr">
        <is>
          <t>2026-06-19</t>
        </is>
      </c>
      <c r="B1536" t="inlineStr">
        <is>
          <t>561010</t>
        </is>
      </c>
      <c r="C1536" t="inlineStr">
        <is>
          <t>软件ETF华安</t>
        </is>
      </c>
      <c r="D1536" t="n">
        <v>25235.6</v>
      </c>
      <c r="E1536" t="n">
        <v>25635.6</v>
      </c>
      <c r="F1536" t="n">
        <v>0.922</v>
      </c>
      <c r="G1536" t="n">
        <v>-400</v>
      </c>
      <c r="H1536" t="n">
        <v>2.363602</v>
      </c>
      <c r="I1536" t="n">
        <v>2.32227</v>
      </c>
      <c r="J1536" t="n">
        <v>0.041332</v>
      </c>
      <c r="K1536" s="4">
        <f>IFERROR(J1536/I1536,"")</f>
        <v/>
      </c>
      <c r="L1536" s="4">
        <f>IFERROR((D1536-E1536)/E1536,"")</f>
        <v/>
      </c>
    </row>
    <row r="1537">
      <c r="A1537" t="inlineStr">
        <is>
          <t>2026-06-19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21055</v>
      </c>
      <c r="E1537" t="n">
        <v>21355</v>
      </c>
      <c r="F1537" t="n">
        <v>0.949</v>
      </c>
      <c r="G1537" t="n">
        <v>-300</v>
      </c>
      <c r="H1537" t="n">
        <v>2.02659</v>
      </c>
      <c r="I1537" t="n">
        <v>2.047725</v>
      </c>
      <c r="J1537" t="n">
        <v>-0.021135</v>
      </c>
      <c r="K1537" s="4">
        <f>IFERROR(J1537/I1537,"")</f>
        <v/>
      </c>
      <c r="L1537" s="4">
        <f>IFERROR((D1537-E1537)/E1537,"")</f>
        <v/>
      </c>
    </row>
    <row r="1538">
      <c r="A1538" t="inlineStr">
        <is>
          <t>2026-06-19</t>
        </is>
      </c>
      <c r="B1538" t="inlineStr">
        <is>
          <t>561050</t>
        </is>
      </c>
      <c r="C1538" t="inlineStr">
        <is>
          <t>稀有金属ETF易方达</t>
        </is>
      </c>
      <c r="D1538" t="n">
        <v>18625</v>
      </c>
      <c r="E1538" t="n">
        <v>19825</v>
      </c>
      <c r="F1538" t="n">
        <v>1.07</v>
      </c>
      <c r="G1538" t="n">
        <v>-1200</v>
      </c>
      <c r="H1538" t="n">
        <v>2.121275</v>
      </c>
      <c r="I1538" t="n">
        <v>2.14871</v>
      </c>
      <c r="J1538" t="n">
        <v>-0.027435</v>
      </c>
      <c r="K1538" s="4">
        <f>IFERROR(J1538/I1538,"")</f>
        <v/>
      </c>
      <c r="L1538" s="4">
        <f>IFERROR((D1538-E1538)/E1538,"")</f>
        <v/>
      </c>
    </row>
    <row r="1539">
      <c r="A1539" t="inlineStr">
        <is>
          <t>2026-06-19</t>
        </is>
      </c>
      <c r="B1539" t="inlineStr">
        <is>
          <t>561060</t>
        </is>
      </c>
      <c r="C1539" t="inlineStr">
        <is>
          <t>国企红利ETF华安</t>
        </is>
      </c>
      <c r="D1539" t="n">
        <v>6356.5</v>
      </c>
      <c r="E1539" t="n">
        <v>6656.5</v>
      </c>
      <c r="F1539" t="n">
        <v>1.095</v>
      </c>
      <c r="G1539" t="n">
        <v>-300</v>
      </c>
      <c r="H1539" t="n">
        <v>0.728887</v>
      </c>
      <c r="I1539" t="n">
        <v>1.108537</v>
      </c>
      <c r="J1539" t="n">
        <v>-0.37965</v>
      </c>
      <c r="K1539" s="4">
        <f>IFERROR(J1539/I1539,"")</f>
        <v/>
      </c>
      <c r="L1539" s="4">
        <f>IFERROR((D1539-E1539)/E1539,"")</f>
        <v/>
      </c>
    </row>
    <row r="1540">
      <c r="A1540" t="inlineStr">
        <is>
          <t>2026-06-19</t>
        </is>
      </c>
      <c r="B1540" t="inlineStr">
        <is>
          <t>561080</t>
        </is>
      </c>
      <c r="C1540" t="inlineStr">
        <is>
          <t>全指现金流ETF华安</t>
        </is>
      </c>
      <c r="D1540" t="n">
        <v>3125</v>
      </c>
      <c r="E1540" t="n">
        <v>3125</v>
      </c>
      <c r="F1540" t="n">
        <v>1.159</v>
      </c>
      <c r="G1540" t="n">
        <v>0</v>
      </c>
      <c r="H1540" t="n">
        <v>0.362188</v>
      </c>
      <c r="I1540" t="n">
        <v>0.366563</v>
      </c>
      <c r="J1540" t="n">
        <v>-0.004375</v>
      </c>
      <c r="K1540" s="4">
        <f>IFERROR(J1540/I1540,"")</f>
        <v/>
      </c>
      <c r="L1540" s="4">
        <f>IFERROR((D1540-E1540)/E1540,"")</f>
        <v/>
      </c>
    </row>
    <row r="1541">
      <c r="A1541" t="inlineStr">
        <is>
          <t>2026-06-19</t>
        </is>
      </c>
      <c r="B1541" t="inlineStr">
        <is>
          <t>561090</t>
        </is>
      </c>
      <c r="C1541" t="inlineStr">
        <is>
          <t>A500增强ETF华安</t>
        </is>
      </c>
      <c r="D1541" t="n">
        <v>21897.4</v>
      </c>
      <c r="E1541" t="n">
        <v>21597.4</v>
      </c>
      <c r="F1541" t="n">
        <v>1.333</v>
      </c>
      <c r="G1541" t="n">
        <v>300</v>
      </c>
      <c r="H1541" t="n">
        <v>2.878933</v>
      </c>
      <c r="I1541" t="n">
        <v>2.907975</v>
      </c>
      <c r="J1541" t="n">
        <v>-0.029042</v>
      </c>
      <c r="K1541" s="4">
        <f>IFERROR(J1541/I1541,"")</f>
        <v/>
      </c>
      <c r="L1541" s="4">
        <f>IFERROR((D1541-E1541)/E1541,"")</f>
        <v/>
      </c>
    </row>
    <row r="1542">
      <c r="A1542" t="inlineStr">
        <is>
          <t>2026-06-19</t>
        </is>
      </c>
      <c r="B1542" t="inlineStr">
        <is>
          <t>561100</t>
        </is>
      </c>
      <c r="C1542" t="inlineStr">
        <is>
          <t>消费电子ETF富国</t>
        </is>
      </c>
      <c r="D1542" t="n">
        <v>51274.69</v>
      </c>
      <c r="E1542" t="n">
        <v>48474.69</v>
      </c>
      <c r="F1542" t="n">
        <v>2.079</v>
      </c>
      <c r="G1542" t="n">
        <v>2800</v>
      </c>
      <c r="H1542" t="n">
        <v>10.077889</v>
      </c>
      <c r="I1542" t="n">
        <v>9.750501</v>
      </c>
      <c r="J1542" t="n">
        <v>0.327388</v>
      </c>
      <c r="K1542" s="4">
        <f>IFERROR(J1542/I1542,"")</f>
        <v/>
      </c>
      <c r="L1542" s="4">
        <f>IFERROR((D1542-E1542)/E1542,"")</f>
        <v/>
      </c>
    </row>
    <row r="1543">
      <c r="A1543" t="inlineStr">
        <is>
          <t>2026-06-19</t>
        </is>
      </c>
      <c r="B1543" t="inlineStr">
        <is>
          <t>561120</t>
        </is>
      </c>
      <c r="C1543" t="inlineStr">
        <is>
          <t>家电ETF富国</t>
        </is>
      </c>
      <c r="D1543" t="n">
        <v>3115.99</v>
      </c>
      <c r="E1543" t="n">
        <v>3115.99</v>
      </c>
      <c r="F1543" t="n">
        <v>1.292</v>
      </c>
      <c r="G1543" t="n">
        <v>0</v>
      </c>
      <c r="H1543" t="n">
        <v>0.402586</v>
      </c>
      <c r="I1543" t="n">
        <v>0.404455</v>
      </c>
      <c r="J1543" t="n">
        <v>-0.001869</v>
      </c>
      <c r="K1543" s="4">
        <f>IFERROR(J1543/I1543,"")</f>
        <v/>
      </c>
      <c r="L1543" s="4">
        <f>IFERROR((D1543-E1543)/E1543,"")</f>
        <v/>
      </c>
    </row>
    <row r="1544">
      <c r="A1544" t="inlineStr">
        <is>
          <t>2026-06-19</t>
        </is>
      </c>
      <c r="B1544" t="inlineStr">
        <is>
          <t>561130</t>
        </is>
      </c>
      <c r="C1544" t="inlineStr">
        <is>
          <t>国货ETF富国</t>
        </is>
      </c>
      <c r="D1544" t="n">
        <v>10593.52</v>
      </c>
      <c r="E1544" t="n">
        <v>10593.52</v>
      </c>
      <c r="F1544" t="n">
        <v>1.105</v>
      </c>
      <c r="G1544" t="n">
        <v>0</v>
      </c>
      <c r="H1544" t="n">
        <v>1.170584</v>
      </c>
      <c r="I1544" t="n">
        <v>1.155753</v>
      </c>
      <c r="J1544" t="n">
        <v>0.014831</v>
      </c>
      <c r="K1544" s="4">
        <f>IFERROR(J1544/I1544,"")</f>
        <v/>
      </c>
      <c r="L1544" s="4">
        <f>IFERROR((D1544-E1544)/E1544,"")</f>
        <v/>
      </c>
    </row>
    <row r="1545">
      <c r="A1545" t="inlineStr">
        <is>
          <t>2026-06-19</t>
        </is>
      </c>
      <c r="B1545" t="inlineStr">
        <is>
          <t>561160</t>
        </is>
      </c>
      <c r="C1545" t="inlineStr">
        <is>
          <t>电池ETF富国</t>
        </is>
      </c>
      <c r="D1545" t="n">
        <v>270083.5</v>
      </c>
      <c r="E1545" t="n">
        <v>267983.5</v>
      </c>
      <c r="F1545" t="n">
        <v>0.909</v>
      </c>
      <c r="G1545" t="n">
        <v>2100</v>
      </c>
      <c r="H1545" t="n">
        <v>24.3597</v>
      </c>
      <c r="I1545" t="n">
        <v>24.364682</v>
      </c>
      <c r="J1545" t="n">
        <v>-0.004982</v>
      </c>
      <c r="K1545" s="4">
        <f>IFERROR(J1545/I1545,"")</f>
        <v/>
      </c>
      <c r="L1545" s="4">
        <f>IFERROR((D1545-E1545)/E1545,"")</f>
        <v/>
      </c>
    </row>
    <row r="1546">
      <c r="A1546" t="inlineStr">
        <is>
          <t>2026-06-19</t>
        </is>
      </c>
      <c r="B1546" t="inlineStr">
        <is>
          <t>561170</t>
        </is>
      </c>
      <c r="C1546" t="inlineStr">
        <is>
          <t>绿色电力ETF富国</t>
        </is>
      </c>
      <c r="D1546" t="n">
        <v>59303.27</v>
      </c>
      <c r="E1546" t="n">
        <v>61153.27</v>
      </c>
      <c r="F1546" t="n">
        <v>1.194</v>
      </c>
      <c r="G1546" t="n">
        <v>-1850</v>
      </c>
      <c r="H1546" t="n">
        <v>7.3017</v>
      </c>
      <c r="I1546" t="n">
        <v>7.954314</v>
      </c>
      <c r="J1546" t="n">
        <v>-0.652614</v>
      </c>
      <c r="K1546" s="4">
        <f>IFERROR(J1546/I1546,"")</f>
        <v/>
      </c>
      <c r="L1546" s="4">
        <f>IFERROR((D1546-E1546)/E1546,"")</f>
        <v/>
      </c>
    </row>
    <row r="1547">
      <c r="A1547" t="inlineStr">
        <is>
          <t>2026-06-19</t>
        </is>
      </c>
      <c r="B1547" t="inlineStr">
        <is>
          <t>561180</t>
        </is>
      </c>
      <c r="C1547" t="inlineStr">
        <is>
          <t>A100ETF富国</t>
        </is>
      </c>
      <c r="D1547" t="n">
        <v>4760.96</v>
      </c>
      <c r="E1547" t="n">
        <v>4960.96</v>
      </c>
      <c r="F1547" t="n">
        <v>1.409</v>
      </c>
      <c r="G1547" t="n">
        <v>-200</v>
      </c>
      <c r="H1547" t="n">
        <v>0.698999</v>
      </c>
      <c r="I1547" t="n">
        <v>0.694038</v>
      </c>
      <c r="J1547" t="n">
        <v>0.004961</v>
      </c>
      <c r="K1547" s="4">
        <f>IFERROR(J1547/I1547,"")</f>
        <v/>
      </c>
      <c r="L1547" s="4">
        <f>IFERROR((D1547-E1547)/E1547,"")</f>
        <v/>
      </c>
    </row>
    <row r="1548">
      <c r="A1548" t="inlineStr">
        <is>
          <t>2026-06-19</t>
        </is>
      </c>
      <c r="B1548" t="inlineStr">
        <is>
          <t>561190</t>
        </is>
      </c>
      <c r="C1548" t="inlineStr">
        <is>
          <t>碳中和ETF富国</t>
        </is>
      </c>
      <c r="D1548" t="n">
        <v>20431.8</v>
      </c>
      <c r="E1548" t="n">
        <v>20431.8</v>
      </c>
      <c r="F1548" t="n">
        <v>1.05</v>
      </c>
      <c r="G1548" t="n">
        <v>0</v>
      </c>
      <c r="H1548" t="n">
        <v>2.145339</v>
      </c>
      <c r="I1548" t="n">
        <v>2.182845</v>
      </c>
      <c r="J1548" t="n">
        <v>-0.037506</v>
      </c>
      <c r="K1548" s="4">
        <f>IFERROR(J1548/I1548,"")</f>
        <v/>
      </c>
      <c r="L1548" s="4">
        <f>IFERROR((D1548-E1548)/E1548,"")</f>
        <v/>
      </c>
    </row>
    <row r="1549">
      <c r="A1549" t="inlineStr">
        <is>
          <t>2026-06-19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1.56</v>
      </c>
      <c r="G1549" t="n">
        <v>0</v>
      </c>
      <c r="H1549" t="n">
        <v>0.490939</v>
      </c>
      <c r="I1549" t="n">
        <v>0.486848</v>
      </c>
      <c r="J1549" t="n">
        <v>0.004091</v>
      </c>
      <c r="K1549" s="4">
        <f>IFERROR(J1549/I1549,"")</f>
        <v/>
      </c>
      <c r="L1549" s="4">
        <f>IFERROR((D1549-E1549)/E1549,"")</f>
        <v/>
      </c>
    </row>
    <row r="1550">
      <c r="A1550" t="inlineStr">
        <is>
          <t>2026-06-19</t>
        </is>
      </c>
      <c r="B1550" t="inlineStr">
        <is>
          <t>561220</t>
        </is>
      </c>
      <c r="C1550" t="inlineStr">
        <is>
          <t>数字经济ETF工银</t>
        </is>
      </c>
      <c r="D1550" t="n">
        <v>3405.3</v>
      </c>
      <c r="E1550" t="n">
        <v>3405.3</v>
      </c>
      <c r="F1550" t="n">
        <v>2.09</v>
      </c>
      <c r="G1550" t="n">
        <v>0</v>
      </c>
      <c r="H1550" t="n">
        <v>0.711708</v>
      </c>
      <c r="I1550" t="n">
        <v>0.690935</v>
      </c>
      <c r="J1550" t="n">
        <v>0.020773</v>
      </c>
      <c r="K1550" s="4">
        <f>IFERROR(J1550/I1550,"")</f>
        <v/>
      </c>
      <c r="L1550" s="4">
        <f>IFERROR((D1550-E1550)/E1550,"")</f>
        <v/>
      </c>
    </row>
    <row r="1551">
      <c r="A1551" t="inlineStr">
        <is>
          <t>2026-06-19</t>
        </is>
      </c>
      <c r="B1551" t="inlineStr">
        <is>
          <t>561230</t>
        </is>
      </c>
      <c r="C1551" t="inlineStr">
        <is>
          <t>中证A50ETF工银</t>
        </is>
      </c>
      <c r="D1551" t="n">
        <v>45647.78</v>
      </c>
      <c r="E1551" t="n">
        <v>46047.78</v>
      </c>
      <c r="F1551" t="n">
        <v>1.369</v>
      </c>
      <c r="G1551" t="n">
        <v>-400</v>
      </c>
      <c r="H1551" t="n">
        <v>6.303942</v>
      </c>
      <c r="I1551" t="n">
        <v>6.326697</v>
      </c>
      <c r="J1551" t="n">
        <v>-0.022755</v>
      </c>
      <c r="K1551" s="4">
        <f>IFERROR(J1551/I1551,"")</f>
        <v/>
      </c>
      <c r="L1551" s="4">
        <f>IFERROR((D1551-E1551)/E1551,"")</f>
        <v/>
      </c>
    </row>
    <row r="1552">
      <c r="A1552" t="inlineStr">
        <is>
          <t>2026-06-19</t>
        </is>
      </c>
      <c r="B1552" t="inlineStr">
        <is>
          <t>561260</t>
        </is>
      </c>
      <c r="C1552" t="inlineStr">
        <is>
          <t>能源ETF工银</t>
        </is>
      </c>
      <c r="D1552" t="n">
        <v>2749.52</v>
      </c>
      <c r="E1552" t="n">
        <v>2749.52</v>
      </c>
      <c r="F1552" t="n">
        <v>1.267</v>
      </c>
      <c r="G1552" t="n">
        <v>0</v>
      </c>
      <c r="H1552" t="n">
        <v>0.348365</v>
      </c>
      <c r="I1552" t="n">
        <v>0.360686</v>
      </c>
      <c r="J1552" t="n">
        <v>-0.012321</v>
      </c>
      <c r="K1552" s="4">
        <f>IFERROR(J1552/I1552,"")</f>
        <v/>
      </c>
      <c r="L1552" s="4">
        <f>IFERROR((D1552-E1552)/E1552,"")</f>
        <v/>
      </c>
    </row>
    <row r="1553">
      <c r="A1553" t="inlineStr">
        <is>
          <t>2026-06-19</t>
        </is>
      </c>
      <c r="B1553" t="inlineStr">
        <is>
          <t>561280</t>
        </is>
      </c>
      <c r="C1553" t="inlineStr">
        <is>
          <t>中证1000增强ETF工银</t>
        </is>
      </c>
      <c r="D1553" t="n">
        <v>7284.77</v>
      </c>
      <c r="E1553" t="n">
        <v>7284.77</v>
      </c>
      <c r="F1553" t="n">
        <v>1.803</v>
      </c>
      <c r="G1553" t="n">
        <v>0</v>
      </c>
      <c r="H1553" t="n">
        <v>1.313444</v>
      </c>
      <c r="I1553" t="n">
        <v>1.347055</v>
      </c>
      <c r="J1553" t="n">
        <v>-0.033611</v>
      </c>
      <c r="K1553" s="4">
        <f>IFERROR(J1553/I1553,"")</f>
        <v/>
      </c>
      <c r="L1553" s="4">
        <f>IFERROR((D1553-E1553)/E1553,"")</f>
        <v/>
      </c>
    </row>
    <row r="1554">
      <c r="A1554" t="inlineStr">
        <is>
          <t>2026-06-19</t>
        </is>
      </c>
      <c r="B1554" t="inlineStr">
        <is>
          <t>561300</t>
        </is>
      </c>
      <c r="C1554" t="inlineStr">
        <is>
          <t>沪深300增强ETF国泰</t>
        </is>
      </c>
      <c r="D1554" t="n">
        <v>37696.5</v>
      </c>
      <c r="E1554" t="n">
        <v>34996.5</v>
      </c>
      <c r="F1554" t="n">
        <v>1.077</v>
      </c>
      <c r="G1554" t="n">
        <v>2700</v>
      </c>
      <c r="H1554" t="n">
        <v>3.769123</v>
      </c>
      <c r="I1554" t="n">
        <v>3.848104</v>
      </c>
      <c r="J1554" t="n">
        <v>-0.078981</v>
      </c>
      <c r="K1554" s="4">
        <f>IFERROR(J1554/I1554,"")</f>
        <v/>
      </c>
      <c r="L1554" s="4">
        <f>IFERROR((D1554-E1554)/E1554,"")</f>
        <v/>
      </c>
    </row>
    <row r="1555">
      <c r="A1555" t="inlineStr">
        <is>
          <t>2026-06-19</t>
        </is>
      </c>
      <c r="B1555" t="inlineStr">
        <is>
          <t>561310</t>
        </is>
      </c>
      <c r="C1555" t="inlineStr">
        <is>
          <t>消电ETF国泰</t>
        </is>
      </c>
      <c r="D1555" t="n">
        <v>4191.66</v>
      </c>
      <c r="E1555" t="n">
        <v>3791.66</v>
      </c>
      <c r="F1555" t="n">
        <v>1.843</v>
      </c>
      <c r="G1555" t="n">
        <v>400</v>
      </c>
      <c r="H1555" t="n">
        <v>0.698802</v>
      </c>
      <c r="I1555" t="n">
        <v>0.671502</v>
      </c>
      <c r="J1555" t="n">
        <v>0.0273</v>
      </c>
      <c r="K1555" s="4">
        <f>IFERROR(J1555/I1555,"")</f>
        <v/>
      </c>
      <c r="L1555" s="4">
        <f>IFERROR((D1555-E1555)/E1555,"")</f>
        <v/>
      </c>
    </row>
    <row r="1556">
      <c r="A1556" t="inlineStr">
        <is>
          <t>2026-06-19</t>
        </is>
      </c>
      <c r="B1556" t="inlineStr">
        <is>
          <t>561320</t>
        </is>
      </c>
      <c r="C1556" t="inlineStr">
        <is>
          <t>交运ETF国泰</t>
        </is>
      </c>
      <c r="D1556" t="n">
        <v>5536.9</v>
      </c>
      <c r="E1556" t="n">
        <v>5536.9</v>
      </c>
      <c r="F1556" t="n">
        <v>0.891</v>
      </c>
      <c r="G1556" t="n">
        <v>0</v>
      </c>
      <c r="H1556" t="n">
        <v>0.493338</v>
      </c>
      <c r="I1556" t="n">
        <v>0.512958</v>
      </c>
      <c r="J1556" t="n">
        <v>-0.01962</v>
      </c>
      <c r="K1556" s="4">
        <f>IFERROR(J1556/I1556,"")</f>
        <v/>
      </c>
      <c r="L1556" s="4">
        <f>IFERROR((D1556-E1556)/E1556,"")</f>
        <v/>
      </c>
    </row>
    <row r="1557">
      <c r="A1557" t="inlineStr">
        <is>
          <t>2026-06-19</t>
        </is>
      </c>
      <c r="B1557" t="inlineStr">
        <is>
          <t>561330</t>
        </is>
      </c>
      <c r="C1557" t="inlineStr">
        <is>
          <t>矿业ETF国泰</t>
        </is>
      </c>
      <c r="D1557" t="n">
        <v>93369.61</v>
      </c>
      <c r="E1557" t="n">
        <v>94069.61</v>
      </c>
      <c r="F1557" t="n">
        <v>2.07</v>
      </c>
      <c r="G1557" t="n">
        <v>-700</v>
      </c>
      <c r="H1557" t="n">
        <v>19.472409</v>
      </c>
      <c r="I1557" t="n">
        <v>19.470186</v>
      </c>
      <c r="J1557" t="n">
        <v>0.002223</v>
      </c>
      <c r="K1557" s="4">
        <f>IFERROR(J1557/I1557,"")</f>
        <v/>
      </c>
      <c r="L1557" s="4">
        <f>IFERROR((D1557-E1557)/E1557,"")</f>
        <v/>
      </c>
    </row>
    <row r="1558">
      <c r="A1558" t="inlineStr">
        <is>
          <t>2026-06-19</t>
        </is>
      </c>
      <c r="B1558" t="inlineStr">
        <is>
          <t>561350</t>
        </is>
      </c>
      <c r="C1558" t="inlineStr">
        <is>
          <t>中证500ETF国泰</t>
        </is>
      </c>
      <c r="D1558" t="n">
        <v>6770</v>
      </c>
      <c r="E1558" t="n">
        <v>6770</v>
      </c>
      <c r="F1558" t="n">
        <v>1.375</v>
      </c>
      <c r="G1558" t="n">
        <v>0</v>
      </c>
      <c r="H1558" t="n">
        <v>0.930875</v>
      </c>
      <c r="I1558" t="n">
        <v>0.924105</v>
      </c>
      <c r="J1558" t="n">
        <v>0.00677</v>
      </c>
      <c r="K1558" s="4">
        <f>IFERROR(J1558/I1558,"")</f>
        <v/>
      </c>
      <c r="L1558" s="4">
        <f>IFERROR((D1558-E1558)/E1558,"")</f>
        <v/>
      </c>
    </row>
    <row r="1559">
      <c r="A1559" t="inlineStr">
        <is>
          <t>2026-06-19</t>
        </is>
      </c>
      <c r="B1559" t="inlineStr">
        <is>
          <t>561360</t>
        </is>
      </c>
      <c r="C1559" t="inlineStr">
        <is>
          <t>石油ETF国泰</t>
        </is>
      </c>
      <c r="D1559" t="n">
        <v>142414.8</v>
      </c>
      <c r="E1559" t="n">
        <v>146414.8</v>
      </c>
      <c r="F1559" t="n">
        <v>1.4</v>
      </c>
      <c r="G1559" t="n">
        <v>-4000</v>
      </c>
      <c r="H1559" t="n">
        <v>20.498072</v>
      </c>
      <c r="I1559" t="n">
        <v>20.858593</v>
      </c>
      <c r="J1559" t="n">
        <v>-0.360521</v>
      </c>
      <c r="K1559" s="4">
        <f>IFERROR(J1559/I1559,"")</f>
        <v/>
      </c>
      <c r="L1559" s="4">
        <f>IFERROR((D1559-E1559)/E1559,"")</f>
        <v/>
      </c>
    </row>
    <row r="1560">
      <c r="A1560" t="inlineStr">
        <is>
          <t>2026-06-19</t>
        </is>
      </c>
      <c r="B1560" t="inlineStr">
        <is>
          <t>561370</t>
        </is>
      </c>
      <c r="C1560" t="inlineStr">
        <is>
          <t>中证2000ETF国泰</t>
        </is>
      </c>
      <c r="D1560" t="n">
        <v>2235.6</v>
      </c>
      <c r="E1560" t="n">
        <v>2235.6</v>
      </c>
      <c r="F1560" t="n">
        <v>1.554</v>
      </c>
      <c r="G1560" t="n">
        <v>0</v>
      </c>
      <c r="H1560" t="n">
        <v>0.347412</v>
      </c>
      <c r="I1560" t="n">
        <v>0.347189</v>
      </c>
      <c r="J1560" t="n">
        <v>0.000223</v>
      </c>
      <c r="K1560" s="4">
        <f>IFERROR(J1560/I1560,"")</f>
        <v/>
      </c>
      <c r="L1560" s="4">
        <f>IFERROR((D1560-E1560)/E1560,"")</f>
        <v/>
      </c>
    </row>
    <row r="1561">
      <c r="A1561" t="inlineStr">
        <is>
          <t>2026-06-19</t>
        </is>
      </c>
      <c r="B1561" t="inlineStr">
        <is>
          <t>561380</t>
        </is>
      </c>
      <c r="C1561" t="inlineStr">
        <is>
          <t>电网设备ETF国泰</t>
        </is>
      </c>
      <c r="D1561" t="n">
        <v>286541.36</v>
      </c>
      <c r="E1561" t="n">
        <v>291841.36</v>
      </c>
      <c r="F1561" t="n">
        <v>2.342</v>
      </c>
      <c r="G1561" t="n">
        <v>-5300</v>
      </c>
      <c r="H1561" t="n">
        <v>68.34924599999999</v>
      </c>
      <c r="I1561" t="n">
        <v>68.73205400000001</v>
      </c>
      <c r="J1561" t="n">
        <v>-0.382808</v>
      </c>
      <c r="K1561" s="4">
        <f>IFERROR(J1561/I1561,"")</f>
        <v/>
      </c>
      <c r="L1561" s="4">
        <f>IFERROR((D1561-E1561)/E1561,"")</f>
        <v/>
      </c>
    </row>
    <row r="1562">
      <c r="A1562" t="inlineStr">
        <is>
          <t>2026-06-19</t>
        </is>
      </c>
      <c r="B1562" t="inlineStr">
        <is>
          <t>561500</t>
        </is>
      </c>
      <c r="C1562" t="inlineStr">
        <is>
          <t>漂亮50ETF华泰柏瑞</t>
        </is>
      </c>
      <c r="D1562" t="n">
        <v>5760.03</v>
      </c>
      <c r="E1562" t="n">
        <v>5610.03</v>
      </c>
      <c r="F1562" t="n">
        <v>0.841</v>
      </c>
      <c r="G1562" t="n">
        <v>150</v>
      </c>
      <c r="H1562" t="n">
        <v>0.471803</v>
      </c>
      <c r="I1562" t="n">
        <v>0.472364</v>
      </c>
      <c r="J1562" t="n">
        <v>-0.000561</v>
      </c>
      <c r="K1562" s="4">
        <f>IFERROR(J1562/I1562,"")</f>
        <v/>
      </c>
      <c r="L1562" s="4">
        <f>IFERROR((D1562-E1562)/E1562,"")</f>
        <v/>
      </c>
    </row>
    <row r="1563">
      <c r="A1563" t="inlineStr">
        <is>
          <t>2026-06-19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0.874</v>
      </c>
      <c r="G1563" t="n">
        <v>0</v>
      </c>
      <c r="H1563" t="n">
        <v>0.569901</v>
      </c>
      <c r="I1563" t="n">
        <v>0.573813</v>
      </c>
      <c r="J1563" t="n">
        <v>-0.003912</v>
      </c>
      <c r="K1563" s="4">
        <f>IFERROR(J1563/I1563,"")</f>
        <v/>
      </c>
      <c r="L1563" s="4">
        <f>IFERROR((D1563-E1563)/E1563,"")</f>
        <v/>
      </c>
    </row>
    <row r="1564">
      <c r="A1564" t="inlineStr">
        <is>
          <t>2026-06-19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111148.96</v>
      </c>
      <c r="E1564" t="n">
        <v>110998.96</v>
      </c>
      <c r="F1564" t="n">
        <v>1.546</v>
      </c>
      <c r="G1564" t="n">
        <v>150</v>
      </c>
      <c r="H1564" t="n">
        <v>17.160438</v>
      </c>
      <c r="I1564" t="n">
        <v>17.082739</v>
      </c>
      <c r="J1564" t="n">
        <v>0.077699</v>
      </c>
      <c r="K1564" s="4">
        <f>IFERROR(J1564/I1564,"")</f>
        <v/>
      </c>
      <c r="L1564" s="4">
        <f>IFERROR((D1564-E1564)/E1564,"")</f>
        <v/>
      </c>
    </row>
    <row r="1565">
      <c r="A1565" t="inlineStr">
        <is>
          <t>2026-06-19</t>
        </is>
      </c>
      <c r="B1565" t="inlineStr">
        <is>
          <t>561560</t>
        </is>
      </c>
      <c r="C1565" t="inlineStr">
        <is>
          <t>电力ETF华泰柏瑞</t>
        </is>
      </c>
      <c r="D1565" t="n">
        <v>236512.42</v>
      </c>
      <c r="E1565" t="n">
        <v>245962.42</v>
      </c>
      <c r="F1565" t="n">
        <v>1.324</v>
      </c>
      <c r="G1565" t="n">
        <v>-9450</v>
      </c>
      <c r="H1565" t="n">
        <v>32.565424</v>
      </c>
      <c r="I1565" t="n">
        <v>33.890104</v>
      </c>
      <c r="J1565" t="n">
        <v>-1.32468</v>
      </c>
      <c r="K1565" s="4">
        <f>IFERROR(J1565/I1565,"")</f>
        <v/>
      </c>
      <c r="L1565" s="4">
        <f>IFERROR((D1565-E1565)/E1565,"")</f>
        <v/>
      </c>
    </row>
    <row r="1566">
      <c r="A1566" t="inlineStr">
        <is>
          <t>2026-06-19</t>
        </is>
      </c>
      <c r="B1566" t="inlineStr">
        <is>
          <t>561570</t>
        </is>
      </c>
      <c r="C1566" t="inlineStr">
        <is>
          <t>油气ETF华泰柏瑞</t>
        </is>
      </c>
      <c r="D1566" t="n">
        <v>9214.700000000001</v>
      </c>
      <c r="E1566" t="n">
        <v>9514.700000000001</v>
      </c>
      <c r="F1566" t="n">
        <v>1.322</v>
      </c>
      <c r="G1566" t="n">
        <v>-300</v>
      </c>
      <c r="H1566" t="n">
        <v>1.257843</v>
      </c>
      <c r="I1566" t="n">
        <v>1.273067</v>
      </c>
      <c r="J1566" t="n">
        <v>-0.015224</v>
      </c>
      <c r="K1566" s="4">
        <f>IFERROR(J1566/I1566,"")</f>
        <v/>
      </c>
      <c r="L1566" s="4">
        <f>IFERROR((D1566-E1566)/E1566,"")</f>
        <v/>
      </c>
    </row>
    <row r="1567">
      <c r="A1567" t="inlineStr">
        <is>
          <t>2026-06-19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203737.07</v>
      </c>
      <c r="E1567" t="n">
        <v>202387.07</v>
      </c>
      <c r="F1567" t="n">
        <v>1.146</v>
      </c>
      <c r="G1567" t="n">
        <v>1350</v>
      </c>
      <c r="H1567" t="n">
        <v>23.193558</v>
      </c>
      <c r="I1567" t="n">
        <v>23.626004</v>
      </c>
      <c r="J1567" t="n">
        <v>-0.432446</v>
      </c>
      <c r="K1567" s="4">
        <f>IFERROR(J1567/I1567,"")</f>
        <v/>
      </c>
      <c r="L1567" s="4">
        <f>IFERROR((D1567-E1567)/E1567,"")</f>
        <v/>
      </c>
    </row>
    <row r="1568">
      <c r="A1568" t="inlineStr">
        <is>
          <t>2026-06-19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7399.96</v>
      </c>
      <c r="E1568" t="n">
        <v>7399.96</v>
      </c>
      <c r="F1568" t="n">
        <v>1.696</v>
      </c>
      <c r="G1568" t="n">
        <v>0</v>
      </c>
      <c r="H1568" t="n">
        <v>1.255034</v>
      </c>
      <c r="I1568" t="n">
        <v>1.242454</v>
      </c>
      <c r="J1568" t="n">
        <v>0.01258</v>
      </c>
      <c r="K1568" s="4">
        <f>IFERROR(J1568/I1568,"")</f>
        <v/>
      </c>
      <c r="L1568" s="4">
        <f>IFERROR((D1568-E1568)/E1568,"")</f>
        <v/>
      </c>
    </row>
    <row r="1569">
      <c r="A1569" t="inlineStr">
        <is>
          <t>2026-06-19</t>
        </is>
      </c>
      <c r="B1569" t="inlineStr">
        <is>
          <t>561600</t>
        </is>
      </c>
      <c r="C1569" t="inlineStr">
        <is>
          <t>消费电子ETF平安</t>
        </is>
      </c>
      <c r="D1569" t="n">
        <v>13627.4</v>
      </c>
      <c r="E1569" t="n">
        <v>13427.4</v>
      </c>
      <c r="F1569" t="n">
        <v>1.911</v>
      </c>
      <c r="G1569" t="n">
        <v>200</v>
      </c>
      <c r="H1569" t="n">
        <v>2.565976</v>
      </c>
      <c r="I1569" t="n">
        <v>2.324704</v>
      </c>
      <c r="J1569" t="n">
        <v>0.241272</v>
      </c>
      <c r="K1569" s="4">
        <f>IFERROR(J1569/I1569,"")</f>
        <v/>
      </c>
      <c r="L1569" s="4">
        <f>IFERROR((D1569-E1569)/E1569,"")</f>
        <v/>
      </c>
    </row>
    <row r="1570">
      <c r="A1570" t="inlineStr">
        <is>
          <t>2026-06-19</t>
        </is>
      </c>
      <c r="B1570" t="inlineStr">
        <is>
          <t>561660</t>
        </is>
      </c>
      <c r="C1570" t="inlineStr">
        <is>
          <t>通用航空ETF平安</t>
        </is>
      </c>
      <c r="D1570" t="n">
        <v>6171</v>
      </c>
      <c r="E1570" t="n">
        <v>6471</v>
      </c>
      <c r="F1570" t="n">
        <v>1.029</v>
      </c>
      <c r="G1570" t="n">
        <v>-300</v>
      </c>
      <c r="H1570" t="n">
        <v>0.665866</v>
      </c>
      <c r="I1570" t="n">
        <v>0.6536650000000001</v>
      </c>
      <c r="J1570" t="n">
        <v>0.012201</v>
      </c>
      <c r="K1570" s="4">
        <f>IFERROR(J1570/I1570,"")</f>
        <v/>
      </c>
      <c r="L1570" s="4">
        <f>IFERROR((D1570-E1570)/E1570,"")</f>
        <v/>
      </c>
    </row>
    <row r="1571">
      <c r="A1571" t="inlineStr">
        <is>
          <t>2026-06-19</t>
        </is>
      </c>
      <c r="B1571" t="inlineStr">
        <is>
          <t>561680</t>
        </is>
      </c>
      <c r="C1571" t="inlineStr">
        <is>
          <t>A500红利低波ETF平安</t>
        </is>
      </c>
      <c r="D1571" t="n">
        <v>7116.9</v>
      </c>
      <c r="E1571" t="n">
        <v>7016.9</v>
      </c>
      <c r="F1571" t="n">
        <v>0.9399999999999999</v>
      </c>
      <c r="G1571" t="n">
        <v>100</v>
      </c>
      <c r="H1571" t="n">
        <v>0.659589</v>
      </c>
      <c r="I1571" t="n">
        <v>0.672921</v>
      </c>
      <c r="J1571" t="n">
        <v>-0.013332</v>
      </c>
      <c r="K1571" s="4">
        <f>IFERROR(J1571/I1571,"")</f>
        <v/>
      </c>
      <c r="L1571" s="4">
        <f>IFERROR((D1571-E1571)/E1571,"")</f>
        <v/>
      </c>
    </row>
    <row r="1572">
      <c r="A1572" t="inlineStr">
        <is>
          <t>2026-06-19</t>
        </is>
      </c>
      <c r="B1572" t="inlineStr">
        <is>
          <t>561700</t>
        </is>
      </c>
      <c r="C1572" t="inlineStr">
        <is>
          <t>电力ETF博时</t>
        </is>
      </c>
      <c r="D1572" t="n">
        <v>37481.36</v>
      </c>
      <c r="E1572" t="n">
        <v>37931.36</v>
      </c>
      <c r="F1572" t="n">
        <v>1.15</v>
      </c>
      <c r="G1572" t="n">
        <v>-450</v>
      </c>
      <c r="H1572" t="n">
        <v>4.362106</v>
      </c>
      <c r="I1572" t="n">
        <v>4.5474</v>
      </c>
      <c r="J1572" t="n">
        <v>-0.185294</v>
      </c>
      <c r="K1572" s="4">
        <f>IFERROR(J1572/I1572,"")</f>
        <v/>
      </c>
      <c r="L1572" s="4">
        <f>IFERROR((D1572-E1572)/E1572,"")</f>
        <v/>
      </c>
    </row>
    <row r="1573">
      <c r="A1573" t="inlineStr">
        <is>
          <t>2026-06-19</t>
        </is>
      </c>
      <c r="B1573" t="inlineStr">
        <is>
          <t>561750</t>
        </is>
      </c>
      <c r="C1573" t="inlineStr">
        <is>
          <t>A50ETF博时</t>
        </is>
      </c>
      <c r="D1573" t="n">
        <v>6749.6</v>
      </c>
      <c r="E1573" t="n">
        <v>6749.6</v>
      </c>
      <c r="F1573" t="n">
        <v>1.206</v>
      </c>
      <c r="G1573" t="n">
        <v>0</v>
      </c>
      <c r="H1573" t="n">
        <v>0.814002</v>
      </c>
      <c r="I1573" t="n">
        <v>0.814002</v>
      </c>
      <c r="J1573" t="n">
        <v>0</v>
      </c>
      <c r="K1573" s="4">
        <f>IFERROR(J1573/I1573,"")</f>
        <v/>
      </c>
      <c r="L1573" s="4">
        <f>IFERROR((D1573-E1573)/E1573,"")</f>
        <v/>
      </c>
    </row>
    <row r="1574">
      <c r="A1574" t="inlineStr">
        <is>
          <t>2026-06-19</t>
        </is>
      </c>
      <c r="B1574" t="inlineStr">
        <is>
          <t>561760</t>
        </is>
      </c>
      <c r="C1574" t="inlineStr">
        <is>
          <t>油气ETF博时</t>
        </is>
      </c>
      <c r="D1574" t="n">
        <v>18019.5</v>
      </c>
      <c r="E1574" t="n">
        <v>18469.5</v>
      </c>
      <c r="F1574" t="n">
        <v>1.299</v>
      </c>
      <c r="G1574" t="n">
        <v>-450</v>
      </c>
      <c r="H1574" t="n">
        <v>2.399188</v>
      </c>
      <c r="I1574" t="n">
        <v>2.458805</v>
      </c>
      <c r="J1574" t="n">
        <v>-0.059617</v>
      </c>
      <c r="K1574" s="4">
        <f>IFERROR(J1574/I1574,"")</f>
        <v/>
      </c>
      <c r="L1574" s="4">
        <f>IFERROR((D1574-E1574)/E1574,"")</f>
        <v/>
      </c>
    </row>
    <row r="1575">
      <c r="A1575" t="inlineStr">
        <is>
          <t>2026-06-19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1.322</v>
      </c>
      <c r="G1575" t="n">
        <v>0</v>
      </c>
      <c r="H1575" t="n">
        <v>0.496411</v>
      </c>
      <c r="I1575" t="n">
        <v>0.496787</v>
      </c>
      <c r="J1575" t="n">
        <v>-0.000376</v>
      </c>
      <c r="K1575" s="4">
        <f>IFERROR(J1575/I1575,"")</f>
        <v/>
      </c>
      <c r="L1575" s="4">
        <f>IFERROR((D1575-E1575)/E1575,"")</f>
        <v/>
      </c>
    </row>
    <row r="1576">
      <c r="A1576" t="inlineStr">
        <is>
          <t>2026-06-19</t>
        </is>
      </c>
      <c r="B1576" t="inlineStr">
        <is>
          <t>561780</t>
        </is>
      </c>
      <c r="C1576" t="inlineStr">
        <is>
          <t>1000增强ETF博时</t>
        </is>
      </c>
      <c r="D1576" t="n">
        <v>1335.58</v>
      </c>
      <c r="E1576" t="n">
        <v>1335.58</v>
      </c>
      <c r="F1576" t="n">
        <v>1.742</v>
      </c>
      <c r="G1576" t="n">
        <v>0</v>
      </c>
      <c r="H1576" t="n">
        <v>0.232658</v>
      </c>
      <c r="I1576" t="n">
        <v>0.230788</v>
      </c>
      <c r="J1576" t="n">
        <v>0.00187</v>
      </c>
      <c r="K1576" s="4">
        <f>IFERROR(J1576/I1576,"")</f>
        <v/>
      </c>
      <c r="L1576" s="4">
        <f>IFERROR((D1576-E1576)/E1576,"")</f>
        <v/>
      </c>
    </row>
    <row r="1577">
      <c r="A1577" t="inlineStr">
        <is>
          <t>2026-06-19</t>
        </is>
      </c>
      <c r="B1577" t="inlineStr">
        <is>
          <t>561790</t>
        </is>
      </c>
      <c r="C1577" t="inlineStr">
        <is>
          <t>央企能源ETF博时</t>
        </is>
      </c>
      <c r="D1577" t="n">
        <v>6053.4</v>
      </c>
      <c r="E1577" t="n">
        <v>6053.4</v>
      </c>
      <c r="F1577" t="n">
        <v>1.267</v>
      </c>
      <c r="G1577" t="n">
        <v>0</v>
      </c>
      <c r="H1577" t="n">
        <v>0.766966</v>
      </c>
      <c r="I1577" t="n">
        <v>0.78331</v>
      </c>
      <c r="J1577" t="n">
        <v>-0.016344</v>
      </c>
      <c r="K1577" s="4">
        <f>IFERROR(J1577/I1577,"")</f>
        <v/>
      </c>
      <c r="L1577" s="4">
        <f>IFERROR((D1577-E1577)/E1577,"")</f>
        <v/>
      </c>
    </row>
    <row r="1578">
      <c r="A1578" t="inlineStr">
        <is>
          <t>2026-06-19</t>
        </is>
      </c>
      <c r="B1578" t="inlineStr">
        <is>
          <t>561800</t>
        </is>
      </c>
      <c r="C1578" t="inlineStr">
        <is>
          <t>稀有金属ETF华富</t>
        </is>
      </c>
      <c r="D1578" t="n">
        <v>19407.72</v>
      </c>
      <c r="E1578" t="n">
        <v>19407.72</v>
      </c>
      <c r="F1578" t="n">
        <v>1.256</v>
      </c>
      <c r="G1578" t="n">
        <v>0</v>
      </c>
      <c r="H1578" t="n">
        <v>2.43761</v>
      </c>
      <c r="I1578" t="n">
        <v>2.338885</v>
      </c>
      <c r="J1578" t="n">
        <v>0.09872499999999999</v>
      </c>
      <c r="K1578" s="4">
        <f>IFERROR(J1578/I1578,"")</f>
        <v/>
      </c>
      <c r="L1578" s="4">
        <f>IFERROR((D1578-E1578)/E1578,"")</f>
        <v/>
      </c>
    </row>
    <row r="1579">
      <c r="A1579" t="inlineStr">
        <is>
          <t>2026-06-19</t>
        </is>
      </c>
      <c r="B1579" t="inlineStr">
        <is>
          <t>561870</t>
        </is>
      </c>
      <c r="C1579" t="inlineStr">
        <is>
          <t>现金流全指ETF华富</t>
        </is>
      </c>
      <c r="D1579" t="n">
        <v>11576.5</v>
      </c>
      <c r="E1579" t="n">
        <v>11876.5</v>
      </c>
      <c r="F1579" t="n">
        <v>1.151</v>
      </c>
      <c r="G1579" t="n">
        <v>-300</v>
      </c>
      <c r="H1579" t="n">
        <v>1.366985</v>
      </c>
      <c r="I1579" t="n">
        <v>1.388076</v>
      </c>
      <c r="J1579" t="n">
        <v>-0.021091</v>
      </c>
      <c r="K1579" s="4">
        <f>IFERROR(J1579/I1579,"")</f>
        <v/>
      </c>
      <c r="L1579" s="4">
        <f>IFERROR((D1579-E1579)/E1579,"")</f>
        <v/>
      </c>
    </row>
    <row r="1580">
      <c r="A1580" t="inlineStr">
        <is>
          <t>2026-06-19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1.375</v>
      </c>
      <c r="G1580" t="n">
        <v>0</v>
      </c>
      <c r="H1580" t="n">
        <v>1.160349</v>
      </c>
      <c r="I1580" t="n">
        <v>1.150222</v>
      </c>
      <c r="J1580" t="n">
        <v>0.010127</v>
      </c>
      <c r="K1580" s="4">
        <f>IFERROR(J1580/I1580,"")</f>
        <v/>
      </c>
      <c r="L1580" s="4">
        <f>IFERROR((D1580-E1580)/E1580,"")</f>
        <v/>
      </c>
    </row>
    <row r="1581">
      <c r="A1581" t="inlineStr">
        <is>
          <t>2026-06-19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1.047</v>
      </c>
      <c r="G1581" t="n">
        <v>0</v>
      </c>
      <c r="H1581" t="n">
        <v>0.244311</v>
      </c>
      <c r="I1581" t="n">
        <v>0.274668</v>
      </c>
      <c r="J1581" t="n">
        <v>-0.030357</v>
      </c>
      <c r="K1581" s="4">
        <f>IFERROR(J1581/I1581,"")</f>
        <v/>
      </c>
      <c r="L1581" s="4">
        <f>IFERROR((D1581-E1581)/E1581,"")</f>
        <v/>
      </c>
    </row>
    <row r="1582">
      <c r="A1582" t="inlineStr">
        <is>
          <t>2026-06-19</t>
        </is>
      </c>
      <c r="B1582" t="inlineStr">
        <is>
          <t>561910</t>
        </is>
      </c>
      <c r="C1582" t="inlineStr">
        <is>
          <t>电池ETF招商</t>
        </is>
      </c>
      <c r="D1582" t="n">
        <v>482907.66</v>
      </c>
      <c r="E1582" t="n">
        <v>480607.66</v>
      </c>
      <c r="F1582" t="n">
        <v>0.905</v>
      </c>
      <c r="G1582" t="n">
        <v>2300</v>
      </c>
      <c r="H1582" t="n">
        <v>43.494993</v>
      </c>
      <c r="I1582" t="n">
        <v>43.302459</v>
      </c>
      <c r="J1582" t="n">
        <v>0.192534</v>
      </c>
      <c r="K1582" s="4">
        <f>IFERROR(J1582/I1582,"")</f>
        <v/>
      </c>
      <c r="L1582" s="4">
        <f>IFERROR((D1582-E1582)/E1582,"")</f>
        <v/>
      </c>
    </row>
    <row r="1583">
      <c r="A1583" t="inlineStr">
        <is>
          <t>2026-06-19</t>
        </is>
      </c>
      <c r="B1583" t="inlineStr">
        <is>
          <t>561920</t>
        </is>
      </c>
      <c r="C1583" t="inlineStr">
        <is>
          <t>疫苗ETF招商</t>
        </is>
      </c>
      <c r="D1583" t="n">
        <v>4369.2</v>
      </c>
      <c r="E1583" t="n">
        <v>4369.2</v>
      </c>
      <c r="F1583" t="n">
        <v>0.607</v>
      </c>
      <c r="G1583" t="n">
        <v>0</v>
      </c>
      <c r="H1583" t="n">
        <v>0.26521</v>
      </c>
      <c r="I1583" t="n">
        <v>0.261715</v>
      </c>
      <c r="J1583" t="n">
        <v>0.003495</v>
      </c>
      <c r="K1583" s="4">
        <f>IFERROR(J1583/I1583,"")</f>
        <v/>
      </c>
      <c r="L1583" s="4">
        <f>IFERROR((D1583-E1583)/E1583,"")</f>
        <v/>
      </c>
    </row>
    <row r="1584">
      <c r="A1584" t="inlineStr">
        <is>
          <t>2026-06-19</t>
        </is>
      </c>
      <c r="B1584" t="inlineStr">
        <is>
          <t>561930</t>
        </is>
      </c>
      <c r="C1584" t="inlineStr">
        <is>
          <t>沪深300ETF招商</t>
        </is>
      </c>
      <c r="D1584" t="n">
        <v>12126.06</v>
      </c>
      <c r="E1584" t="n">
        <v>11826.06</v>
      </c>
      <c r="F1584" t="n">
        <v>1.66</v>
      </c>
      <c r="G1584" t="n">
        <v>300</v>
      </c>
      <c r="H1584" t="n">
        <v>1.963126</v>
      </c>
      <c r="I1584" t="n">
        <v>2.0008</v>
      </c>
      <c r="J1584" t="n">
        <v>-0.037674</v>
      </c>
      <c r="K1584" s="4">
        <f>IFERROR(J1584/I1584,"")</f>
        <v/>
      </c>
      <c r="L1584" s="4">
        <f>IFERROR((D1584-E1584)/E1584,"")</f>
        <v/>
      </c>
    </row>
    <row r="1585">
      <c r="A1585" t="inlineStr">
        <is>
          <t>2026-06-19</t>
        </is>
      </c>
      <c r="B1585" t="inlineStr">
        <is>
          <t>561950</t>
        </is>
      </c>
      <c r="C1585" t="inlineStr">
        <is>
          <t>中证500增强ETF招商</t>
        </is>
      </c>
      <c r="D1585" t="n">
        <v>8565.6</v>
      </c>
      <c r="E1585" t="n">
        <v>8565.6</v>
      </c>
      <c r="F1585" t="n">
        <v>1.481</v>
      </c>
      <c r="G1585" t="n">
        <v>0</v>
      </c>
      <c r="H1585" t="n">
        <v>1.268565</v>
      </c>
      <c r="I1585" t="n">
        <v>1.265996</v>
      </c>
      <c r="J1585" t="n">
        <v>0.002569</v>
      </c>
      <c r="K1585" s="4">
        <f>IFERROR(J1585/I1585,"")</f>
        <v/>
      </c>
      <c r="L1585" s="4">
        <f>IFERROR((D1585-E1585)/E1585,"")</f>
        <v/>
      </c>
    </row>
    <row r="1586">
      <c r="A1586" t="inlineStr">
        <is>
          <t>2026-06-19</t>
        </is>
      </c>
      <c r="B1586" t="inlineStr">
        <is>
          <t>561960</t>
        </is>
      </c>
      <c r="C1586" t="inlineStr">
        <is>
          <t>央企回报ETF招商</t>
        </is>
      </c>
      <c r="D1586" t="n">
        <v>5418.52</v>
      </c>
      <c r="E1586" t="n">
        <v>5378.52</v>
      </c>
      <c r="F1586" t="n">
        <v>1.205</v>
      </c>
      <c r="G1586" t="n">
        <v>40</v>
      </c>
      <c r="H1586" t="n">
        <v>0.648112</v>
      </c>
      <c r="I1586" t="n">
        <v>0.661021</v>
      </c>
      <c r="J1586" t="n">
        <v>-0.012909</v>
      </c>
      <c r="K1586" s="4">
        <f>IFERROR(J1586/I1586,"")</f>
        <v/>
      </c>
      <c r="L1586" s="4">
        <f>IFERROR((D1586-E1586)/E1586,"")</f>
        <v/>
      </c>
    </row>
    <row r="1587">
      <c r="A1587" t="inlineStr">
        <is>
          <t>2026-06-19</t>
        </is>
      </c>
      <c r="B1587" t="inlineStr">
        <is>
          <t>561980</t>
        </is>
      </c>
      <c r="C1587" t="inlineStr">
        <is>
          <t>半导体设备ETF招商</t>
        </is>
      </c>
      <c r="D1587" t="n">
        <v>115911</v>
      </c>
      <c r="E1587" t="n">
        <v>113611</v>
      </c>
      <c r="F1587" t="n">
        <v>3.743</v>
      </c>
      <c r="G1587" t="n">
        <v>2300</v>
      </c>
      <c r="H1587" t="n">
        <v>42.524597</v>
      </c>
      <c r="I1587" t="n">
        <v>41.525382</v>
      </c>
      <c r="J1587" t="n">
        <v>0.999215</v>
      </c>
      <c r="K1587" s="4">
        <f>IFERROR(J1587/I1587,"")</f>
        <v/>
      </c>
      <c r="L1587" s="4">
        <f>IFERROR((D1587-E1587)/E1587,"")</f>
        <v/>
      </c>
    </row>
    <row r="1588">
      <c r="A1588" t="inlineStr">
        <is>
          <t>2026-06-19</t>
        </is>
      </c>
      <c r="B1588" t="inlineStr">
        <is>
          <t>561990</t>
        </is>
      </c>
      <c r="C1588" t="inlineStr">
        <is>
          <t>沪深300增强ETF招商</t>
        </is>
      </c>
      <c r="D1588" t="n">
        <v>34964.92</v>
      </c>
      <c r="E1588" t="n">
        <v>33764.92</v>
      </c>
      <c r="F1588" t="n">
        <v>1.06</v>
      </c>
      <c r="G1588" t="n">
        <v>1200</v>
      </c>
      <c r="H1588" t="n">
        <v>3.579082</v>
      </c>
      <c r="I1588" t="n">
        <v>3.671016</v>
      </c>
      <c r="J1588" t="n">
        <v>-0.091934</v>
      </c>
      <c r="K1588" s="4">
        <f>IFERROR(J1588/I1588,"")</f>
        <v/>
      </c>
      <c r="L1588" s="4">
        <f>IFERROR((D1588-E1588)/E1588,"")</f>
        <v/>
      </c>
    </row>
    <row r="1589">
      <c r="A1589" t="inlineStr">
        <is>
          <t>2026-06-19</t>
        </is>
      </c>
      <c r="B1589" t="inlineStr">
        <is>
          <t>562000</t>
        </is>
      </c>
      <c r="C1589" t="inlineStr">
        <is>
          <t>A100ETF华宝</t>
        </is>
      </c>
      <c r="D1589" t="n">
        <v>61273.79</v>
      </c>
      <c r="E1589" t="n">
        <v>61673.79</v>
      </c>
      <c r="F1589" t="n">
        <v>0.642</v>
      </c>
      <c r="G1589" t="n">
        <v>-400</v>
      </c>
      <c r="H1589" t="n">
        <v>3.959457</v>
      </c>
      <c r="I1589" t="n">
        <v>3.934788</v>
      </c>
      <c r="J1589" t="n">
        <v>0.024669</v>
      </c>
      <c r="K1589" s="4">
        <f>IFERROR(J1589/I1589,"")</f>
        <v/>
      </c>
      <c r="L1589" s="4">
        <f>IFERROR((D1589-E1589)/E1589,"")</f>
        <v/>
      </c>
    </row>
    <row r="1590">
      <c r="A1590" t="inlineStr">
        <is>
          <t>2026-06-19</t>
        </is>
      </c>
      <c r="B1590" t="inlineStr">
        <is>
          <t>562010</t>
        </is>
      </c>
      <c r="C1590" t="inlineStr">
        <is>
          <t>绿色能源ETF华宝</t>
        </is>
      </c>
      <c r="D1590" t="n">
        <v>2029.87</v>
      </c>
      <c r="E1590" t="n">
        <v>2029.87</v>
      </c>
      <c r="F1590" t="n">
        <v>0.985</v>
      </c>
      <c r="G1590" t="n">
        <v>0</v>
      </c>
      <c r="H1590" t="n">
        <v>0.199942</v>
      </c>
      <c r="I1590" t="n">
        <v>0.211709</v>
      </c>
      <c r="J1590" t="n">
        <v>-0.011767</v>
      </c>
      <c r="K1590" s="4">
        <f>IFERROR(J1590/I1590,"")</f>
        <v/>
      </c>
      <c r="L1590" s="4">
        <f>IFERROR((D1590-E1590)/E1590,"")</f>
        <v/>
      </c>
    </row>
    <row r="1591">
      <c r="A1591" t="inlineStr">
        <is>
          <t>2026-06-19</t>
        </is>
      </c>
      <c r="B1591" t="inlineStr">
        <is>
          <t>562030</t>
        </is>
      </c>
      <c r="C1591" t="inlineStr">
        <is>
          <t>信创ETF华宝</t>
        </is>
      </c>
      <c r="D1591" t="n">
        <v>14597.39</v>
      </c>
      <c r="E1591" t="n">
        <v>14597.39</v>
      </c>
      <c r="F1591" t="n">
        <v>0.555</v>
      </c>
      <c r="G1591" t="n">
        <v>0</v>
      </c>
      <c r="H1591" t="n">
        <v>0.810155</v>
      </c>
      <c r="I1591" t="n">
        <v>0.784658</v>
      </c>
      <c r="J1591" t="n">
        <v>0.025497</v>
      </c>
      <c r="K1591" s="4">
        <f>IFERROR(J1591/I1591,"")</f>
        <v/>
      </c>
      <c r="L1591" s="4">
        <f>IFERROR((D1591-E1591)/E1591,"")</f>
        <v/>
      </c>
    </row>
    <row r="1592">
      <c r="A1592" t="inlineStr">
        <is>
          <t>2026-06-19</t>
        </is>
      </c>
      <c r="B1592" t="inlineStr">
        <is>
          <t>562050</t>
        </is>
      </c>
      <c r="C1592" t="inlineStr">
        <is>
          <t>药ETF华宝</t>
        </is>
      </c>
      <c r="D1592" t="n">
        <v>11146.8</v>
      </c>
      <c r="E1592" t="n">
        <v>11146.8</v>
      </c>
      <c r="F1592" t="n">
        <v>0.87</v>
      </c>
      <c r="G1592" t="n">
        <v>0</v>
      </c>
      <c r="H1592" t="n">
        <v>0.969772</v>
      </c>
      <c r="I1592" t="n">
        <v>0.946711</v>
      </c>
      <c r="J1592" t="n">
        <v>0.023061</v>
      </c>
      <c r="K1592" s="4">
        <f>IFERROR(J1592/I1592,"")</f>
        <v/>
      </c>
      <c r="L1592" s="4">
        <f>IFERROR((D1592-E1592)/E1592,"")</f>
        <v/>
      </c>
    </row>
    <row r="1593">
      <c r="A1593" t="inlineStr">
        <is>
          <t>2026-06-19</t>
        </is>
      </c>
      <c r="B1593" t="inlineStr">
        <is>
          <t>562060</t>
        </is>
      </c>
      <c r="C1593" t="inlineStr">
        <is>
          <t>标普A股红利ETF华宝</t>
        </is>
      </c>
      <c r="D1593" t="n">
        <v>573079.26</v>
      </c>
      <c r="E1593" t="n">
        <v>586979.26</v>
      </c>
      <c r="F1593" t="n">
        <v>0.593</v>
      </c>
      <c r="G1593" t="n">
        <v>-13900</v>
      </c>
      <c r="H1593" t="n">
        <v>34.80787</v>
      </c>
      <c r="I1593" t="n">
        <v>35.569719</v>
      </c>
      <c r="J1593" t="n">
        <v>-0.761849</v>
      </c>
      <c r="K1593" s="4">
        <f>IFERROR(J1593/I1593,"")</f>
        <v/>
      </c>
      <c r="L1593" s="4">
        <f>IFERROR((D1593-E1593)/E1593,"")</f>
        <v/>
      </c>
    </row>
    <row r="1594">
      <c r="A1594" t="inlineStr">
        <is>
          <t>2026-06-19</t>
        </is>
      </c>
      <c r="B1594" t="inlineStr">
        <is>
          <t>562070</t>
        </is>
      </c>
      <c r="C1594" t="inlineStr">
        <is>
          <t>沪深300指增ETF华宝</t>
        </is>
      </c>
      <c r="D1594" t="n">
        <v>42654.2</v>
      </c>
      <c r="E1594" t="n">
        <v>42654.2</v>
      </c>
      <c r="F1594" t="n">
        <v>1.08</v>
      </c>
      <c r="G1594" t="n">
        <v>0</v>
      </c>
      <c r="H1594" t="n">
        <v>4.606654</v>
      </c>
      <c r="I1594" t="n">
        <v>4.796608</v>
      </c>
      <c r="J1594" t="n">
        <v>-0.189954</v>
      </c>
      <c r="K1594" s="4">
        <f>IFERROR(J1594/I1594,"")</f>
        <v/>
      </c>
      <c r="L1594" s="4">
        <f>IFERROR((D1594-E1594)/E1594,"")</f>
        <v/>
      </c>
    </row>
    <row r="1595">
      <c r="A1595" t="inlineStr">
        <is>
          <t>2026-06-19</t>
        </is>
      </c>
      <c r="B1595" t="inlineStr">
        <is>
          <t>562080</t>
        </is>
      </c>
      <c r="C1595" t="inlineStr">
        <is>
          <t>300现金流ETF华宝</t>
        </is>
      </c>
      <c r="D1595" t="n">
        <v>70275.72</v>
      </c>
      <c r="E1595" t="n">
        <v>71875.72</v>
      </c>
      <c r="F1595" t="n">
        <v>0.584</v>
      </c>
      <c r="G1595" t="n">
        <v>-1600</v>
      </c>
      <c r="H1595" t="n">
        <v>4.197542</v>
      </c>
      <c r="I1595" t="n">
        <v>4.33339</v>
      </c>
      <c r="J1595" t="n">
        <v>-0.135848</v>
      </c>
      <c r="K1595" s="4">
        <f>IFERROR(J1595/I1595,"")</f>
        <v/>
      </c>
      <c r="L1595" s="4">
        <f>IFERROR((D1595-E1595)/E1595,"")</f>
        <v/>
      </c>
    </row>
    <row r="1596">
      <c r="A1596" t="inlineStr">
        <is>
          <t>2026-06-19</t>
        </is>
      </c>
      <c r="B1596" t="inlineStr">
        <is>
          <t>562300</t>
        </is>
      </c>
      <c r="C1596" t="inlineStr">
        <is>
          <t>碳中和ETF银华</t>
        </is>
      </c>
      <c r="D1596" t="n">
        <v>6149.5</v>
      </c>
      <c r="E1596" t="n">
        <v>6149.5</v>
      </c>
      <c r="F1596" t="n">
        <v>0.751</v>
      </c>
      <c r="G1596" t="n">
        <v>0</v>
      </c>
      <c r="H1596" t="n">
        <v>0.461827</v>
      </c>
      <c r="I1596" t="n">
        <v>0.469207</v>
      </c>
      <c r="J1596" t="n">
        <v>-0.00738</v>
      </c>
      <c r="K1596" s="4">
        <f>IFERROR(J1596/I1596,"")</f>
        <v/>
      </c>
      <c r="L1596" s="4">
        <f>IFERROR((D1596-E1596)/E1596,"")</f>
        <v/>
      </c>
    </row>
    <row r="1597">
      <c r="A1597" t="inlineStr">
        <is>
          <t>2026-06-19</t>
        </is>
      </c>
      <c r="B1597" t="inlineStr">
        <is>
          <t>562310</t>
        </is>
      </c>
      <c r="C1597" t="inlineStr">
        <is>
          <t>沪深300成长ETF银华</t>
        </is>
      </c>
      <c r="D1597" t="n">
        <v>53057.23</v>
      </c>
      <c r="E1597" t="n">
        <v>54457.23</v>
      </c>
      <c r="F1597" t="n">
        <v>1.202</v>
      </c>
      <c r="G1597" t="n">
        <v>-1400</v>
      </c>
      <c r="H1597" t="n">
        <v>6.545759</v>
      </c>
      <c r="I1597" t="n">
        <v>6.496753</v>
      </c>
      <c r="J1597" t="n">
        <v>0.049006</v>
      </c>
      <c r="K1597" s="4">
        <f>IFERROR(J1597/I1597,"")</f>
        <v/>
      </c>
      <c r="L1597" s="4">
        <f>IFERROR((D1597-E1597)/E1597,"")</f>
        <v/>
      </c>
    </row>
    <row r="1598">
      <c r="A1598" t="inlineStr">
        <is>
          <t>2026-06-19</t>
        </is>
      </c>
      <c r="B1598" t="inlineStr">
        <is>
          <t>562320</t>
        </is>
      </c>
      <c r="C1598" t="inlineStr">
        <is>
          <t>沪深300价值ETF银华</t>
        </is>
      </c>
      <c r="D1598" t="n">
        <v>5529.55</v>
      </c>
      <c r="E1598" t="n">
        <v>5529.55</v>
      </c>
      <c r="F1598" t="n">
        <v>1.256</v>
      </c>
      <c r="G1598" t="n">
        <v>0</v>
      </c>
      <c r="H1598" t="n">
        <v>0.694512</v>
      </c>
      <c r="I1598" t="n">
        <v>0.712206</v>
      </c>
      <c r="J1598" t="n">
        <v>-0.017694</v>
      </c>
      <c r="K1598" s="4">
        <f>IFERROR(J1598/I1598,"")</f>
        <v/>
      </c>
      <c r="L1598" s="4">
        <f>IFERROR((D1598-E1598)/E1598,"")</f>
        <v/>
      </c>
    </row>
    <row r="1599">
      <c r="A1599" t="inlineStr">
        <is>
          <t>2026-06-19</t>
        </is>
      </c>
      <c r="B1599" t="inlineStr">
        <is>
          <t>562330</t>
        </is>
      </c>
      <c r="C1599" t="inlineStr">
        <is>
          <t>中证500价值ETF银华</t>
        </is>
      </c>
      <c r="D1599" t="n">
        <v>1001.89</v>
      </c>
      <c r="E1599" t="n">
        <v>1001.89</v>
      </c>
      <c r="F1599" t="n">
        <v>1.235</v>
      </c>
      <c r="G1599" t="n">
        <v>0</v>
      </c>
      <c r="H1599" t="n">
        <v>0.123734</v>
      </c>
      <c r="I1599" t="n">
        <v>0.12724</v>
      </c>
      <c r="J1599" t="n">
        <v>-0.003506</v>
      </c>
      <c r="K1599" s="4">
        <f>IFERROR(J1599/I1599,"")</f>
        <v/>
      </c>
      <c r="L1599" s="4">
        <f>IFERROR((D1599-E1599)/E1599,"")</f>
        <v/>
      </c>
    </row>
    <row r="1600">
      <c r="A1600" t="inlineStr">
        <is>
          <t>2026-06-19</t>
        </is>
      </c>
      <c r="B1600" t="inlineStr">
        <is>
          <t>562340</t>
        </is>
      </c>
      <c r="C1600" t="inlineStr">
        <is>
          <t>中证500成长ETF银华</t>
        </is>
      </c>
      <c r="D1600" t="n">
        <v>614.4299999999999</v>
      </c>
      <c r="E1600" t="n">
        <v>614.4299999999999</v>
      </c>
      <c r="F1600" t="n">
        <v>1.485</v>
      </c>
      <c r="G1600" t="n">
        <v>0</v>
      </c>
      <c r="H1600" t="n">
        <v>0.09124400000000001</v>
      </c>
      <c r="I1600" t="n">
        <v>0.091489</v>
      </c>
      <c r="J1600" t="n">
        <v>-0.000245</v>
      </c>
      <c r="K1600" s="4">
        <f>IFERROR(J1600/I1600,"")</f>
        <v/>
      </c>
      <c r="L1600" s="4">
        <f>IFERROR((D1600-E1600)/E1600,"")</f>
        <v/>
      </c>
    </row>
    <row r="1601">
      <c r="A1601" t="inlineStr">
        <is>
          <t>2026-06-19</t>
        </is>
      </c>
      <c r="B1601" t="inlineStr">
        <is>
          <t>562350</t>
        </is>
      </c>
      <c r="C1601" t="inlineStr">
        <is>
          <t>电力ETF银华</t>
        </is>
      </c>
      <c r="D1601" t="n">
        <v>12541.09</v>
      </c>
      <c r="E1601" t="n">
        <v>12541.09</v>
      </c>
      <c r="F1601" t="n">
        <v>1.149</v>
      </c>
      <c r="G1601" t="n">
        <v>0</v>
      </c>
      <c r="H1601" t="n">
        <v>1.440971</v>
      </c>
      <c r="I1601" t="n">
        <v>1.501761</v>
      </c>
      <c r="J1601" t="n">
        <v>-0.06079</v>
      </c>
      <c r="K1601" s="4">
        <f>IFERROR(J1601/I1601,"")</f>
        <v/>
      </c>
      <c r="L1601" s="4">
        <f>IFERROR((D1601-E1601)/E1601,"")</f>
        <v/>
      </c>
    </row>
    <row r="1602">
      <c r="A1602" t="inlineStr">
        <is>
          <t>2026-06-19</t>
        </is>
      </c>
      <c r="B1602" t="inlineStr">
        <is>
          <t>562360</t>
        </is>
      </c>
      <c r="C1602" t="inlineStr">
        <is>
          <t>机器人ETF银华</t>
        </is>
      </c>
      <c r="D1602" t="n">
        <v>25247.4</v>
      </c>
      <c r="E1602" t="n">
        <v>25647.4</v>
      </c>
      <c r="F1602" t="n">
        <v>1.267</v>
      </c>
      <c r="G1602" t="n">
        <v>-400</v>
      </c>
      <c r="H1602" t="n">
        <v>3.249526</v>
      </c>
      <c r="I1602" t="n">
        <v>3.209693</v>
      </c>
      <c r="J1602" t="n">
        <v>0.039833</v>
      </c>
      <c r="K1602" s="4">
        <f>IFERROR(J1602/I1602,"")</f>
        <v/>
      </c>
      <c r="L1602" s="4">
        <f>IFERROR((D1602-E1602)/E1602,"")</f>
        <v/>
      </c>
    </row>
    <row r="1603">
      <c r="A1603" t="inlineStr">
        <is>
          <t>2026-06-19</t>
        </is>
      </c>
      <c r="B1603" t="inlineStr">
        <is>
          <t>562380</t>
        </is>
      </c>
      <c r="C1603" t="inlineStr">
        <is>
          <t>央企科技ETF银华</t>
        </is>
      </c>
      <c r="D1603" t="n">
        <v>7162.89</v>
      </c>
      <c r="E1603" t="n">
        <v>7362.89</v>
      </c>
      <c r="F1603" t="n">
        <v>1.466</v>
      </c>
      <c r="G1603" t="n">
        <v>-200</v>
      </c>
      <c r="H1603" t="n">
        <v>1.0794</v>
      </c>
      <c r="I1603" t="n">
        <v>1.045743</v>
      </c>
      <c r="J1603" t="n">
        <v>0.033657</v>
      </c>
      <c r="K1603" s="4">
        <f>IFERROR(J1603/I1603,"")</f>
        <v/>
      </c>
      <c r="L1603" s="4">
        <f>IFERROR((D1603-E1603)/E1603,"")</f>
        <v/>
      </c>
    </row>
    <row r="1604">
      <c r="A1604" t="inlineStr">
        <is>
          <t>2026-06-19</t>
        </is>
      </c>
      <c r="B1604" t="inlineStr">
        <is>
          <t>562390</t>
        </is>
      </c>
      <c r="C1604" t="inlineStr">
        <is>
          <t>中药ETF银华</t>
        </is>
      </c>
      <c r="D1604" t="n">
        <v>8642.9</v>
      </c>
      <c r="E1604" t="n">
        <v>8642.9</v>
      </c>
      <c r="F1604" t="n">
        <v>0.8159999999999999</v>
      </c>
      <c r="G1604" t="n">
        <v>0</v>
      </c>
      <c r="H1604" t="n">
        <v>0.705261</v>
      </c>
      <c r="I1604" t="n">
        <v>0.702226</v>
      </c>
      <c r="J1604" t="n">
        <v>0.003035</v>
      </c>
      <c r="K1604" s="4">
        <f>IFERROR(J1604/I1604,"")</f>
        <v/>
      </c>
      <c r="L1604" s="4">
        <f>IFERROR((D1604-E1604)/E1604,"")</f>
        <v/>
      </c>
    </row>
    <row r="1605">
      <c r="A1605" t="inlineStr">
        <is>
          <t>2026-06-19</t>
        </is>
      </c>
      <c r="B1605" t="inlineStr">
        <is>
          <t>562500</t>
        </is>
      </c>
      <c r="C1605" t="inlineStr">
        <is>
          <t>机器人ETF华夏</t>
        </is>
      </c>
      <c r="D1605" t="n">
        <v>1576168.73</v>
      </c>
      <c r="E1605" t="n">
        <v>1584418.73</v>
      </c>
      <c r="F1605" t="n">
        <v>1.17</v>
      </c>
      <c r="G1605" t="n">
        <v>-8250</v>
      </c>
      <c r="H1605" t="n">
        <v>185.376991</v>
      </c>
      <c r="I1605" t="n">
        <v>183.007822</v>
      </c>
      <c r="J1605" t="n">
        <v>2.369169</v>
      </c>
      <c r="K1605" s="4">
        <f>IFERROR(J1605/I1605,"")</f>
        <v/>
      </c>
      <c r="L1605" s="4">
        <f>IFERROR((D1605-E1605)/E1605,"")</f>
        <v/>
      </c>
    </row>
    <row r="1606">
      <c r="A1606" t="inlineStr">
        <is>
          <t>2026-06-19</t>
        </is>
      </c>
      <c r="B1606" t="inlineStr">
        <is>
          <t>562510</t>
        </is>
      </c>
      <c r="C1606" t="inlineStr">
        <is>
          <t>旅游ETF华夏</t>
        </is>
      </c>
      <c r="D1606" t="n">
        <v>106459.5</v>
      </c>
      <c r="E1606" t="n">
        <v>107209.5</v>
      </c>
      <c r="F1606" t="n">
        <v>0.576</v>
      </c>
      <c r="G1606" t="n">
        <v>-750</v>
      </c>
      <c r="H1606" t="n">
        <v>6.175267</v>
      </c>
      <c r="I1606" t="n">
        <v>6.259819</v>
      </c>
      <c r="J1606" t="n">
        <v>-0.084552</v>
      </c>
      <c r="K1606" s="4">
        <f>IFERROR(J1606/I1606,"")</f>
        <v/>
      </c>
      <c r="L1606" s="4">
        <f>IFERROR((D1606-E1606)/E1606,"")</f>
        <v/>
      </c>
    </row>
    <row r="1607">
      <c r="A1607" t="inlineStr">
        <is>
          <t>2026-06-19</t>
        </is>
      </c>
      <c r="B1607" t="inlineStr">
        <is>
          <t>562520</t>
        </is>
      </c>
      <c r="C1607" t="inlineStr">
        <is>
          <t>中证1000成长ETF华夏</t>
        </is>
      </c>
      <c r="D1607" t="n">
        <v>2456.8</v>
      </c>
      <c r="E1607" t="n">
        <v>2456.8</v>
      </c>
      <c r="F1607" t="n">
        <v>1.505</v>
      </c>
      <c r="G1607" t="n">
        <v>0</v>
      </c>
      <c r="H1607" t="n">
        <v>0.369749</v>
      </c>
      <c r="I1607" t="n">
        <v>0.366801</v>
      </c>
      <c r="J1607" t="n">
        <v>0.002948</v>
      </c>
      <c r="K1607" s="4">
        <f>IFERROR(J1607/I1607,"")</f>
        <v/>
      </c>
      <c r="L1607" s="4">
        <f>IFERROR((D1607-E1607)/E1607,"")</f>
        <v/>
      </c>
    </row>
    <row r="1608">
      <c r="A1608" t="inlineStr">
        <is>
          <t>2026-06-19</t>
        </is>
      </c>
      <c r="B1608" t="inlineStr">
        <is>
          <t>562530</t>
        </is>
      </c>
      <c r="C1608" t="inlineStr">
        <is>
          <t>中证1000价值ETF华夏</t>
        </is>
      </c>
      <c r="D1608" t="n">
        <v>4014.4</v>
      </c>
      <c r="E1608" t="n">
        <v>4014.4</v>
      </c>
      <c r="F1608" t="n">
        <v>1.219</v>
      </c>
      <c r="G1608" t="n">
        <v>0</v>
      </c>
      <c r="H1608" t="n">
        <v>0.489355</v>
      </c>
      <c r="I1608" t="n">
        <v>0.506894</v>
      </c>
      <c r="J1608" t="n">
        <v>-0.017539</v>
      </c>
      <c r="K1608" s="4">
        <f>IFERROR(J1608/I1608,"")</f>
        <v/>
      </c>
      <c r="L1608" s="4">
        <f>IFERROR((D1608-E1608)/E1608,"")</f>
        <v/>
      </c>
    </row>
    <row r="1609">
      <c r="A1609" t="inlineStr">
        <is>
          <t>2026-06-19</t>
        </is>
      </c>
      <c r="B1609" t="inlineStr">
        <is>
          <t>562550</t>
        </is>
      </c>
      <c r="C1609" t="inlineStr">
        <is>
          <t>绿电ETF华夏</t>
        </is>
      </c>
      <c r="D1609" t="n">
        <v>179341.93</v>
      </c>
      <c r="E1609" t="n">
        <v>184441.93</v>
      </c>
      <c r="F1609" t="n">
        <v>1.188</v>
      </c>
      <c r="G1609" t="n">
        <v>-5100</v>
      </c>
      <c r="H1609" t="n">
        <v>21.911702</v>
      </c>
      <c r="I1609" t="n">
        <v>23.251688</v>
      </c>
      <c r="J1609" t="n">
        <v>-1.339986</v>
      </c>
      <c r="K1609" s="4">
        <f>IFERROR(J1609/I1609,"")</f>
        <v/>
      </c>
      <c r="L1609" s="4">
        <f>IFERROR((D1609-E1609)/E1609,"")</f>
        <v/>
      </c>
    </row>
    <row r="1610">
      <c r="A1610" t="inlineStr">
        <is>
          <t>2026-06-19</t>
        </is>
      </c>
      <c r="B1610" t="inlineStr">
        <is>
          <t>562560</t>
        </is>
      </c>
      <c r="C1610" t="inlineStr">
        <is>
          <t>信息技术ETF华夏</t>
        </is>
      </c>
      <c r="D1610" t="n">
        <v>2126.55</v>
      </c>
      <c r="E1610" t="n">
        <v>2126.55</v>
      </c>
      <c r="F1610" t="n">
        <v>2.724</v>
      </c>
      <c r="G1610" t="n">
        <v>0</v>
      </c>
      <c r="H1610" t="n">
        <v>0.579273</v>
      </c>
      <c r="I1610" t="n">
        <v>0.560134</v>
      </c>
      <c r="J1610" t="n">
        <v>0.019139</v>
      </c>
      <c r="K1610" s="4">
        <f>IFERROR(J1610/I1610,"")</f>
        <v/>
      </c>
      <c r="L1610" s="4">
        <f>IFERROR((D1610-E1610)/E1610,"")</f>
        <v/>
      </c>
    </row>
    <row r="1611">
      <c r="A1611" t="inlineStr">
        <is>
          <t>2026-06-19</t>
        </is>
      </c>
      <c r="B1611" t="inlineStr">
        <is>
          <t>562570</t>
        </is>
      </c>
      <c r="C1611" t="inlineStr">
        <is>
          <t>信创ETF华夏</t>
        </is>
      </c>
      <c r="D1611" t="n">
        <v>31328.1</v>
      </c>
      <c r="E1611" t="n">
        <v>31628.1</v>
      </c>
      <c r="F1611" t="n">
        <v>1.481</v>
      </c>
      <c r="G1611" t="n">
        <v>-300</v>
      </c>
      <c r="H1611" t="n">
        <v>4.684122</v>
      </c>
      <c r="I1611" t="n">
        <v>4.601889</v>
      </c>
      <c r="J1611" t="n">
        <v>0.082233</v>
      </c>
      <c r="K1611" s="4">
        <f>IFERROR(J1611/I1611,"")</f>
        <v/>
      </c>
      <c r="L1611" s="4">
        <f>IFERROR((D1611-E1611)/E1611,"")</f>
        <v/>
      </c>
    </row>
    <row r="1612">
      <c r="A1612" t="inlineStr">
        <is>
          <t>2026-06-19</t>
        </is>
      </c>
      <c r="B1612" t="inlineStr">
        <is>
          <t>562580</t>
        </is>
      </c>
      <c r="C1612" t="inlineStr">
        <is>
          <t>可选消费ETF华夏</t>
        </is>
      </c>
      <c r="D1612" t="n">
        <v>3472.33</v>
      </c>
      <c r="E1612" t="n">
        <v>3622.33</v>
      </c>
      <c r="F1612" t="n">
        <v>1.105</v>
      </c>
      <c r="G1612" t="n">
        <v>-150</v>
      </c>
      <c r="H1612" t="n">
        <v>0.400267</v>
      </c>
      <c r="I1612" t="n">
        <v>0.382998</v>
      </c>
      <c r="J1612" t="n">
        <v>0.017269</v>
      </c>
      <c r="K1612" s="4">
        <f>IFERROR(J1612/I1612,"")</f>
        <v/>
      </c>
      <c r="L1612" s="4">
        <f>IFERROR((D1612-E1612)/E1612,"")</f>
        <v/>
      </c>
    </row>
    <row r="1613">
      <c r="A1613" t="inlineStr">
        <is>
          <t>2026-06-19</t>
        </is>
      </c>
      <c r="B1613" t="inlineStr">
        <is>
          <t>562590</t>
        </is>
      </c>
      <c r="C1613" t="inlineStr">
        <is>
          <t>半导体设备ETF华夏</t>
        </is>
      </c>
      <c r="D1613" t="n">
        <v>147666.3</v>
      </c>
      <c r="E1613" t="n">
        <v>141166.3</v>
      </c>
      <c r="F1613" t="n">
        <v>3.223</v>
      </c>
      <c r="G1613" t="n">
        <v>6500</v>
      </c>
      <c r="H1613" t="n">
        <v>45.497898</v>
      </c>
      <c r="I1613" t="n">
        <v>44.373004</v>
      </c>
      <c r="J1613" t="n">
        <v>1.124894</v>
      </c>
      <c r="K1613" s="4">
        <f>IFERROR(J1613/I1613,"")</f>
        <v/>
      </c>
      <c r="L1613" s="4">
        <f>IFERROR((D1613-E1613)/E1613,"")</f>
        <v/>
      </c>
    </row>
    <row r="1614">
      <c r="A1614" t="inlineStr">
        <is>
          <t>2026-06-19</t>
        </is>
      </c>
      <c r="B1614" t="inlineStr">
        <is>
          <t>562600</t>
        </is>
      </c>
      <c r="C1614" t="inlineStr">
        <is>
          <t>医疗器械ETF华夏</t>
        </is>
      </c>
      <c r="D1614" t="n">
        <v>45993.74</v>
      </c>
      <c r="E1614" t="n">
        <v>45893.74</v>
      </c>
      <c r="F1614" t="n">
        <v>0.748</v>
      </c>
      <c r="G1614" t="n">
        <v>100</v>
      </c>
      <c r="H1614" t="n">
        <v>3.432852</v>
      </c>
      <c r="I1614" t="n">
        <v>3.440332</v>
      </c>
      <c r="J1614" t="n">
        <v>-0.00748</v>
      </c>
      <c r="K1614" s="4">
        <f>IFERROR(J1614/I1614,"")</f>
        <v/>
      </c>
      <c r="L1614" s="4">
        <f>IFERROR((D1614-E1614)/E1614,"")</f>
        <v/>
      </c>
    </row>
    <row r="1615">
      <c r="A1615" t="inlineStr">
        <is>
          <t>2026-06-19</t>
        </is>
      </c>
      <c r="B1615" t="inlineStr">
        <is>
          <t>562660</t>
        </is>
      </c>
      <c r="C1615" t="inlineStr">
        <is>
          <t>中证2000ETF华夏</t>
        </is>
      </c>
      <c r="D1615" t="n">
        <v>23287.4</v>
      </c>
      <c r="E1615" t="n">
        <v>23287.4</v>
      </c>
      <c r="F1615" t="n">
        <v>2.002</v>
      </c>
      <c r="G1615" t="n">
        <v>0</v>
      </c>
      <c r="H1615" t="n">
        <v>4.662137</v>
      </c>
      <c r="I1615" t="n">
        <v>4.585158</v>
      </c>
      <c r="J1615" t="n">
        <v>0.07697900000000001</v>
      </c>
      <c r="K1615" s="4">
        <f>IFERROR(J1615/I1615,"")</f>
        <v/>
      </c>
      <c r="L1615" s="4">
        <f>IFERROR((D1615-E1615)/E1615,"")</f>
        <v/>
      </c>
    </row>
    <row r="1616">
      <c r="A1616" t="inlineStr">
        <is>
          <t>2026-06-19</t>
        </is>
      </c>
      <c r="B1616" t="inlineStr">
        <is>
          <t>562700</t>
        </is>
      </c>
      <c r="C1616" t="inlineStr">
        <is>
          <t>汽车零部件ETF华夏</t>
        </is>
      </c>
      <c r="D1616" t="n">
        <v>10075</v>
      </c>
      <c r="E1616" t="n">
        <v>10075</v>
      </c>
      <c r="F1616" t="n">
        <v>1.409</v>
      </c>
      <c r="G1616" t="n">
        <v>0</v>
      </c>
      <c r="H1616" t="n">
        <v>1.419568</v>
      </c>
      <c r="I1616" t="n">
        <v>1.433363</v>
      </c>
      <c r="J1616" t="n">
        <v>-0.013795</v>
      </c>
      <c r="K1616" s="4">
        <f>IFERROR(J1616/I1616,"")</f>
        <v/>
      </c>
      <c r="L1616" s="4">
        <f>IFERROR((D1616-E1616)/E1616,"")</f>
        <v/>
      </c>
    </row>
    <row r="1617">
      <c r="A1617" t="inlineStr">
        <is>
          <t>2026-06-19</t>
        </is>
      </c>
      <c r="B1617" t="inlineStr">
        <is>
          <t>562800</t>
        </is>
      </c>
      <c r="C1617" t="inlineStr">
        <is>
          <t>稀有金属ETF嘉实</t>
        </is>
      </c>
      <c r="D1617" t="n">
        <v>610469.5</v>
      </c>
      <c r="E1617" t="n">
        <v>595169.5</v>
      </c>
      <c r="F1617" t="n">
        <v>1.165</v>
      </c>
      <c r="G1617" t="n">
        <v>15300</v>
      </c>
      <c r="H1617" t="n">
        <v>69.337247</v>
      </c>
      <c r="I1617" t="n">
        <v>68.54243099999999</v>
      </c>
      <c r="J1617" t="n">
        <v>0.794816</v>
      </c>
      <c r="K1617" s="4">
        <f>IFERROR(J1617/I1617,"")</f>
        <v/>
      </c>
      <c r="L1617" s="4">
        <f>IFERROR((D1617-E1617)/E1617,"")</f>
        <v/>
      </c>
    </row>
    <row r="1618">
      <c r="A1618" t="inlineStr">
        <is>
          <t>2026-06-19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4545.1</v>
      </c>
      <c r="E1618" t="n">
        <v>4545.1</v>
      </c>
      <c r="F1618" t="n">
        <v>1.196</v>
      </c>
      <c r="G1618" t="n">
        <v>0</v>
      </c>
      <c r="H1618" t="n">
        <v>0.543594</v>
      </c>
      <c r="I1618" t="n">
        <v>0.543594</v>
      </c>
      <c r="J1618" t="n">
        <v>0</v>
      </c>
      <c r="K1618" s="4">
        <f>IFERROR(J1618/I1618,"")</f>
        <v/>
      </c>
      <c r="L1618" s="4">
        <f>IFERROR((D1618-E1618)/E1618,"")</f>
        <v/>
      </c>
    </row>
    <row r="1619">
      <c r="A1619" t="inlineStr">
        <is>
          <t>2026-06-19</t>
        </is>
      </c>
      <c r="B1619" t="inlineStr">
        <is>
          <t>562820</t>
        </is>
      </c>
      <c r="C1619" t="inlineStr">
        <is>
          <t>集成电路ETF嘉实</t>
        </is>
      </c>
      <c r="D1619" t="n">
        <v>8813.6</v>
      </c>
      <c r="E1619" t="n">
        <v>8813.6</v>
      </c>
      <c r="F1619" t="n">
        <v>3.649</v>
      </c>
      <c r="G1619" t="n">
        <v>0</v>
      </c>
      <c r="H1619" t="n">
        <v>3.216083</v>
      </c>
      <c r="I1619" t="n">
        <v>3.134029</v>
      </c>
      <c r="J1619" t="n">
        <v>0.082054</v>
      </c>
      <c r="K1619" s="4">
        <f>IFERROR(J1619/I1619,"")</f>
        <v/>
      </c>
      <c r="L1619" s="4">
        <f>IFERROR((D1619-E1619)/E1619,"")</f>
        <v/>
      </c>
    </row>
    <row r="1620">
      <c r="A1620" t="inlineStr">
        <is>
          <t>2026-06-19</t>
        </is>
      </c>
      <c r="B1620" t="inlineStr">
        <is>
          <t>562850</t>
        </is>
      </c>
      <c r="C1620" t="inlineStr">
        <is>
          <t>央企能源ETF嘉实</t>
        </is>
      </c>
      <c r="D1620" t="n">
        <v>24498.15</v>
      </c>
      <c r="E1620" t="n">
        <v>24698.15</v>
      </c>
      <c r="F1620" t="n">
        <v>1.276</v>
      </c>
      <c r="G1620" t="n">
        <v>-200</v>
      </c>
      <c r="H1620" t="n">
        <v>3.151483</v>
      </c>
      <c r="I1620" t="n">
        <v>3.233678</v>
      </c>
      <c r="J1620" t="n">
        <v>-0.082195</v>
      </c>
      <c r="K1620" s="4">
        <f>IFERROR(J1620/I1620,"")</f>
        <v/>
      </c>
      <c r="L1620" s="4">
        <f>IFERROR((D1620-E1620)/E1620,"")</f>
        <v/>
      </c>
    </row>
    <row r="1621">
      <c r="A1621" t="inlineStr">
        <is>
          <t>2026-06-19</t>
        </is>
      </c>
      <c r="B1621" t="inlineStr">
        <is>
          <t>562860</t>
        </is>
      </c>
      <c r="C1621" t="inlineStr">
        <is>
          <t>疫苗ETF嘉实</t>
        </is>
      </c>
      <c r="D1621" t="n">
        <v>34089.5</v>
      </c>
      <c r="E1621" t="n">
        <v>34089.5</v>
      </c>
      <c r="F1621" t="n">
        <v>0.595</v>
      </c>
      <c r="G1621" t="n">
        <v>0</v>
      </c>
      <c r="H1621" t="n">
        <v>2.028325</v>
      </c>
      <c r="I1621" t="n">
        <v>2.004462</v>
      </c>
      <c r="J1621" t="n">
        <v>0.023863</v>
      </c>
      <c r="K1621" s="4">
        <f>IFERROR(J1621/I1621,"")</f>
        <v/>
      </c>
      <c r="L1621" s="4">
        <f>IFERROR((D1621-E1621)/E1621,"")</f>
        <v/>
      </c>
    </row>
    <row r="1622">
      <c r="A1622" t="inlineStr">
        <is>
          <t>2026-06-19</t>
        </is>
      </c>
      <c r="B1622" t="inlineStr">
        <is>
          <t>562870</t>
        </is>
      </c>
      <c r="C1622" t="inlineStr">
        <is>
          <t>证券ETF嘉实</t>
        </is>
      </c>
      <c r="D1622" t="n">
        <v>47150.52</v>
      </c>
      <c r="E1622" t="n">
        <v>47150.52</v>
      </c>
      <c r="F1622" t="n">
        <v>0.889</v>
      </c>
      <c r="G1622" t="n">
        <v>0</v>
      </c>
      <c r="H1622" t="n">
        <v>4.191681</v>
      </c>
      <c r="I1622" t="n">
        <v>4.355448</v>
      </c>
      <c r="J1622" t="n">
        <v>-0.163767</v>
      </c>
      <c r="K1622" s="4">
        <f>IFERROR(J1622/I1622,"")</f>
        <v/>
      </c>
      <c r="L1622" s="4">
        <f>IFERROR((D1622-E1622)/E1622,"")</f>
        <v/>
      </c>
    </row>
    <row r="1623">
      <c r="A1623" t="inlineStr">
        <is>
          <t>2026-06-19</t>
        </is>
      </c>
      <c r="B1623" t="inlineStr">
        <is>
          <t>562880</t>
        </is>
      </c>
      <c r="C1623" t="inlineStr">
        <is>
          <t>电池ETF嘉实</t>
        </is>
      </c>
      <c r="D1623" t="n">
        <v>104989.96</v>
      </c>
      <c r="E1623" t="n">
        <v>136339.96</v>
      </c>
      <c r="F1623" t="n">
        <v>0.928</v>
      </c>
      <c r="G1623" t="n">
        <v>-31350</v>
      </c>
      <c r="H1623" t="n">
        <v>12.652348</v>
      </c>
      <c r="I1623" t="n">
        <v>11.894813</v>
      </c>
      <c r="J1623" t="n">
        <v>0.757535</v>
      </c>
      <c r="K1623" s="4">
        <f>IFERROR(J1623/I1623,"")</f>
        <v/>
      </c>
      <c r="L1623" s="4">
        <f>IFERROR((D1623-E1623)/E1623,"")</f>
        <v/>
      </c>
    </row>
    <row r="1624">
      <c r="A1624" t="inlineStr">
        <is>
          <t>2026-06-19</t>
        </is>
      </c>
      <c r="B1624" t="inlineStr">
        <is>
          <t>562890</t>
        </is>
      </c>
      <c r="C1624" t="inlineStr">
        <is>
          <t>A50ETF嘉实</t>
        </is>
      </c>
      <c r="D1624" t="n">
        <v>22255.1</v>
      </c>
      <c r="E1624" t="n">
        <v>21355.1</v>
      </c>
      <c r="F1624" t="n">
        <v>1.409</v>
      </c>
      <c r="G1624" t="n">
        <v>900</v>
      </c>
      <c r="H1624" t="n">
        <v>3.008934</v>
      </c>
      <c r="I1624" t="n">
        <v>3.000392</v>
      </c>
      <c r="J1624" t="n">
        <v>0.008541999999999999</v>
      </c>
      <c r="K1624" s="4">
        <f>IFERROR(J1624/I1624,"")</f>
        <v/>
      </c>
      <c r="L1624" s="4">
        <f>IFERROR((D1624-E1624)/E1624,"")</f>
        <v/>
      </c>
    </row>
    <row r="1625">
      <c r="A1625" t="inlineStr">
        <is>
          <t>2026-06-19</t>
        </is>
      </c>
      <c r="B1625" t="inlineStr">
        <is>
          <t>562900</t>
        </is>
      </c>
      <c r="C1625" t="inlineStr">
        <is>
          <t>农业ETF易方达</t>
        </is>
      </c>
      <c r="D1625" t="n">
        <v>22270.63</v>
      </c>
      <c r="E1625" t="n">
        <v>22370.63</v>
      </c>
      <c r="F1625" t="n">
        <v>0.626</v>
      </c>
      <c r="G1625" t="n">
        <v>-100</v>
      </c>
      <c r="H1625" t="n">
        <v>1.400402</v>
      </c>
      <c r="I1625" t="n">
        <v>1.418639</v>
      </c>
      <c r="J1625" t="n">
        <v>-0.018237</v>
      </c>
      <c r="K1625" s="4">
        <f>IFERROR(J1625/I1625,"")</f>
        <v/>
      </c>
      <c r="L1625" s="4">
        <f>IFERROR((D1625-E1625)/E1625,"")</f>
        <v/>
      </c>
    </row>
    <row r="1626">
      <c r="A1626" t="inlineStr">
        <is>
          <t>2026-06-19</t>
        </is>
      </c>
      <c r="B1626" t="inlineStr">
        <is>
          <t>562910</t>
        </is>
      </c>
      <c r="C1626" t="inlineStr">
        <is>
          <t>高端制造ETF易方达</t>
        </is>
      </c>
      <c r="D1626" t="n">
        <v>22022.73</v>
      </c>
      <c r="E1626" t="n">
        <v>21922.73</v>
      </c>
      <c r="F1626" t="n">
        <v>0.944</v>
      </c>
      <c r="G1626" t="n">
        <v>100</v>
      </c>
      <c r="H1626" t="n">
        <v>2.069506</v>
      </c>
      <c r="I1626" t="n">
        <v>1.778748</v>
      </c>
      <c r="J1626" t="n">
        <v>0.290758</v>
      </c>
      <c r="K1626" s="4">
        <f>IFERROR(J1626/I1626,"")</f>
        <v/>
      </c>
      <c r="L1626" s="4">
        <f>IFERROR((D1626-E1626)/E1626,"")</f>
        <v/>
      </c>
    </row>
    <row r="1627">
      <c r="A1627" t="inlineStr">
        <is>
          <t>2026-06-19</t>
        </is>
      </c>
      <c r="B1627" t="inlineStr">
        <is>
          <t>562920</t>
        </is>
      </c>
      <c r="C1627" t="inlineStr">
        <is>
          <t>信息安全ETF易方达</t>
        </is>
      </c>
      <c r="D1627" t="n">
        <v>8606.9</v>
      </c>
      <c r="E1627" t="n">
        <v>8706.9</v>
      </c>
      <c r="F1627" t="n">
        <v>0.946</v>
      </c>
      <c r="G1627" t="n">
        <v>-100</v>
      </c>
      <c r="H1627" t="n">
        <v>0.823673</v>
      </c>
      <c r="I1627" t="n">
        <v>0.800442</v>
      </c>
      <c r="J1627" t="n">
        <v>0.023231</v>
      </c>
      <c r="K1627" s="4">
        <f>IFERROR(J1627/I1627,"")</f>
        <v/>
      </c>
      <c r="L1627" s="4">
        <f>IFERROR((D1627-E1627)/E1627,"")</f>
        <v/>
      </c>
    </row>
    <row r="1628">
      <c r="A1628" t="inlineStr">
        <is>
          <t>2026-06-19</t>
        </is>
      </c>
      <c r="B1628" t="inlineStr">
        <is>
          <t>562930</t>
        </is>
      </c>
      <c r="C1628" t="inlineStr">
        <is>
          <t>软件ETF易方达</t>
        </is>
      </c>
      <c r="D1628" t="n">
        <v>128643.7</v>
      </c>
      <c r="E1628" t="n">
        <v>129243.7</v>
      </c>
      <c r="F1628" t="n">
        <v>0.734</v>
      </c>
      <c r="G1628" t="n">
        <v>-600</v>
      </c>
      <c r="H1628" t="n">
        <v>9.486488</v>
      </c>
      <c r="I1628" t="n">
        <v>9.399168</v>
      </c>
      <c r="J1628" t="n">
        <v>0.08731999999999999</v>
      </c>
      <c r="K1628" s="4">
        <f>IFERROR(J1628/I1628,"")</f>
        <v/>
      </c>
      <c r="L1628" s="4">
        <f>IFERROR((D1628-E1628)/E1628,"")</f>
        <v/>
      </c>
    </row>
    <row r="1629">
      <c r="A1629" t="inlineStr">
        <is>
          <t>2026-06-19</t>
        </is>
      </c>
      <c r="B1629" t="inlineStr">
        <is>
          <t>562950</t>
        </is>
      </c>
      <c r="C1629" t="inlineStr">
        <is>
          <t>消费电子ETF易方达</t>
        </is>
      </c>
      <c r="D1629" t="n">
        <v>99825.83</v>
      </c>
      <c r="E1629" t="n">
        <v>97325.83</v>
      </c>
      <c r="F1629" t="n">
        <v>1.997</v>
      </c>
      <c r="G1629" t="n">
        <v>2500</v>
      </c>
      <c r="H1629" t="n">
        <v>19.435969</v>
      </c>
      <c r="I1629" t="n">
        <v>18.868232</v>
      </c>
      <c r="J1629" t="n">
        <v>0.567737</v>
      </c>
      <c r="K1629" s="4">
        <f>IFERROR(J1629/I1629,"")</f>
        <v/>
      </c>
      <c r="L1629" s="4">
        <f>IFERROR((D1629-E1629)/E1629,"")</f>
        <v/>
      </c>
    </row>
    <row r="1630">
      <c r="A1630" t="inlineStr">
        <is>
          <t>2026-06-19</t>
        </is>
      </c>
      <c r="B1630" t="inlineStr">
        <is>
          <t>562960</t>
        </is>
      </c>
      <c r="C1630" t="inlineStr">
        <is>
          <t>绿色电力ETF易方达</t>
        </is>
      </c>
      <c r="D1630" t="n">
        <v>130439.1</v>
      </c>
      <c r="E1630" t="n">
        <v>132639.1</v>
      </c>
      <c r="F1630" t="n">
        <v>1.189</v>
      </c>
      <c r="G1630" t="n">
        <v>-2200</v>
      </c>
      <c r="H1630" t="n">
        <v>15.770789</v>
      </c>
      <c r="I1630" t="n">
        <v>16.766177</v>
      </c>
      <c r="J1630" t="n">
        <v>-0.9953880000000001</v>
      </c>
      <c r="K1630" s="4">
        <f>IFERROR(J1630/I1630,"")</f>
        <v/>
      </c>
      <c r="L1630" s="4">
        <f>IFERROR((D1630-E1630)/E1630,"")</f>
        <v/>
      </c>
    </row>
    <row r="1631">
      <c r="A1631" t="inlineStr">
        <is>
          <t>2026-06-19</t>
        </is>
      </c>
      <c r="B1631" t="inlineStr">
        <is>
          <t>562970</t>
        </is>
      </c>
      <c r="C1631" t="inlineStr">
        <is>
          <t>光伏ETF易方达</t>
        </is>
      </c>
      <c r="D1631" t="n">
        <v>39444.8</v>
      </c>
      <c r="E1631" t="n">
        <v>40044.8</v>
      </c>
      <c r="F1631" t="n">
        <v>1.176</v>
      </c>
      <c r="G1631" t="n">
        <v>-600</v>
      </c>
      <c r="H1631" t="n">
        <v>4.709268</v>
      </c>
      <c r="I1631" t="n">
        <v>4.765331</v>
      </c>
      <c r="J1631" t="n">
        <v>-0.056063</v>
      </c>
      <c r="K1631" s="4">
        <f>IFERROR(J1631/I1631,"")</f>
        <v/>
      </c>
      <c r="L1631" s="4">
        <f>IFERROR((D1631-E1631)/E1631,"")</f>
        <v/>
      </c>
    </row>
    <row r="1632">
      <c r="A1632" t="inlineStr">
        <is>
          <t>2026-06-19</t>
        </is>
      </c>
      <c r="B1632" t="inlineStr">
        <is>
          <t>562990</t>
        </is>
      </c>
      <c r="C1632" t="inlineStr">
        <is>
          <t>碳中和ETF易方达</t>
        </is>
      </c>
      <c r="D1632" t="n">
        <v>38975.6</v>
      </c>
      <c r="E1632" t="n">
        <v>38875.6</v>
      </c>
      <c r="F1632" t="n">
        <v>1.05</v>
      </c>
      <c r="G1632" t="n">
        <v>100</v>
      </c>
      <c r="H1632" t="n">
        <v>4.081938</v>
      </c>
      <c r="I1632" t="n">
        <v>4.152614</v>
      </c>
      <c r="J1632" t="n">
        <v>-0.070676</v>
      </c>
      <c r="K1632" s="4">
        <f>IFERROR(J1632/I1632,"")</f>
        <v/>
      </c>
      <c r="L1632" s="4">
        <f>IFERROR((D1632-E1632)/E1632,"")</f>
        <v/>
      </c>
    </row>
    <row r="1633">
      <c r="A1633" t="inlineStr">
        <is>
          <t>2026-06-19</t>
        </is>
      </c>
      <c r="B1633" t="inlineStr">
        <is>
          <t>563000</t>
        </is>
      </c>
      <c r="C1633" t="inlineStr">
        <is>
          <t>中国A50ETF易方达</t>
        </is>
      </c>
      <c r="D1633" t="n">
        <v>174595.11</v>
      </c>
      <c r="E1633" t="n">
        <v>173345.11</v>
      </c>
      <c r="F1633" t="n">
        <v>1.182</v>
      </c>
      <c r="G1633" t="n">
        <v>1250</v>
      </c>
      <c r="H1633" t="n">
        <v>20.489393</v>
      </c>
      <c r="I1633" t="n">
        <v>20.229375</v>
      </c>
      <c r="J1633" t="n">
        <v>0.260018</v>
      </c>
      <c r="K1633" s="4">
        <f>IFERROR(J1633/I1633,"")</f>
        <v/>
      </c>
      <c r="L1633" s="4">
        <f>IFERROR((D1633-E1633)/E1633,"")</f>
        <v/>
      </c>
    </row>
    <row r="1634">
      <c r="A1634" t="inlineStr">
        <is>
          <t>2026-06-19</t>
        </is>
      </c>
      <c r="B1634" t="inlineStr">
        <is>
          <t>563010</t>
        </is>
      </c>
      <c r="C1634" t="inlineStr">
        <is>
          <t>电信ETF易方达</t>
        </is>
      </c>
      <c r="D1634" t="n">
        <v>9818.93</v>
      </c>
      <c r="E1634" t="n">
        <v>9818.93</v>
      </c>
      <c r="F1634" t="n">
        <v>2.384</v>
      </c>
      <c r="G1634" t="n">
        <v>0</v>
      </c>
      <c r="H1634" t="n">
        <v>2.340833</v>
      </c>
      <c r="I1634" t="n">
        <v>2.324141</v>
      </c>
      <c r="J1634" t="n">
        <v>0.016692</v>
      </c>
      <c r="K1634" s="4">
        <f>IFERROR(J1634/I1634,"")</f>
        <v/>
      </c>
      <c r="L1634" s="4">
        <f>IFERROR((D1634-E1634)/E1634,"")</f>
        <v/>
      </c>
    </row>
    <row r="1635">
      <c r="A1635" t="inlineStr">
        <is>
          <t>2026-06-19</t>
        </is>
      </c>
      <c r="B1635" t="inlineStr">
        <is>
          <t>563020</t>
        </is>
      </c>
      <c r="C1635" t="inlineStr">
        <is>
          <t>红利低波ETF易方达</t>
        </is>
      </c>
      <c r="D1635" t="n">
        <v>1011591</v>
      </c>
      <c r="E1635" t="n">
        <v>984591</v>
      </c>
      <c r="F1635" t="n">
        <v>1.11</v>
      </c>
      <c r="G1635" t="n">
        <v>27000</v>
      </c>
      <c r="H1635" t="n">
        <v>109.289601</v>
      </c>
      <c r="I1635" t="n">
        <v>109.996979</v>
      </c>
      <c r="J1635" t="n">
        <v>-0.707378</v>
      </c>
      <c r="K1635" s="4">
        <f>IFERROR(J1635/I1635,"")</f>
        <v/>
      </c>
      <c r="L1635" s="4">
        <f>IFERROR((D1635-E1635)/E1635,"")</f>
        <v/>
      </c>
    </row>
    <row r="1636">
      <c r="A1636" t="inlineStr">
        <is>
          <t>2026-06-19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10616.9</v>
      </c>
      <c r="E1636" t="n">
        <v>10466.9</v>
      </c>
      <c r="F1636" t="n">
        <v>1.694</v>
      </c>
      <c r="G1636" t="n">
        <v>150</v>
      </c>
      <c r="H1636" t="n">
        <v>1.773093</v>
      </c>
      <c r="I1636" t="n">
        <v>1.759486</v>
      </c>
      <c r="J1636" t="n">
        <v>0.013607</v>
      </c>
      <c r="K1636" s="4">
        <f>IFERROR(J1636/I1636,"")</f>
        <v/>
      </c>
      <c r="L1636" s="4">
        <f>IFERROR((D1636-E1636)/E1636,"")</f>
        <v/>
      </c>
    </row>
    <row r="1637">
      <c r="A1637" t="inlineStr">
        <is>
          <t>2026-06-19</t>
        </is>
      </c>
      <c r="B1637" t="inlineStr">
        <is>
          <t>563050</t>
        </is>
      </c>
      <c r="C1637" t="inlineStr">
        <is>
          <t>央企科技ETF易方达</t>
        </is>
      </c>
      <c r="D1637" t="n">
        <v>12020.84</v>
      </c>
      <c r="E1637" t="n">
        <v>12220.84</v>
      </c>
      <c r="F1637" t="n">
        <v>1.526</v>
      </c>
      <c r="G1637" t="n">
        <v>-200</v>
      </c>
      <c r="H1637" t="n">
        <v>1.8649</v>
      </c>
      <c r="I1637" t="n">
        <v>1.880505</v>
      </c>
      <c r="J1637" t="n">
        <v>-0.015605</v>
      </c>
      <c r="K1637" s="4">
        <f>IFERROR(J1637/I1637,"")</f>
        <v/>
      </c>
      <c r="L1637" s="4">
        <f>IFERROR((D1637-E1637)/E1637,"")</f>
        <v/>
      </c>
    </row>
    <row r="1638">
      <c r="A1638" t="inlineStr">
        <is>
          <t>2026-06-19</t>
        </is>
      </c>
      <c r="B1638" t="inlineStr">
        <is>
          <t>563060</t>
        </is>
      </c>
      <c r="C1638" t="inlineStr">
        <is>
          <t>央企50ETF易方达</t>
        </is>
      </c>
      <c r="D1638" t="n">
        <v>20352.7</v>
      </c>
      <c r="E1638" t="n">
        <v>20352.7</v>
      </c>
      <c r="F1638" t="n">
        <v>1.089</v>
      </c>
      <c r="G1638" t="n">
        <v>0</v>
      </c>
      <c r="H1638" t="n">
        <v>2.216409</v>
      </c>
      <c r="I1638" t="n">
        <v>2.212338</v>
      </c>
      <c r="J1638" t="n">
        <v>0.004071</v>
      </c>
      <c r="K1638" s="4">
        <f>IFERROR(J1638/I1638,"")</f>
        <v/>
      </c>
      <c r="L1638" s="4">
        <f>IFERROR((D1638-E1638)/E1638,"")</f>
        <v/>
      </c>
    </row>
    <row r="1639">
      <c r="A1639" t="inlineStr">
        <is>
          <t>2026-06-19</t>
        </is>
      </c>
      <c r="B1639" t="inlineStr">
        <is>
          <t>563080</t>
        </is>
      </c>
      <c r="C1639" t="inlineStr">
        <is>
          <t>中证A50ETF易方达</t>
        </is>
      </c>
      <c r="D1639" t="n">
        <v>107458.84</v>
      </c>
      <c r="E1639" t="n">
        <v>111258.84</v>
      </c>
      <c r="F1639" t="n">
        <v>1.409</v>
      </c>
      <c r="G1639" t="n">
        <v>-3800</v>
      </c>
      <c r="H1639" t="n">
        <v>15.676371</v>
      </c>
      <c r="I1639" t="n">
        <v>15.726842</v>
      </c>
      <c r="J1639" t="n">
        <v>-0.050471</v>
      </c>
      <c r="K1639" s="4">
        <f>IFERROR(J1639/I1639,"")</f>
        <v/>
      </c>
      <c r="L1639" s="4">
        <f>IFERROR((D1639-E1639)/E1639,"")</f>
        <v/>
      </c>
    </row>
    <row r="1640">
      <c r="A1640" t="inlineStr">
        <is>
          <t>2026-06-19</t>
        </is>
      </c>
      <c r="B1640" t="inlineStr">
        <is>
          <t>563090</t>
        </is>
      </c>
      <c r="C1640" t="inlineStr">
        <is>
          <t>上证50增强ETF易方达</t>
        </is>
      </c>
      <c r="D1640" t="n">
        <v>4884.8</v>
      </c>
      <c r="E1640" t="n">
        <v>4984.8</v>
      </c>
      <c r="F1640" t="n">
        <v>1.383</v>
      </c>
      <c r="G1640" t="n">
        <v>-100</v>
      </c>
      <c r="H1640" t="n">
        <v>0.689398</v>
      </c>
      <c r="I1640" t="n">
        <v>0.675939</v>
      </c>
      <c r="J1640" t="n">
        <v>0.013459</v>
      </c>
      <c r="K1640" s="4">
        <f>IFERROR(J1640/I1640,"")</f>
        <v/>
      </c>
      <c r="L1640" s="4">
        <f>IFERROR((D1640-E1640)/E1640,"")</f>
        <v/>
      </c>
    </row>
    <row r="1641">
      <c r="A1641" t="inlineStr">
        <is>
          <t>2026-06-19</t>
        </is>
      </c>
      <c r="B1641" t="inlineStr">
        <is>
          <t>563150</t>
        </is>
      </c>
      <c r="C1641" t="inlineStr">
        <is>
          <t>油气ETF银华</t>
        </is>
      </c>
      <c r="D1641" t="n">
        <v>4639.9</v>
      </c>
      <c r="E1641" t="n">
        <v>4639.9</v>
      </c>
      <c r="F1641" t="n">
        <v>1.286</v>
      </c>
      <c r="G1641" t="n">
        <v>0</v>
      </c>
      <c r="H1641" t="n">
        <v>0.596691</v>
      </c>
      <c r="I1641" t="n">
        <v>0.590187</v>
      </c>
      <c r="J1641" t="n">
        <v>0.006504</v>
      </c>
      <c r="K1641" s="4">
        <f>IFERROR(J1641/I1641,"")</f>
        <v/>
      </c>
      <c r="L1641" s="4">
        <f>IFERROR((D1641-E1641)/E1641,"")</f>
        <v/>
      </c>
    </row>
    <row r="1642">
      <c r="A1642" t="inlineStr">
        <is>
          <t>2026-06-19</t>
        </is>
      </c>
      <c r="B1642" t="inlineStr">
        <is>
          <t>563180</t>
        </is>
      </c>
      <c r="C1642" t="inlineStr">
        <is>
          <t>高股息ETF银华</t>
        </is>
      </c>
      <c r="D1642" t="n">
        <v>11642</v>
      </c>
      <c r="E1642" t="n">
        <v>11542</v>
      </c>
      <c r="F1642" t="n">
        <v>1.073</v>
      </c>
      <c r="G1642" t="n">
        <v>100</v>
      </c>
      <c r="H1642" t="n">
        <v>1.238457</v>
      </c>
      <c r="I1642" t="n">
        <v>1.249467</v>
      </c>
      <c r="J1642" t="n">
        <v>-0.01101</v>
      </c>
      <c r="K1642" s="4">
        <f>IFERROR(J1642/I1642,"")</f>
        <v/>
      </c>
      <c r="L1642" s="4">
        <f>IFERROR((D1642-E1642)/E1642,"")</f>
        <v/>
      </c>
    </row>
    <row r="1643">
      <c r="A1643" t="inlineStr">
        <is>
          <t>2026-06-19</t>
        </is>
      </c>
      <c r="B1643" t="inlineStr">
        <is>
          <t>563200</t>
        </is>
      </c>
      <c r="C1643" t="inlineStr">
        <is>
          <t>中证2000ETF富国</t>
        </is>
      </c>
      <c r="D1643" t="n">
        <v>3345.88</v>
      </c>
      <c r="E1643" t="n">
        <v>3345.88</v>
      </c>
      <c r="F1643" t="n">
        <v>1.685</v>
      </c>
      <c r="G1643" t="n">
        <v>0</v>
      </c>
      <c r="H1643" t="n">
        <v>0.563781</v>
      </c>
      <c r="I1643" t="n">
        <v>0.5631119999999999</v>
      </c>
      <c r="J1643" t="n">
        <v>0.000669</v>
      </c>
      <c r="K1643" s="4">
        <f>IFERROR(J1643/I1643,"")</f>
        <v/>
      </c>
      <c r="L1643" s="4">
        <f>IFERROR((D1643-E1643)/E1643,"")</f>
        <v/>
      </c>
    </row>
    <row r="1644">
      <c r="A1644" t="inlineStr">
        <is>
          <t>2026-06-19</t>
        </is>
      </c>
      <c r="B1644" t="inlineStr">
        <is>
          <t>563210</t>
        </is>
      </c>
      <c r="C1644" t="inlineStr">
        <is>
          <t>专精特新ETF富国</t>
        </is>
      </c>
      <c r="D1644" t="n">
        <v>9206.700000000001</v>
      </c>
      <c r="E1644" t="n">
        <v>9206.700000000001</v>
      </c>
      <c r="F1644" t="n">
        <v>2.413</v>
      </c>
      <c r="G1644" t="n">
        <v>0</v>
      </c>
      <c r="H1644" t="n">
        <v>2.221577</v>
      </c>
      <c r="I1644" t="n">
        <v>2.141793</v>
      </c>
      <c r="J1644" t="n">
        <v>0.07978399999999999</v>
      </c>
      <c r="K1644" s="4">
        <f>IFERROR(J1644/I1644,"")</f>
        <v/>
      </c>
      <c r="L1644" s="4">
        <f>IFERROR((D1644-E1644)/E1644,"")</f>
        <v/>
      </c>
    </row>
    <row r="1645">
      <c r="A1645" t="inlineStr">
        <is>
          <t>2026-06-19</t>
        </is>
      </c>
      <c r="B1645" t="inlineStr">
        <is>
          <t>563220</t>
        </is>
      </c>
      <c r="C1645" t="inlineStr">
        <is>
          <t>A500ETF富国</t>
        </is>
      </c>
      <c r="D1645" t="n">
        <v>586701.37</v>
      </c>
      <c r="E1645" t="n">
        <v>590601.37</v>
      </c>
      <c r="F1645" t="n">
        <v>1.377</v>
      </c>
      <c r="G1645" t="n">
        <v>-3900</v>
      </c>
      <c r="H1645" t="n">
        <v>81.32580799999999</v>
      </c>
      <c r="I1645" t="n">
        <v>81.391367</v>
      </c>
      <c r="J1645" t="n">
        <v>-0.06555900000000001</v>
      </c>
      <c r="K1645" s="4">
        <f>IFERROR(J1645/I1645,"")</f>
        <v/>
      </c>
      <c r="L1645" s="4">
        <f>IFERROR((D1645-E1645)/E1645,"")</f>
        <v/>
      </c>
    </row>
    <row r="1646">
      <c r="A1646" t="inlineStr">
        <is>
          <t>2026-06-19</t>
        </is>
      </c>
      <c r="B1646" t="inlineStr">
        <is>
          <t>563230</t>
        </is>
      </c>
      <c r="C1646" t="inlineStr">
        <is>
          <t>卫星ETF富国</t>
        </is>
      </c>
      <c r="D1646" t="n">
        <v>330723.7</v>
      </c>
      <c r="E1646" t="n">
        <v>338523.7</v>
      </c>
      <c r="F1646" t="n">
        <v>1.384</v>
      </c>
      <c r="G1646" t="n">
        <v>-7800</v>
      </c>
      <c r="H1646" t="n">
        <v>46.85168</v>
      </c>
      <c r="I1646" t="n">
        <v>46.699885</v>
      </c>
      <c r="J1646" t="n">
        <v>0.151795</v>
      </c>
      <c r="K1646" s="4">
        <f>IFERROR(J1646/I1646,"")</f>
        <v/>
      </c>
      <c r="L1646" s="4">
        <f>IFERROR((D1646-E1646)/E1646,"")</f>
        <v/>
      </c>
    </row>
    <row r="1647">
      <c r="A1647" t="inlineStr">
        <is>
          <t>2026-06-19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1.489</v>
      </c>
      <c r="G1647" t="n">
        <v>0</v>
      </c>
      <c r="H1647" t="n">
        <v>0.09986100000000001</v>
      </c>
      <c r="I1647" t="n">
        <v>0.099191</v>
      </c>
      <c r="J1647" t="n">
        <v>0.00067</v>
      </c>
      <c r="K1647" s="4">
        <f>IFERROR(J1647/I1647,"")</f>
        <v/>
      </c>
      <c r="L1647" s="4">
        <f>IFERROR((D1647-E1647)/E1647,"")</f>
        <v/>
      </c>
    </row>
    <row r="1648">
      <c r="A1648" t="inlineStr">
        <is>
          <t>2026-06-19</t>
        </is>
      </c>
      <c r="B1648" t="inlineStr">
        <is>
          <t>563300</t>
        </is>
      </c>
      <c r="C1648" t="inlineStr">
        <is>
          <t>中证2000ETF华泰柏瑞</t>
        </is>
      </c>
      <c r="D1648" t="n">
        <v>232867.4</v>
      </c>
      <c r="E1648" t="n">
        <v>233617.4</v>
      </c>
      <c r="F1648" t="n">
        <v>1.622</v>
      </c>
      <c r="G1648" t="n">
        <v>-750</v>
      </c>
      <c r="H1648" t="n">
        <v>37.892742</v>
      </c>
      <c r="I1648" t="n">
        <v>38.280163</v>
      </c>
      <c r="J1648" t="n">
        <v>-0.387421</v>
      </c>
      <c r="K1648" s="4">
        <f>IFERROR(J1648/I1648,"")</f>
        <v/>
      </c>
      <c r="L1648" s="4">
        <f>IFERROR((D1648-E1648)/E1648,"")</f>
        <v/>
      </c>
    </row>
    <row r="1649">
      <c r="A1649" t="inlineStr">
        <is>
          <t>2026-06-19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21589.2</v>
      </c>
      <c r="E1649" t="n">
        <v>21989.2</v>
      </c>
      <c r="F1649" t="n">
        <v>0.963</v>
      </c>
      <c r="G1649" t="n">
        <v>-400</v>
      </c>
      <c r="H1649" t="n">
        <v>2.11756</v>
      </c>
      <c r="I1649" t="n">
        <v>2.099174</v>
      </c>
      <c r="J1649" t="n">
        <v>0.018386</v>
      </c>
      <c r="K1649" s="4">
        <f>IFERROR(J1649/I1649,"")</f>
        <v/>
      </c>
      <c r="L1649" s="4">
        <f>IFERROR((D1649-E1649)/E1649,"")</f>
        <v/>
      </c>
    </row>
    <row r="1650">
      <c r="A1650" t="inlineStr">
        <is>
          <t>2026-06-19</t>
        </is>
      </c>
      <c r="B1650" t="inlineStr">
        <is>
          <t>563330</t>
        </is>
      </c>
      <c r="C1650" t="inlineStr">
        <is>
          <t>A股ETF华泰柏瑞</t>
        </is>
      </c>
      <c r="D1650" t="n">
        <v>3076.06</v>
      </c>
      <c r="E1650" t="n">
        <v>3076.06</v>
      </c>
      <c r="F1650" t="n">
        <v>4.538</v>
      </c>
      <c r="G1650" t="n">
        <v>0</v>
      </c>
      <c r="H1650" t="n">
        <v>1.395917</v>
      </c>
      <c r="I1650" t="n">
        <v>1.38915</v>
      </c>
      <c r="J1650" t="n">
        <v>0.006767</v>
      </c>
      <c r="K1650" s="4">
        <f>IFERROR(J1650/I1650,"")</f>
        <v/>
      </c>
      <c r="L1650" s="4">
        <f>IFERROR((D1650-E1650)/E1650,"")</f>
        <v/>
      </c>
    </row>
    <row r="1651">
      <c r="A1651" t="inlineStr">
        <is>
          <t>2026-06-19</t>
        </is>
      </c>
      <c r="B1651" t="inlineStr">
        <is>
          <t>563350</t>
        </is>
      </c>
      <c r="C1651" t="inlineStr">
        <is>
          <t>A50ETF华泰柏瑞</t>
        </is>
      </c>
      <c r="D1651" t="n">
        <v>18199.76</v>
      </c>
      <c r="E1651" t="n">
        <v>18799.76</v>
      </c>
      <c r="F1651" t="n">
        <v>1.441</v>
      </c>
      <c r="G1651" t="n">
        <v>-600</v>
      </c>
      <c r="H1651" t="n">
        <v>2.709046</v>
      </c>
      <c r="I1651" t="n">
        <v>2.710926</v>
      </c>
      <c r="J1651" t="n">
        <v>-0.00188</v>
      </c>
      <c r="K1651" s="4">
        <f>IFERROR(J1651/I1651,"")</f>
        <v/>
      </c>
      <c r="L1651" s="4">
        <f>IFERROR((D1651-E1651)/E1651,"")</f>
        <v/>
      </c>
    </row>
    <row r="1652">
      <c r="A1652" t="inlineStr">
        <is>
          <t>2026-06-19</t>
        </is>
      </c>
      <c r="B1652" t="inlineStr">
        <is>
          <t>563360</t>
        </is>
      </c>
      <c r="C1652" t="inlineStr">
        <is>
          <t>A500ETF华泰柏瑞</t>
        </is>
      </c>
      <c r="D1652" t="n">
        <v>2281998.74</v>
      </c>
      <c r="E1652" t="n">
        <v>2297298.74</v>
      </c>
      <c r="F1652" t="n">
        <v>1.397</v>
      </c>
      <c r="G1652" t="n">
        <v>-15300</v>
      </c>
      <c r="H1652" t="n">
        <v>320.932634</v>
      </c>
      <c r="I1652" t="n">
        <v>321.863145</v>
      </c>
      <c r="J1652" t="n">
        <v>-0.930511</v>
      </c>
      <c r="K1652" s="4">
        <f>IFERROR(J1652/I1652,"")</f>
        <v/>
      </c>
      <c r="L1652" s="4">
        <f>IFERROR((D1652-E1652)/E1652,"")</f>
        <v/>
      </c>
    </row>
    <row r="1653">
      <c r="A1653" t="inlineStr">
        <is>
          <t>2026-06-19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91995</v>
      </c>
      <c r="E1653" t="n">
        <v>92495</v>
      </c>
      <c r="F1653" t="n">
        <v>1.038</v>
      </c>
      <c r="G1653" t="n">
        <v>-500</v>
      </c>
      <c r="H1653" t="n">
        <v>9.600981000000001</v>
      </c>
      <c r="I1653" t="n">
        <v>9.473243999999999</v>
      </c>
      <c r="J1653" t="n">
        <v>0.127737</v>
      </c>
      <c r="K1653" s="4">
        <f>IFERROR(J1653/I1653,"")</f>
        <v/>
      </c>
      <c r="L1653" s="4">
        <f>IFERROR((D1653-E1653)/E1653,"")</f>
        <v/>
      </c>
    </row>
    <row r="1654">
      <c r="A1654" t="inlineStr">
        <is>
          <t>2026-06-19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233534.4</v>
      </c>
      <c r="E1654" t="n">
        <v>237734.4</v>
      </c>
      <c r="F1654" t="n">
        <v>1.178</v>
      </c>
      <c r="G1654" t="n">
        <v>-4200</v>
      </c>
      <c r="H1654" t="n">
        <v>28.005112</v>
      </c>
      <c r="I1654" t="n">
        <v>28.498475</v>
      </c>
      <c r="J1654" t="n">
        <v>-0.493363</v>
      </c>
      <c r="K1654" s="4">
        <f>IFERROR(J1654/I1654,"")</f>
        <v/>
      </c>
      <c r="L1654" s="4">
        <f>IFERROR((D1654-E1654)/E1654,"")</f>
        <v/>
      </c>
    </row>
    <row r="1655">
      <c r="A1655" t="inlineStr">
        <is>
          <t>2026-06-19</t>
        </is>
      </c>
      <c r="B1655" t="inlineStr">
        <is>
          <t>563500</t>
        </is>
      </c>
      <c r="C1655" t="inlineStr">
        <is>
          <t>A500ETF华宝</t>
        </is>
      </c>
      <c r="D1655" t="n">
        <v>64595.87</v>
      </c>
      <c r="E1655" t="n">
        <v>64595.87</v>
      </c>
      <c r="F1655" t="n">
        <v>0.6919999999999999</v>
      </c>
      <c r="G1655" t="n">
        <v>0</v>
      </c>
      <c r="H1655" t="n">
        <v>4.470034</v>
      </c>
      <c r="I1655" t="n">
        <v>4.444196</v>
      </c>
      <c r="J1655" t="n">
        <v>0.025838</v>
      </c>
      <c r="K1655" s="4">
        <f>IFERROR(J1655/I1655,"")</f>
        <v/>
      </c>
      <c r="L1655" s="4">
        <f>IFERROR((D1655-E1655)/E1655,"")</f>
        <v/>
      </c>
    </row>
    <row r="1656">
      <c r="A1656" t="inlineStr">
        <is>
          <t>2026-06-19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30853.7</v>
      </c>
      <c r="E1656" t="n">
        <v>30253.7</v>
      </c>
      <c r="F1656" t="n">
        <v>0.9409999999999999</v>
      </c>
      <c r="G1656" t="n">
        <v>600</v>
      </c>
      <c r="H1656" t="n">
        <v>2.846873</v>
      </c>
      <c r="I1656" t="n">
        <v>2.876139</v>
      </c>
      <c r="J1656" t="n">
        <v>-0.029266</v>
      </c>
      <c r="K1656" s="4">
        <f>IFERROR(J1656/I1656,"")</f>
        <v/>
      </c>
      <c r="L1656" s="4">
        <f>IFERROR((D1656-E1656)/E1656,"")</f>
        <v/>
      </c>
    </row>
    <row r="1657">
      <c r="A1657" t="inlineStr">
        <is>
          <t>2026-06-19</t>
        </is>
      </c>
      <c r="B1657" t="inlineStr">
        <is>
          <t>563520</t>
        </is>
      </c>
      <c r="C1657" t="inlineStr">
        <is>
          <t>沪深300ETF永赢</t>
        </is>
      </c>
      <c r="D1657" t="n">
        <v>37906.5</v>
      </c>
      <c r="E1657" t="n">
        <v>37906.5</v>
      </c>
      <c r="F1657" t="n">
        <v>1.274</v>
      </c>
      <c r="G1657" t="n">
        <v>0</v>
      </c>
      <c r="H1657" t="n">
        <v>4.829288</v>
      </c>
      <c r="I1657" t="n">
        <v>4.874923</v>
      </c>
      <c r="J1657" t="n">
        <v>-0.045635</v>
      </c>
      <c r="K1657" s="4">
        <f>IFERROR(J1657/I1657,"")</f>
        <v/>
      </c>
      <c r="L1657" s="4">
        <f>IFERROR((D1657-E1657)/E1657,"")</f>
        <v/>
      </c>
    </row>
    <row r="1658">
      <c r="A1658" t="inlineStr">
        <is>
          <t>2026-06-19</t>
        </is>
      </c>
      <c r="B1658" t="inlineStr">
        <is>
          <t>563530</t>
        </is>
      </c>
      <c r="C1658" t="inlineStr">
        <is>
          <t>卫星ETF易方达</t>
        </is>
      </c>
      <c r="D1658" t="n">
        <v>148474.8</v>
      </c>
      <c r="E1658" t="n">
        <v>151874.8</v>
      </c>
      <c r="F1658" t="n">
        <v>1.381</v>
      </c>
      <c r="G1658" t="n">
        <v>-3400</v>
      </c>
      <c r="H1658" t="n">
        <v>20.97391</v>
      </c>
      <c r="I1658" t="n">
        <v>20.807928</v>
      </c>
      <c r="J1658" t="n">
        <v>0.165982</v>
      </c>
      <c r="K1658" s="4">
        <f>IFERROR(J1658/I1658,"")</f>
        <v/>
      </c>
      <c r="L1658" s="4">
        <f>IFERROR((D1658-E1658)/E1658,"")</f>
        <v/>
      </c>
    </row>
    <row r="1659">
      <c r="A1659" t="inlineStr">
        <is>
          <t>2026-06-19</t>
        </is>
      </c>
      <c r="B1659" t="inlineStr">
        <is>
          <t>563550</t>
        </is>
      </c>
      <c r="C1659" t="inlineStr">
        <is>
          <t>A500增强ETF摩根</t>
        </is>
      </c>
      <c r="D1659" t="n">
        <v>7955.9</v>
      </c>
      <c r="E1659" t="n">
        <v>7955.9</v>
      </c>
      <c r="F1659" t="n">
        <v>1.359</v>
      </c>
      <c r="G1659" t="n">
        <v>0</v>
      </c>
      <c r="H1659" t="n">
        <v>1.081207</v>
      </c>
      <c r="I1659" t="n">
        <v>1.070069</v>
      </c>
      <c r="J1659" t="n">
        <v>0.011138</v>
      </c>
      <c r="K1659" s="4">
        <f>IFERROR(J1659/I1659,"")</f>
        <v/>
      </c>
      <c r="L1659" s="4">
        <f>IFERROR((D1659-E1659)/E1659,"")</f>
        <v/>
      </c>
    </row>
    <row r="1660">
      <c r="A1660" t="inlineStr">
        <is>
          <t>2026-06-19</t>
        </is>
      </c>
      <c r="B1660" t="inlineStr">
        <is>
          <t>563560</t>
        </is>
      </c>
      <c r="C1660" t="inlineStr">
        <is>
          <t>科技成长ETF兴业</t>
        </is>
      </c>
      <c r="D1660" t="n">
        <v>5676.9</v>
      </c>
      <c r="E1660" t="n">
        <v>5676.9</v>
      </c>
      <c r="F1660" t="n">
        <v>1.447</v>
      </c>
      <c r="G1660" t="n">
        <v>0</v>
      </c>
      <c r="H1660" t="n">
        <v>0.821447</v>
      </c>
      <c r="I1660" t="n">
        <v>0.790224</v>
      </c>
      <c r="J1660" t="n">
        <v>0.031223</v>
      </c>
      <c r="K1660" s="4">
        <f>IFERROR(J1660/I1660,"")</f>
        <v/>
      </c>
      <c r="L1660" s="4">
        <f>IFERROR((D1660-E1660)/E1660,"")</f>
        <v/>
      </c>
    </row>
    <row r="1661">
      <c r="A1661" t="inlineStr">
        <is>
          <t>2026-06-19</t>
        </is>
      </c>
      <c r="B1661" t="inlineStr">
        <is>
          <t>563570</t>
        </is>
      </c>
      <c r="C1661" t="inlineStr">
        <is>
          <t>金融科技ETF兴业</t>
        </is>
      </c>
      <c r="D1661" t="n">
        <v>10637.4</v>
      </c>
      <c r="E1661" t="n">
        <v>10637.4</v>
      </c>
      <c r="F1661" t="n">
        <v>0.753</v>
      </c>
      <c r="G1661" t="n">
        <v>0</v>
      </c>
      <c r="H1661" t="n">
        <v>0.800996</v>
      </c>
      <c r="I1661" t="n">
        <v>0.826894</v>
      </c>
      <c r="J1661" t="n">
        <v>-0.025898</v>
      </c>
      <c r="K1661" s="4">
        <f>IFERROR(J1661/I1661,"")</f>
        <v/>
      </c>
      <c r="L1661" s="4">
        <f>IFERROR((D1661-E1661)/E1661,"")</f>
        <v/>
      </c>
    </row>
    <row r="1662">
      <c r="A1662" t="inlineStr">
        <is>
          <t>2026-06-19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31164.8</v>
      </c>
      <c r="E1662" t="n">
        <v>32064.8</v>
      </c>
      <c r="F1662" t="n">
        <v>1.078</v>
      </c>
      <c r="G1662" t="n">
        <v>-900</v>
      </c>
      <c r="H1662" t="n">
        <v>3.456585</v>
      </c>
      <c r="I1662" t="n">
        <v>3.495063</v>
      </c>
      <c r="J1662" t="n">
        <v>-0.038478</v>
      </c>
      <c r="K1662" s="4">
        <f>IFERROR(J1662/I1662,"")</f>
        <v/>
      </c>
      <c r="L1662" s="4">
        <f>IFERROR((D1662-E1662)/E1662,"")</f>
        <v/>
      </c>
    </row>
    <row r="1663">
      <c r="A1663" t="inlineStr">
        <is>
          <t>2026-06-19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6994.44</v>
      </c>
      <c r="E1663" t="n">
        <v>6994.44</v>
      </c>
      <c r="F1663" t="n">
        <v>0.929</v>
      </c>
      <c r="G1663" t="n">
        <v>0</v>
      </c>
      <c r="H1663" t="n">
        <v>0.649784</v>
      </c>
      <c r="I1663" t="n">
        <v>0.664472</v>
      </c>
      <c r="J1663" t="n">
        <v>-0.014688</v>
      </c>
      <c r="K1663" s="4">
        <f>IFERROR(J1663/I1663,"")</f>
        <v/>
      </c>
      <c r="L1663" s="4">
        <f>IFERROR((D1663-E1663)/E1663,"")</f>
        <v/>
      </c>
    </row>
    <row r="1664">
      <c r="A1664" t="inlineStr">
        <is>
          <t>2026-06-19</t>
        </is>
      </c>
      <c r="B1664" t="inlineStr">
        <is>
          <t>563600</t>
        </is>
      </c>
      <c r="C1664" t="inlineStr">
        <is>
          <t>A500增强ETF易方达</t>
        </is>
      </c>
      <c r="D1664" t="n">
        <v>5148.3</v>
      </c>
      <c r="E1664" t="n">
        <v>5148.3</v>
      </c>
      <c r="F1664" t="n">
        <v>1.137</v>
      </c>
      <c r="G1664" t="n">
        <v>0</v>
      </c>
      <c r="H1664" t="n">
        <v>0.585362</v>
      </c>
      <c r="I1664" t="n">
        <v>0.613479</v>
      </c>
      <c r="J1664" t="n">
        <v>-0.028117</v>
      </c>
      <c r="K1664" s="4">
        <f>IFERROR(J1664/I1664,"")</f>
        <v/>
      </c>
      <c r="L1664" s="4">
        <f>IFERROR((D1664-E1664)/E1664,"")</f>
        <v/>
      </c>
    </row>
    <row r="1665">
      <c r="A1665" t="inlineStr">
        <is>
          <t>2026-06-19</t>
        </is>
      </c>
      <c r="B1665" t="inlineStr">
        <is>
          <t>563620</t>
        </is>
      </c>
      <c r="C1665" t="inlineStr">
        <is>
          <t>全指现金流ETF兴业</t>
        </is>
      </c>
      <c r="D1665" t="n">
        <v>6004.9</v>
      </c>
      <c r="E1665" t="n">
        <v>6004.9</v>
      </c>
      <c r="F1665" t="n">
        <v>1.052</v>
      </c>
      <c r="G1665" t="n">
        <v>0</v>
      </c>
      <c r="H1665" t="n">
        <v>0.631715</v>
      </c>
      <c r="I1665" t="n">
        <v>0.6365189999999999</v>
      </c>
      <c r="J1665" t="n">
        <v>-0.004804</v>
      </c>
      <c r="K1665" s="4">
        <f>IFERROR(J1665/I1665,"")</f>
        <v/>
      </c>
      <c r="L1665" s="4">
        <f>IFERROR((D1665-E1665)/E1665,"")</f>
        <v/>
      </c>
    </row>
    <row r="1666">
      <c r="A1666" t="inlineStr">
        <is>
          <t>2026-06-19</t>
        </is>
      </c>
      <c r="B1666" t="inlineStr">
        <is>
          <t>563630</t>
        </is>
      </c>
      <c r="C1666" t="inlineStr">
        <is>
          <t>A500增强ETF国联安</t>
        </is>
      </c>
      <c r="D1666" t="n">
        <v>3994.71</v>
      </c>
      <c r="E1666" t="n">
        <v>3994.71</v>
      </c>
      <c r="F1666" t="n">
        <v>1.379</v>
      </c>
      <c r="G1666" t="n">
        <v>0</v>
      </c>
      <c r="H1666" t="n">
        <v>0.55087</v>
      </c>
      <c r="I1666" t="n">
        <v>0.549671</v>
      </c>
      <c r="J1666" t="n">
        <v>0.001199</v>
      </c>
      <c r="K1666" s="4">
        <f>IFERROR(J1666/I1666,"")</f>
        <v/>
      </c>
      <c r="L1666" s="4">
        <f>IFERROR((D1666-E1666)/E1666,"")</f>
        <v/>
      </c>
    </row>
    <row r="1667">
      <c r="A1667" t="inlineStr">
        <is>
          <t>2026-06-19</t>
        </is>
      </c>
      <c r="B1667" t="inlineStr">
        <is>
          <t>563650</t>
        </is>
      </c>
      <c r="C1667" t="inlineStr">
        <is>
          <t>中证A500ETF兴业</t>
        </is>
      </c>
      <c r="D1667" t="n">
        <v>11390.9</v>
      </c>
      <c r="E1667" t="n">
        <v>11690.9</v>
      </c>
      <c r="F1667" t="n">
        <v>1.392</v>
      </c>
      <c r="G1667" t="n">
        <v>-300</v>
      </c>
      <c r="H1667" t="n">
        <v>1.627373</v>
      </c>
      <c r="I1667" t="n">
        <v>1.614513</v>
      </c>
      <c r="J1667" t="n">
        <v>0.01286</v>
      </c>
      <c r="K1667" s="4">
        <f>IFERROR(J1667/I1667,"")</f>
        <v/>
      </c>
      <c r="L1667" s="4">
        <f>IFERROR((D1667-E1667)/E1667,"")</f>
        <v/>
      </c>
    </row>
    <row r="1668">
      <c r="A1668" t="inlineStr">
        <is>
          <t>2026-06-19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1.366</v>
      </c>
      <c r="G1668" t="n">
        <v>0</v>
      </c>
      <c r="H1668" t="n">
        <v>0.9027230000000001</v>
      </c>
      <c r="I1668" t="n">
        <v>0.896115</v>
      </c>
      <c r="J1668" t="n">
        <v>0.006608</v>
      </c>
      <c r="K1668" s="4">
        <f>IFERROR(J1668/I1668,"")</f>
        <v/>
      </c>
      <c r="L1668" s="4">
        <f>IFERROR((D1668-E1668)/E1668,"")</f>
        <v/>
      </c>
    </row>
    <row r="1669">
      <c r="A1669" t="inlineStr">
        <is>
          <t>2026-06-19</t>
        </is>
      </c>
      <c r="B1669" t="inlineStr">
        <is>
          <t>563670</t>
        </is>
      </c>
      <c r="C1669" t="inlineStr">
        <is>
          <t>金融科技ETF鹏华</t>
        </is>
      </c>
      <c r="D1669" t="n">
        <v>18998.7</v>
      </c>
      <c r="E1669" t="n">
        <v>18998.7</v>
      </c>
      <c r="F1669" t="n">
        <v>0.6899999999999999</v>
      </c>
      <c r="G1669" t="n">
        <v>0</v>
      </c>
      <c r="H1669" t="n">
        <v>1.31091</v>
      </c>
      <c r="I1669" t="n">
        <v>1.326109</v>
      </c>
      <c r="J1669" t="n">
        <v>-0.015199</v>
      </c>
      <c r="K1669" s="4">
        <f>IFERROR(J1669/I1669,"")</f>
        <v/>
      </c>
      <c r="L1669" s="4">
        <f>IFERROR((D1669-E1669)/E1669,"")</f>
        <v/>
      </c>
    </row>
    <row r="1670">
      <c r="A1670" t="inlineStr">
        <is>
          <t>2026-06-19</t>
        </is>
      </c>
      <c r="B1670" t="inlineStr">
        <is>
          <t>563680</t>
        </is>
      </c>
      <c r="C1670" t="inlineStr">
        <is>
          <t>800现金流ETF汇添富</t>
        </is>
      </c>
      <c r="D1670" t="n">
        <v>11995.9</v>
      </c>
      <c r="E1670" t="n">
        <v>11995.9</v>
      </c>
      <c r="F1670" t="n">
        <v>1.159</v>
      </c>
      <c r="G1670" t="n">
        <v>0</v>
      </c>
      <c r="H1670" t="n">
        <v>1.390325</v>
      </c>
      <c r="I1670" t="n">
        <v>1.405919</v>
      </c>
      <c r="J1670" t="n">
        <v>-0.015594</v>
      </c>
      <c r="K1670" s="4">
        <f>IFERROR(J1670/I1670,"")</f>
        <v/>
      </c>
      <c r="L1670" s="4">
        <f>IFERROR((D1670-E1670)/E1670,"")</f>
        <v/>
      </c>
    </row>
    <row r="1671">
      <c r="A1671" t="inlineStr">
        <is>
          <t>2026-06-19</t>
        </is>
      </c>
      <c r="B1671" t="inlineStr">
        <is>
          <t>563690</t>
        </is>
      </c>
      <c r="C1671" t="inlineStr">
        <is>
          <t>红利低波ETF永赢</t>
        </is>
      </c>
      <c r="D1671" t="n">
        <v>3988.2</v>
      </c>
      <c r="E1671" t="n">
        <v>3988.2</v>
      </c>
      <c r="F1671" t="n">
        <v>0.965</v>
      </c>
      <c r="G1671" t="n">
        <v>0</v>
      </c>
      <c r="H1671" t="n">
        <v>0.384861</v>
      </c>
      <c r="I1671" t="n">
        <v>0.384154</v>
      </c>
      <c r="J1671" t="n">
        <v>0.0007069999999999999</v>
      </c>
      <c r="K1671" s="4">
        <f>IFERROR(J1671/I1671,"")</f>
        <v/>
      </c>
      <c r="L1671" s="4">
        <f>IFERROR((D1671-E1671)/E1671,"")</f>
        <v/>
      </c>
    </row>
    <row r="1672">
      <c r="A1672" t="inlineStr">
        <is>
          <t>2026-06-19</t>
        </is>
      </c>
      <c r="B1672" t="inlineStr">
        <is>
          <t>563700</t>
        </is>
      </c>
      <c r="C1672" t="inlineStr">
        <is>
          <t>红利价值ETF易方达</t>
        </is>
      </c>
      <c r="D1672" t="n">
        <v>40215</v>
      </c>
      <c r="E1672" t="n">
        <v>39915</v>
      </c>
      <c r="F1672" t="n">
        <v>1.019</v>
      </c>
      <c r="G1672" t="n">
        <v>300</v>
      </c>
      <c r="H1672" t="n">
        <v>4.067339</v>
      </c>
      <c r="I1672" t="n">
        <v>4.168631</v>
      </c>
      <c r="J1672" t="n">
        <v>-0.101292</v>
      </c>
      <c r="K1672" s="4">
        <f>IFERROR(J1672/I1672,"")</f>
        <v/>
      </c>
      <c r="L1672" s="4">
        <f>IFERROR((D1672-E1672)/E1672,"")</f>
        <v/>
      </c>
    </row>
    <row r="1673">
      <c r="A1673" t="inlineStr">
        <is>
          <t>2026-06-19</t>
        </is>
      </c>
      <c r="B1673" t="inlineStr">
        <is>
          <t>563750</t>
        </is>
      </c>
      <c r="C1673" t="inlineStr">
        <is>
          <t>中证500ETF汇添富</t>
        </is>
      </c>
      <c r="D1673" t="n">
        <v>33973.7</v>
      </c>
      <c r="E1673" t="n">
        <v>34223.7</v>
      </c>
      <c r="F1673" t="n">
        <v>1.206</v>
      </c>
      <c r="G1673" t="n">
        <v>-250</v>
      </c>
      <c r="H1673" t="n">
        <v>4.127378</v>
      </c>
      <c r="I1673" t="n">
        <v>4.133397</v>
      </c>
      <c r="J1673" t="n">
        <v>-0.006019</v>
      </c>
      <c r="K1673" s="4">
        <f>IFERROR(J1673/I1673,"")</f>
        <v/>
      </c>
      <c r="L1673" s="4">
        <f>IFERROR((D1673-E1673)/E1673,"")</f>
        <v/>
      </c>
    </row>
    <row r="1674">
      <c r="A1674" t="inlineStr">
        <is>
          <t>2026-06-19</t>
        </is>
      </c>
      <c r="B1674" t="inlineStr">
        <is>
          <t>563760</t>
        </is>
      </c>
      <c r="C1674" t="inlineStr">
        <is>
          <t>全指现金流ETF中银</t>
        </is>
      </c>
      <c r="D1674" t="n">
        <v>83191.32000000001</v>
      </c>
      <c r="E1674" t="n">
        <v>85391.32000000001</v>
      </c>
      <c r="F1674" t="n">
        <v>1.132</v>
      </c>
      <c r="G1674" t="n">
        <v>-2200</v>
      </c>
      <c r="H1674" t="n">
        <v>9.666297</v>
      </c>
      <c r="I1674" t="n">
        <v>9.697509</v>
      </c>
      <c r="J1674" t="n">
        <v>-0.031212</v>
      </c>
      <c r="K1674" s="4">
        <f>IFERROR(J1674/I1674,"")</f>
        <v/>
      </c>
      <c r="L1674" s="4">
        <f>IFERROR((D1674-E1674)/E1674,"")</f>
        <v/>
      </c>
    </row>
    <row r="1675">
      <c r="A1675" t="inlineStr">
        <is>
          <t>2026-06-19</t>
        </is>
      </c>
      <c r="B1675" t="inlineStr">
        <is>
          <t>563770</t>
        </is>
      </c>
      <c r="C1675" t="inlineStr">
        <is>
          <t>全指现金流ETF招商</t>
        </is>
      </c>
      <c r="D1675" t="n">
        <v>2880.7</v>
      </c>
      <c r="E1675" t="n">
        <v>2730.7</v>
      </c>
      <c r="F1675" t="n">
        <v>1.154</v>
      </c>
      <c r="G1675" t="n">
        <v>150</v>
      </c>
      <c r="H1675" t="n">
        <v>0.315123</v>
      </c>
      <c r="I1675" t="n">
        <v>0.317853</v>
      </c>
      <c r="J1675" t="n">
        <v>-0.00273</v>
      </c>
      <c r="K1675" s="4">
        <f>IFERROR(J1675/I1675,"")</f>
        <v/>
      </c>
      <c r="L1675" s="4">
        <f>IFERROR((D1675-E1675)/E1675,"")</f>
        <v/>
      </c>
    </row>
    <row r="1676">
      <c r="A1676" t="inlineStr">
        <is>
          <t>2026-06-19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32802.71</v>
      </c>
      <c r="E1676" t="n">
        <v>33502.71</v>
      </c>
      <c r="F1676" t="n">
        <v>1.175</v>
      </c>
      <c r="G1676" t="n">
        <v>-700</v>
      </c>
      <c r="H1676" t="n">
        <v>3.936568</v>
      </c>
      <c r="I1676" t="n">
        <v>4.010691</v>
      </c>
      <c r="J1676" t="n">
        <v>-0.07412299999999999</v>
      </c>
      <c r="K1676" s="4">
        <f>IFERROR(J1676/I1676,"")</f>
        <v/>
      </c>
      <c r="L1676" s="4">
        <f>IFERROR((D1676-E1676)/E1676,"")</f>
        <v/>
      </c>
    </row>
    <row r="1677">
      <c r="A1677" t="inlineStr">
        <is>
          <t>2026-06-19</t>
        </is>
      </c>
      <c r="B1677" t="inlineStr">
        <is>
          <t>563790</t>
        </is>
      </c>
      <c r="C1677" t="inlineStr">
        <is>
          <t>卫星ETF鹏华</t>
        </is>
      </c>
      <c r="D1677" t="n">
        <v>107944.7</v>
      </c>
      <c r="E1677" t="n">
        <v>109544.7</v>
      </c>
      <c r="F1677" t="n">
        <v>1.041</v>
      </c>
      <c r="G1677" t="n">
        <v>-1600</v>
      </c>
      <c r="H1677" t="n">
        <v>11.403603</v>
      </c>
      <c r="I1677" t="n">
        <v>11.394835</v>
      </c>
      <c r="J1677" t="n">
        <v>0.008768</v>
      </c>
      <c r="K1677" s="4">
        <f>IFERROR(J1677/I1677,"")</f>
        <v/>
      </c>
      <c r="L1677" s="4">
        <f>IFERROR((D1677-E1677)/E1677,"")</f>
        <v/>
      </c>
    </row>
    <row r="1678">
      <c r="A1678" t="inlineStr">
        <is>
          <t>2026-06-19</t>
        </is>
      </c>
      <c r="B1678" t="inlineStr">
        <is>
          <t>563800</t>
        </is>
      </c>
      <c r="C1678" t="inlineStr">
        <is>
          <t>A500ETF广发</t>
        </is>
      </c>
      <c r="D1678" t="n">
        <v>695597.8100000001</v>
      </c>
      <c r="E1678" t="n">
        <v>698597.8100000001</v>
      </c>
      <c r="F1678" t="n">
        <v>1.32</v>
      </c>
      <c r="G1678" t="n">
        <v>-3000</v>
      </c>
      <c r="H1678" t="n">
        <v>92.214911</v>
      </c>
      <c r="I1678" t="n">
        <v>91.900813</v>
      </c>
      <c r="J1678" t="n">
        <v>0.314098</v>
      </c>
      <c r="K1678" s="4">
        <f>IFERROR(J1678/I1678,"")</f>
        <v/>
      </c>
      <c r="L1678" s="4">
        <f>IFERROR((D1678-E1678)/E1678,"")</f>
        <v/>
      </c>
    </row>
    <row r="1679">
      <c r="A1679" t="inlineStr">
        <is>
          <t>2026-06-19</t>
        </is>
      </c>
      <c r="B1679" t="inlineStr">
        <is>
          <t>563830</t>
        </is>
      </c>
      <c r="C1679" t="inlineStr">
        <is>
          <t>全指现金流ETF博时</t>
        </is>
      </c>
      <c r="D1679" t="n">
        <v>14289.6</v>
      </c>
      <c r="E1679" t="n">
        <v>14289.6</v>
      </c>
      <c r="F1679" t="n">
        <v>1.155</v>
      </c>
      <c r="G1679" t="n">
        <v>0</v>
      </c>
      <c r="H1679" t="n">
        <v>1.650449</v>
      </c>
      <c r="I1679" t="n">
        <v>1.663309</v>
      </c>
      <c r="J1679" t="n">
        <v>-0.01286</v>
      </c>
      <c r="K1679" s="4">
        <f>IFERROR(J1679/I1679,"")</f>
        <v/>
      </c>
      <c r="L1679" s="4">
        <f>IFERROR((D1679-E1679)/E1679,"")</f>
        <v/>
      </c>
    </row>
    <row r="1680">
      <c r="A1680" t="inlineStr">
        <is>
          <t>2026-06-19</t>
        </is>
      </c>
      <c r="B1680" t="inlineStr">
        <is>
          <t>563850</t>
        </is>
      </c>
      <c r="C1680" t="inlineStr">
        <is>
          <t>食品ETF广发</t>
        </is>
      </c>
      <c r="D1680" t="n">
        <v>8728.17</v>
      </c>
      <c r="E1680" t="n">
        <v>8668.17</v>
      </c>
      <c r="F1680" t="n">
        <v>0.902</v>
      </c>
      <c r="G1680" t="n">
        <v>60</v>
      </c>
      <c r="H1680" t="n">
        <v>0.781869</v>
      </c>
      <c r="I1680" t="n">
        <v>0.791404</v>
      </c>
      <c r="J1680" t="n">
        <v>-0.009535</v>
      </c>
      <c r="K1680" s="4">
        <f>IFERROR(J1680/I1680,"")</f>
        <v/>
      </c>
      <c r="L1680" s="4">
        <f>IFERROR((D1680-E1680)/E1680,"")</f>
        <v/>
      </c>
    </row>
    <row r="1681">
      <c r="A1681" t="inlineStr">
        <is>
          <t>2026-06-19</t>
        </is>
      </c>
      <c r="B1681" t="inlineStr">
        <is>
          <t>563860</t>
        </is>
      </c>
      <c r="C1681" t="inlineStr">
        <is>
          <t>中证A500ETF海富通</t>
        </is>
      </c>
      <c r="D1681" t="n">
        <v>17084.43</v>
      </c>
      <c r="E1681" t="n">
        <v>17084.43</v>
      </c>
      <c r="F1681" t="n">
        <v>1.4</v>
      </c>
      <c r="G1681" t="n">
        <v>0</v>
      </c>
      <c r="H1681" t="n">
        <v>2.39182</v>
      </c>
      <c r="I1681" t="n">
        <v>2.36961</v>
      </c>
      <c r="J1681" t="n">
        <v>0.02221</v>
      </c>
      <c r="K1681" s="4">
        <f>IFERROR(J1681/I1681,"")</f>
        <v/>
      </c>
      <c r="L1681" s="4">
        <f>IFERROR((D1681-E1681)/E1681,"")</f>
        <v/>
      </c>
    </row>
    <row r="1682">
      <c r="A1682" t="inlineStr">
        <is>
          <t>2026-06-19</t>
        </is>
      </c>
      <c r="B1682" t="inlineStr">
        <is>
          <t>563870</t>
        </is>
      </c>
      <c r="C1682" t="inlineStr">
        <is>
          <t>通用航空ETF鹏华</t>
        </is>
      </c>
      <c r="D1682" t="n">
        <v>11730.39</v>
      </c>
      <c r="E1682" t="n">
        <v>11730.39</v>
      </c>
      <c r="F1682" t="n">
        <v>0.744</v>
      </c>
      <c r="G1682" t="n">
        <v>0</v>
      </c>
      <c r="H1682" t="n">
        <v>0.872741</v>
      </c>
      <c r="I1682" t="n">
        <v>0.871568</v>
      </c>
      <c r="J1682" t="n">
        <v>0.001173</v>
      </c>
      <c r="K1682" s="4">
        <f>IFERROR(J1682/I1682,"")</f>
        <v/>
      </c>
      <c r="L1682" s="4">
        <f>IFERROR((D1682-E1682)/E1682,"")</f>
        <v/>
      </c>
    </row>
    <row r="1683">
      <c r="A1683" t="inlineStr">
        <is>
          <t>2026-06-19</t>
        </is>
      </c>
      <c r="B1683" t="inlineStr">
        <is>
          <t>563880</t>
        </is>
      </c>
      <c r="C1683" t="inlineStr">
        <is>
          <t>A500ETF汇添富</t>
        </is>
      </c>
      <c r="D1683" t="n">
        <v>104299.64</v>
      </c>
      <c r="E1683" t="n">
        <v>105499.64</v>
      </c>
      <c r="F1683" t="n">
        <v>1.364</v>
      </c>
      <c r="G1683" t="n">
        <v>-1200</v>
      </c>
      <c r="H1683" t="n">
        <v>14.39015</v>
      </c>
      <c r="I1683" t="n">
        <v>14.387111</v>
      </c>
      <c r="J1683" t="n">
        <v>0.003039</v>
      </c>
      <c r="K1683" s="4">
        <f>IFERROR(J1683/I1683,"")</f>
        <v/>
      </c>
      <c r="L1683" s="4">
        <f>IFERROR((D1683-E1683)/E1683,"")</f>
        <v/>
      </c>
    </row>
    <row r="1684">
      <c r="A1684" t="inlineStr">
        <is>
          <t>2026-06-19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2533.6</v>
      </c>
      <c r="E1684" t="n">
        <v>2533.6</v>
      </c>
      <c r="F1684" t="n">
        <v>0.998</v>
      </c>
      <c r="G1684" t="n">
        <v>0</v>
      </c>
      <c r="H1684" t="n">
        <v>0.252853</v>
      </c>
      <c r="I1684" t="n">
        <v>0.258427</v>
      </c>
      <c r="J1684" t="n">
        <v>-0.005574</v>
      </c>
      <c r="K1684" s="4">
        <f>IFERROR(J1684/I1684,"")</f>
        <v/>
      </c>
      <c r="L1684" s="4">
        <f>IFERROR((D1684-E1684)/E1684,"")</f>
        <v/>
      </c>
    </row>
    <row r="1685">
      <c r="A1685" t="inlineStr">
        <is>
          <t>2026-06-19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52296.57</v>
      </c>
      <c r="E1685" t="n">
        <v>52496.57</v>
      </c>
      <c r="F1685" t="n">
        <v>1.106</v>
      </c>
      <c r="G1685" t="n">
        <v>-200</v>
      </c>
      <c r="H1685" t="n">
        <v>5.80612</v>
      </c>
      <c r="I1685" t="n">
        <v>5.906595</v>
      </c>
      <c r="J1685" t="n">
        <v>-0.100475</v>
      </c>
      <c r="K1685" s="4">
        <f>IFERROR(J1685/I1685,"")</f>
        <v/>
      </c>
      <c r="L1685" s="4">
        <f>IFERROR((D1685-E1685)/E1685,"")</f>
        <v/>
      </c>
    </row>
    <row r="1686">
      <c r="A1686" t="inlineStr">
        <is>
          <t>2026-06-19</t>
        </is>
      </c>
      <c r="B1686" t="inlineStr">
        <is>
          <t>563930</t>
        </is>
      </c>
      <c r="C1686" t="inlineStr">
        <is>
          <t>上证增强ETF招商</t>
        </is>
      </c>
      <c r="D1686" t="n">
        <v>3159.2</v>
      </c>
      <c r="E1686" t="n">
        <v>3159.2</v>
      </c>
      <c r="F1686" t="n">
        <v>1.037</v>
      </c>
      <c r="G1686" t="n">
        <v>0</v>
      </c>
      <c r="H1686" t="n">
        <v>0.327609</v>
      </c>
      <c r="I1686" t="n">
        <v>0.327293</v>
      </c>
      <c r="J1686" t="n">
        <v>0.000316</v>
      </c>
      <c r="K1686" s="4">
        <f>IFERROR(J1686/I1686,"")</f>
        <v/>
      </c>
      <c r="L1686" s="4">
        <f>IFERROR((D1686-E1686)/E1686,"")</f>
        <v/>
      </c>
    </row>
    <row r="1687">
      <c r="A1687" t="inlineStr">
        <is>
          <t>2026-06-19</t>
        </is>
      </c>
      <c r="B1687" t="inlineStr">
        <is>
          <t>563960</t>
        </is>
      </c>
      <c r="C1687" t="inlineStr">
        <is>
          <t>300质量ETF兴全</t>
        </is>
      </c>
      <c r="D1687" t="n">
        <v>24901.2</v>
      </c>
      <c r="E1687" t="n">
        <v>24901.2</v>
      </c>
      <c r="F1687" t="n">
        <v>0.9330000000000001</v>
      </c>
      <c r="G1687" t="n">
        <v>0</v>
      </c>
      <c r="H1687" t="n">
        <v>2.323282</v>
      </c>
      <c r="I1687" t="n">
        <v>2.373953</v>
      </c>
      <c r="J1687" t="n">
        <v>-0.050671</v>
      </c>
      <c r="K1687" s="4">
        <f>IFERROR(J1687/I1687,"")</f>
        <v/>
      </c>
      <c r="L1687" s="4">
        <f>IFERROR((D1687-E1687)/E1687,"")</f>
        <v/>
      </c>
    </row>
    <row r="1688">
      <c r="A1688" t="inlineStr">
        <is>
          <t>2026-06-19</t>
        </is>
      </c>
      <c r="B1688" t="inlineStr">
        <is>
          <t>563980</t>
        </is>
      </c>
      <c r="C1688" t="inlineStr">
        <is>
          <t>800红利低波ETF鑫元</t>
        </is>
      </c>
      <c r="D1688" t="n">
        <v>21096.7</v>
      </c>
      <c r="E1688" t="n">
        <v>21096.7</v>
      </c>
      <c r="F1688" t="n">
        <v>0.9379999999999999</v>
      </c>
      <c r="G1688" t="n">
        <v>0</v>
      </c>
      <c r="H1688" t="n">
        <v>1.97887</v>
      </c>
      <c r="I1688" t="n">
        <v>2.018954</v>
      </c>
      <c r="J1688" t="n">
        <v>-0.040084</v>
      </c>
      <c r="K1688" s="4">
        <f>IFERROR(J1688/I1688,"")</f>
        <v/>
      </c>
      <c r="L1688" s="4">
        <f>IFERROR((D1688-E1688)/E1688,"")</f>
        <v/>
      </c>
    </row>
    <row r="1689">
      <c r="A1689" t="inlineStr">
        <is>
          <t>2026-06-19</t>
        </is>
      </c>
      <c r="B1689" t="inlineStr">
        <is>
          <t>563990</t>
        </is>
      </c>
      <c r="C1689" t="inlineStr">
        <is>
          <t>800现金流ETF富国</t>
        </is>
      </c>
      <c r="D1689" t="n">
        <v>44057.3</v>
      </c>
      <c r="E1689" t="n">
        <v>44057.3</v>
      </c>
      <c r="F1689" t="n">
        <v>1.193</v>
      </c>
      <c r="G1689" t="n">
        <v>0</v>
      </c>
      <c r="H1689" t="n">
        <v>5.256036</v>
      </c>
      <c r="I1689" t="n">
        <v>5.31331</v>
      </c>
      <c r="J1689" t="n">
        <v>-0.057274</v>
      </c>
      <c r="K1689" s="4">
        <f>IFERROR(J1689/I1689,"")</f>
        <v/>
      </c>
      <c r="L1689" s="4">
        <f>IFERROR((D1689-E1689)/E1689,"")</f>
        <v/>
      </c>
    </row>
    <row r="1690">
      <c r="A1690" t="inlineStr">
        <is>
          <t>2026-06-19</t>
        </is>
      </c>
      <c r="B1690" t="inlineStr">
        <is>
          <t>588000</t>
        </is>
      </c>
      <c r="C1690" t="inlineStr">
        <is>
          <t>科创50ETF华夏</t>
        </is>
      </c>
      <c r="D1690" t="n">
        <v>3123566.82</v>
      </c>
      <c r="E1690" t="n">
        <v>3207266.82</v>
      </c>
      <c r="F1690" t="n">
        <v>2.017</v>
      </c>
      <c r="G1690" t="n">
        <v>-83700</v>
      </c>
      <c r="H1690" t="n">
        <v>646.905717</v>
      </c>
      <c r="I1690" t="n">
        <v>641.725006</v>
      </c>
      <c r="J1690" t="n">
        <v>5.180711</v>
      </c>
      <c r="K1690" s="4">
        <f>IFERROR(J1690/I1690,"")</f>
        <v/>
      </c>
      <c r="L1690" s="4">
        <f>IFERROR((D1690-E1690)/E1690,"")</f>
        <v/>
      </c>
    </row>
    <row r="1691">
      <c r="A1691" t="inlineStr">
        <is>
          <t>2026-06-19</t>
        </is>
      </c>
      <c r="B1691" t="inlineStr">
        <is>
          <t>588010</t>
        </is>
      </c>
      <c r="C1691" t="inlineStr">
        <is>
          <t>科创新材料ETF博时</t>
        </is>
      </c>
      <c r="D1691" t="n">
        <v>62542.58</v>
      </c>
      <c r="E1691" t="n">
        <v>60542.58</v>
      </c>
      <c r="F1691" t="n">
        <v>1.383</v>
      </c>
      <c r="G1691" t="n">
        <v>2000</v>
      </c>
      <c r="H1691" t="n">
        <v>8.373039</v>
      </c>
      <c r="I1691" t="n">
        <v>6.91627</v>
      </c>
      <c r="J1691" t="n">
        <v>1.456769</v>
      </c>
      <c r="K1691" s="4">
        <f>IFERROR(J1691/I1691,"")</f>
        <v/>
      </c>
      <c r="L1691" s="4">
        <f>IFERROR((D1691-E1691)/E1691,"")</f>
        <v/>
      </c>
    </row>
    <row r="1692">
      <c r="A1692" t="inlineStr">
        <is>
          <t>2026-06-19</t>
        </is>
      </c>
      <c r="B1692" t="inlineStr">
        <is>
          <t>588020</t>
        </is>
      </c>
      <c r="C1692" t="inlineStr">
        <is>
          <t>科创成长ETF易方达</t>
        </is>
      </c>
      <c r="D1692" t="n">
        <v>45979.1</v>
      </c>
      <c r="E1692" t="n">
        <v>45379.1</v>
      </c>
      <c r="F1692" t="n">
        <v>3.265</v>
      </c>
      <c r="G1692" t="n">
        <v>600</v>
      </c>
      <c r="H1692" t="n">
        <v>14.816276</v>
      </c>
      <c r="I1692" t="n">
        <v>13.854566</v>
      </c>
      <c r="J1692" t="n">
        <v>0.96171</v>
      </c>
      <c r="K1692" s="4">
        <f>IFERROR(J1692/I1692,"")</f>
        <v/>
      </c>
      <c r="L1692" s="4">
        <f>IFERROR((D1692-E1692)/E1692,"")</f>
        <v/>
      </c>
    </row>
    <row r="1693">
      <c r="A1693" t="inlineStr">
        <is>
          <t>2026-06-19</t>
        </is>
      </c>
      <c r="B1693" t="inlineStr">
        <is>
          <t>588030</t>
        </is>
      </c>
      <c r="C1693" t="inlineStr">
        <is>
          <t>科创100ETF博时</t>
        </is>
      </c>
      <c r="D1693" t="n">
        <v>262183.81</v>
      </c>
      <c r="E1693" t="n">
        <v>262783.81</v>
      </c>
      <c r="F1693" t="n">
        <v>2.046</v>
      </c>
      <c r="G1693" t="n">
        <v>-600</v>
      </c>
      <c r="H1693" t="n">
        <v>53.765568</v>
      </c>
      <c r="I1693" t="n">
        <v>53.017117</v>
      </c>
      <c r="J1693" t="n">
        <v>0.748451</v>
      </c>
      <c r="K1693" s="4">
        <f>IFERROR(J1693/I1693,"")</f>
        <v/>
      </c>
      <c r="L1693" s="4">
        <f>IFERROR((D1693-E1693)/E1693,"")</f>
        <v/>
      </c>
    </row>
    <row r="1694">
      <c r="A1694" t="inlineStr">
        <is>
          <t>2026-06-19</t>
        </is>
      </c>
      <c r="B1694" t="inlineStr">
        <is>
          <t>588040</t>
        </is>
      </c>
      <c r="C1694" t="inlineStr">
        <is>
          <t>科创50ETF鹏华</t>
        </is>
      </c>
      <c r="D1694" t="n">
        <v>6588.9</v>
      </c>
      <c r="E1694" t="n">
        <v>6588.9</v>
      </c>
      <c r="F1694" t="n">
        <v>1.946</v>
      </c>
      <c r="G1694" t="n">
        <v>0</v>
      </c>
      <c r="H1694" t="n">
        <v>1.2822</v>
      </c>
      <c r="I1694" t="n">
        <v>1.270203</v>
      </c>
      <c r="J1694" t="n">
        <v>0.011997</v>
      </c>
      <c r="K1694" s="4">
        <f>IFERROR(J1694/I1694,"")</f>
        <v/>
      </c>
      <c r="L1694" s="4">
        <f>IFERROR((D1694-E1694)/E1694,"")</f>
        <v/>
      </c>
    </row>
    <row r="1695">
      <c r="A1695" t="inlineStr">
        <is>
          <t>2026-06-19</t>
        </is>
      </c>
      <c r="B1695" t="inlineStr">
        <is>
          <t>588050</t>
        </is>
      </c>
      <c r="C1695" t="inlineStr">
        <is>
          <t>科创50ETF工银</t>
        </is>
      </c>
      <c r="D1695" t="n">
        <v>432924.13</v>
      </c>
      <c r="E1695" t="n">
        <v>439524.13</v>
      </c>
      <c r="F1695" t="n">
        <v>1.958</v>
      </c>
      <c r="G1695" t="n">
        <v>-6600</v>
      </c>
      <c r="H1695" t="n">
        <v>86.058825</v>
      </c>
      <c r="I1695" t="n">
        <v>83.70389400000001</v>
      </c>
      <c r="J1695" t="n">
        <v>2.354931</v>
      </c>
      <c r="K1695" s="4">
        <f>IFERROR(J1695/I1695,"")</f>
        <v/>
      </c>
      <c r="L1695" s="4">
        <f>IFERROR((D1695-E1695)/E1695,"")</f>
        <v/>
      </c>
    </row>
    <row r="1696">
      <c r="A1696" t="inlineStr">
        <is>
          <t>2026-06-19</t>
        </is>
      </c>
      <c r="B1696" t="inlineStr">
        <is>
          <t>588060</t>
        </is>
      </c>
      <c r="C1696" t="inlineStr">
        <is>
          <t>科创50ETF广发</t>
        </is>
      </c>
      <c r="D1696" t="n">
        <v>496314</v>
      </c>
      <c r="E1696" t="n">
        <v>504714</v>
      </c>
      <c r="F1696" t="n">
        <v>1.215</v>
      </c>
      <c r="G1696" t="n">
        <v>-8400</v>
      </c>
      <c r="H1696" t="n">
        <v>61.322751</v>
      </c>
      <c r="I1696" t="n">
        <v>59.670344</v>
      </c>
      <c r="J1696" t="n">
        <v>1.652407</v>
      </c>
      <c r="K1696" s="4">
        <f>IFERROR(J1696/I1696,"")</f>
        <v/>
      </c>
      <c r="L1696" s="4">
        <f>IFERROR((D1696-E1696)/E1696,"")</f>
        <v/>
      </c>
    </row>
    <row r="1697">
      <c r="A1697" t="inlineStr">
        <is>
          <t>2026-06-19</t>
        </is>
      </c>
      <c r="B1697" t="inlineStr">
        <is>
          <t>588070</t>
        </is>
      </c>
      <c r="C1697" t="inlineStr">
        <is>
          <t>科创成长ETF万家</t>
        </is>
      </c>
      <c r="D1697" t="n">
        <v>2443.7</v>
      </c>
      <c r="E1697" t="n">
        <v>2243.7</v>
      </c>
      <c r="F1697" t="n">
        <v>2.81</v>
      </c>
      <c r="G1697" t="n">
        <v>200</v>
      </c>
      <c r="H1697" t="n">
        <v>0.63048</v>
      </c>
      <c r="I1697" t="n">
        <v>0.6051260000000001</v>
      </c>
      <c r="J1697" t="n">
        <v>0.025354</v>
      </c>
      <c r="K1697" s="4">
        <f>IFERROR(J1697/I1697,"")</f>
        <v/>
      </c>
      <c r="L1697" s="4">
        <f>IFERROR((D1697-E1697)/E1697,"")</f>
        <v/>
      </c>
    </row>
    <row r="1698">
      <c r="A1698" t="inlineStr">
        <is>
          <t>2026-06-19</t>
        </is>
      </c>
      <c r="B1698" t="inlineStr">
        <is>
          <t>588080</t>
        </is>
      </c>
      <c r="C1698" t="inlineStr">
        <is>
          <t>科创50ETF易方达</t>
        </is>
      </c>
      <c r="D1698" t="n">
        <v>1930662.81</v>
      </c>
      <c r="E1698" t="n">
        <v>1971162.81</v>
      </c>
      <c r="F1698" t="n">
        <v>1.953</v>
      </c>
      <c r="G1698" t="n">
        <v>-40500</v>
      </c>
      <c r="H1698" t="n">
        <v>384.968097</v>
      </c>
      <c r="I1698" t="n">
        <v>371.198496</v>
      </c>
      <c r="J1698" t="n">
        <v>13.769601</v>
      </c>
      <c r="K1698" s="4">
        <f>IFERROR(J1698/I1698,"")</f>
        <v/>
      </c>
      <c r="L1698" s="4">
        <f>IFERROR((D1698-E1698)/E1698,"")</f>
        <v/>
      </c>
    </row>
    <row r="1699">
      <c r="A1699" t="inlineStr">
        <is>
          <t>2026-06-19</t>
        </is>
      </c>
      <c r="B1699" t="inlineStr">
        <is>
          <t>588090</t>
        </is>
      </c>
      <c r="C1699" t="inlineStr">
        <is>
          <t>科创50ETF华泰柏瑞</t>
        </is>
      </c>
      <c r="D1699" t="n">
        <v>176107.28</v>
      </c>
      <c r="E1699" t="n">
        <v>186307.28</v>
      </c>
      <c r="F1699" t="n">
        <v>1.961</v>
      </c>
      <c r="G1699" t="n">
        <v>-10200</v>
      </c>
      <c r="H1699" t="n">
        <v>36.534857</v>
      </c>
      <c r="I1699" t="n">
        <v>35.608971</v>
      </c>
      <c r="J1699" t="n">
        <v>0.925886</v>
      </c>
      <c r="K1699" s="4">
        <f>IFERROR(J1699/I1699,"")</f>
        <v/>
      </c>
      <c r="L1699" s="4">
        <f>IFERROR((D1699-E1699)/E1699,"")</f>
        <v/>
      </c>
    </row>
    <row r="1700">
      <c r="A1700" t="inlineStr">
        <is>
          <t>2026-06-19</t>
        </is>
      </c>
      <c r="B1700" t="inlineStr">
        <is>
          <t>588100</t>
        </is>
      </c>
      <c r="C1700" t="inlineStr">
        <is>
          <t>科创信息ETF嘉实</t>
        </is>
      </c>
      <c r="D1700" t="n">
        <v>6024.87</v>
      </c>
      <c r="E1700" t="n">
        <v>6024.87</v>
      </c>
      <c r="F1700" t="n">
        <v>3.038</v>
      </c>
      <c r="G1700" t="n">
        <v>0</v>
      </c>
      <c r="H1700" t="n">
        <v>1.830357</v>
      </c>
      <c r="I1700" t="n">
        <v>1.750226</v>
      </c>
      <c r="J1700" t="n">
        <v>0.08013099999999999</v>
      </c>
      <c r="K1700" s="4">
        <f>IFERROR(J1700/I1700,"")</f>
        <v/>
      </c>
      <c r="L1700" s="4">
        <f>IFERROR((D1700-E1700)/E1700,"")</f>
        <v/>
      </c>
    </row>
    <row r="1701">
      <c r="A1701" t="inlineStr">
        <is>
          <t>2026-06-19</t>
        </is>
      </c>
      <c r="B1701" t="inlineStr">
        <is>
          <t>588110</t>
        </is>
      </c>
      <c r="C1701" t="inlineStr">
        <is>
          <t>科创成长ETF广发</t>
        </is>
      </c>
      <c r="D1701" t="n">
        <v>14875.8</v>
      </c>
      <c r="E1701" t="n">
        <v>15175.8</v>
      </c>
      <c r="F1701" t="n">
        <v>3.192</v>
      </c>
      <c r="G1701" t="n">
        <v>-300</v>
      </c>
      <c r="H1701" t="n">
        <v>4.844115</v>
      </c>
      <c r="I1701" t="n">
        <v>4.553482</v>
      </c>
      <c r="J1701" t="n">
        <v>0.290633</v>
      </c>
      <c r="K1701" s="4">
        <f>IFERROR(J1701/I1701,"")</f>
        <v/>
      </c>
      <c r="L1701" s="4">
        <f>IFERROR((D1701-E1701)/E1701,"")</f>
        <v/>
      </c>
    </row>
    <row r="1702">
      <c r="A1702" t="inlineStr">
        <is>
          <t>2026-06-19</t>
        </is>
      </c>
      <c r="B1702" t="inlineStr">
        <is>
          <t>588120</t>
        </is>
      </c>
      <c r="C1702" t="inlineStr">
        <is>
          <t>科创100ETF国泰</t>
        </is>
      </c>
      <c r="D1702" t="n">
        <v>50781.1</v>
      </c>
      <c r="E1702" t="n">
        <v>50781.1</v>
      </c>
      <c r="F1702" t="n">
        <v>2.059</v>
      </c>
      <c r="G1702" t="n">
        <v>0</v>
      </c>
      <c r="H1702" t="n">
        <v>10.455828</v>
      </c>
      <c r="I1702" t="n">
        <v>10.207001</v>
      </c>
      <c r="J1702" t="n">
        <v>0.248827</v>
      </c>
      <c r="K1702" s="4">
        <f>IFERROR(J1702/I1702,"")</f>
        <v/>
      </c>
      <c r="L1702" s="4">
        <f>IFERROR((D1702-E1702)/E1702,"")</f>
        <v/>
      </c>
    </row>
    <row r="1703">
      <c r="A1703" t="inlineStr">
        <is>
          <t>2026-06-19</t>
        </is>
      </c>
      <c r="B1703" t="inlineStr">
        <is>
          <t>588130</t>
        </is>
      </c>
      <c r="C1703" t="inlineStr">
        <is>
          <t>科创医药ETF华夏</t>
        </is>
      </c>
      <c r="D1703" t="n">
        <v>8958.26</v>
      </c>
      <c r="E1703" t="n">
        <v>8958.26</v>
      </c>
      <c r="F1703" t="n">
        <v>0.9320000000000001</v>
      </c>
      <c r="G1703" t="n">
        <v>0</v>
      </c>
      <c r="H1703" t="n">
        <v>0.834909</v>
      </c>
      <c r="I1703" t="n">
        <v>0.8352270000000001</v>
      </c>
      <c r="J1703" t="n">
        <v>-0.000318</v>
      </c>
      <c r="K1703" s="4">
        <f>IFERROR(J1703/I1703,"")</f>
        <v/>
      </c>
      <c r="L1703" s="4">
        <f>IFERROR((D1703-E1703)/E1703,"")</f>
        <v/>
      </c>
    </row>
    <row r="1704">
      <c r="A1704" t="inlineStr">
        <is>
          <t>2026-06-19</t>
        </is>
      </c>
      <c r="B1704" t="inlineStr">
        <is>
          <t>588140</t>
        </is>
      </c>
      <c r="C1704" t="inlineStr">
        <is>
          <t>科创200ETF广发</t>
        </is>
      </c>
      <c r="D1704" t="n">
        <v>22975.1</v>
      </c>
      <c r="E1704" t="n">
        <v>23275.1</v>
      </c>
      <c r="F1704" t="n">
        <v>1.468</v>
      </c>
      <c r="G1704" t="n">
        <v>-300</v>
      </c>
      <c r="H1704" t="n">
        <v>3.416785</v>
      </c>
      <c r="I1704" t="n">
        <v>3.423689</v>
      </c>
      <c r="J1704" t="n">
        <v>-0.006904</v>
      </c>
      <c r="K1704" s="4">
        <f>IFERROR(J1704/I1704,"")</f>
        <v/>
      </c>
      <c r="L1704" s="4">
        <f>IFERROR((D1704-E1704)/E1704,"")</f>
        <v/>
      </c>
    </row>
    <row r="1705">
      <c r="A1705" t="inlineStr">
        <is>
          <t>2026-06-19</t>
        </is>
      </c>
      <c r="B1705" t="inlineStr">
        <is>
          <t>588150</t>
        </is>
      </c>
      <c r="C1705" t="inlineStr">
        <is>
          <t>科创50ETF南方</t>
        </is>
      </c>
      <c r="D1705" t="n">
        <v>27543.26</v>
      </c>
      <c r="E1705" t="n">
        <v>27893.26</v>
      </c>
      <c r="F1705" t="n">
        <v>1.349</v>
      </c>
      <c r="G1705" t="n">
        <v>-350</v>
      </c>
      <c r="H1705" t="n">
        <v>3.762801</v>
      </c>
      <c r="I1705" t="n">
        <v>3.705687</v>
      </c>
      <c r="J1705" t="n">
        <v>0.057114</v>
      </c>
      <c r="K1705" s="4">
        <f>IFERROR(J1705/I1705,"")</f>
        <v/>
      </c>
      <c r="L1705" s="4">
        <f>IFERROR((D1705-E1705)/E1705,"")</f>
        <v/>
      </c>
    </row>
    <row r="1706">
      <c r="A1706" t="inlineStr">
        <is>
          <t>2026-06-19</t>
        </is>
      </c>
      <c r="B1706" t="inlineStr">
        <is>
          <t>588160</t>
        </is>
      </c>
      <c r="C1706" t="inlineStr">
        <is>
          <t>科创新材料ETF南方</t>
        </is>
      </c>
      <c r="D1706" t="n">
        <v>30849.6</v>
      </c>
      <c r="E1706" t="n">
        <v>27249.6</v>
      </c>
      <c r="F1706" t="n">
        <v>1.414</v>
      </c>
      <c r="G1706" t="n">
        <v>3600</v>
      </c>
      <c r="H1706" t="n">
        <v>3.853093</v>
      </c>
      <c r="I1706" t="n">
        <v>3.360995</v>
      </c>
      <c r="J1706" t="n">
        <v>0.492098</v>
      </c>
      <c r="K1706" s="4">
        <f>IFERROR(J1706/I1706,"")</f>
        <v/>
      </c>
      <c r="L1706" s="4">
        <f>IFERROR((D1706-E1706)/E1706,"")</f>
        <v/>
      </c>
    </row>
    <row r="1707">
      <c r="A1707" t="inlineStr">
        <is>
          <t>2026-06-19</t>
        </is>
      </c>
      <c r="B1707" t="inlineStr">
        <is>
          <t>588170</t>
        </is>
      </c>
      <c r="C1707" t="inlineStr">
        <is>
          <t>科创半导体ETF华夏</t>
        </is>
      </c>
      <c r="D1707" t="n">
        <v>411914.9</v>
      </c>
      <c r="E1707" t="n">
        <v>393514.9</v>
      </c>
      <c r="F1707" t="n">
        <v>3.119</v>
      </c>
      <c r="G1707" t="n">
        <v>18400</v>
      </c>
      <c r="H1707" t="n">
        <v>122.737297</v>
      </c>
      <c r="I1707" t="n">
        <v>120.418486</v>
      </c>
      <c r="J1707" t="n">
        <v>2.318811</v>
      </c>
      <c r="K1707" s="4">
        <f>IFERROR(J1707/I1707,"")</f>
        <v/>
      </c>
      <c r="L1707" s="4">
        <f>IFERROR((D1707-E1707)/E1707,"")</f>
        <v/>
      </c>
    </row>
    <row r="1708">
      <c r="A1708" t="inlineStr">
        <is>
          <t>2026-06-19</t>
        </is>
      </c>
      <c r="B1708" t="inlineStr">
        <is>
          <t>588180</t>
        </is>
      </c>
      <c r="C1708" t="inlineStr">
        <is>
          <t>科创50ETF国联安</t>
        </is>
      </c>
      <c r="D1708" t="n">
        <v>81185.37</v>
      </c>
      <c r="E1708" t="n">
        <v>89585.37</v>
      </c>
      <c r="F1708" t="n">
        <v>1.237</v>
      </c>
      <c r="G1708" t="n">
        <v>-8400</v>
      </c>
      <c r="H1708" t="n">
        <v>11.08171</v>
      </c>
      <c r="I1708" t="n">
        <v>10.725902</v>
      </c>
      <c r="J1708" t="n">
        <v>0.355808</v>
      </c>
      <c r="K1708" s="4">
        <f>IFERROR(J1708/I1708,"")</f>
        <v/>
      </c>
      <c r="L1708" s="4">
        <f>IFERROR((D1708-E1708)/E1708,"")</f>
        <v/>
      </c>
    </row>
    <row r="1709">
      <c r="A1709" t="inlineStr">
        <is>
          <t>2026-06-19</t>
        </is>
      </c>
      <c r="B1709" t="inlineStr">
        <is>
          <t>588190</t>
        </is>
      </c>
      <c r="C1709" t="inlineStr">
        <is>
          <t>科创100ETF银华</t>
        </is>
      </c>
      <c r="D1709" t="n">
        <v>151661.83</v>
      </c>
      <c r="E1709" t="n">
        <v>150161.83</v>
      </c>
      <c r="F1709" t="n">
        <v>2.025</v>
      </c>
      <c r="G1709" t="n">
        <v>1500</v>
      </c>
      <c r="H1709" t="n">
        <v>30.407771</v>
      </c>
      <c r="I1709" t="n">
        <v>29.671978</v>
      </c>
      <c r="J1709" t="n">
        <v>0.735793</v>
      </c>
      <c r="K1709" s="4">
        <f>IFERROR(J1709/I1709,"")</f>
        <v/>
      </c>
      <c r="L1709" s="4">
        <f>IFERROR((D1709-E1709)/E1709,"")</f>
        <v/>
      </c>
    </row>
    <row r="1710">
      <c r="A1710" t="inlineStr">
        <is>
          <t>2026-06-19</t>
        </is>
      </c>
      <c r="B1710" t="inlineStr">
        <is>
          <t>588200</t>
        </is>
      </c>
      <c r="C1710" t="inlineStr">
        <is>
          <t>科创芯片ETF嘉实</t>
        </is>
      </c>
      <c r="D1710" t="n">
        <v>1209389.48</v>
      </c>
      <c r="E1710" t="n">
        <v>1215389.48</v>
      </c>
      <c r="F1710" t="n">
        <v>4.126</v>
      </c>
      <c r="G1710" t="n">
        <v>-6000</v>
      </c>
      <c r="H1710" t="n">
        <v>501.469698</v>
      </c>
      <c r="I1710" t="n">
        <v>489.790315</v>
      </c>
      <c r="J1710" t="n">
        <v>11.679383</v>
      </c>
      <c r="K1710" s="4">
        <f>IFERROR(J1710/I1710,"")</f>
        <v/>
      </c>
      <c r="L1710" s="4">
        <f>IFERROR((D1710-E1710)/E1710,"")</f>
        <v/>
      </c>
    </row>
    <row r="1711">
      <c r="A1711" t="inlineStr">
        <is>
          <t>2026-06-19</t>
        </is>
      </c>
      <c r="B1711" t="inlineStr">
        <is>
          <t>588210</t>
        </is>
      </c>
      <c r="C1711" t="inlineStr">
        <is>
          <t>科创100ETF易方达</t>
        </is>
      </c>
      <c r="D1711" t="n">
        <v>15575.4</v>
      </c>
      <c r="E1711" t="n">
        <v>15825.4</v>
      </c>
      <c r="F1711" t="n">
        <v>2.038</v>
      </c>
      <c r="G1711" t="n">
        <v>-250</v>
      </c>
      <c r="H1711" t="n">
        <v>3.225217</v>
      </c>
      <c r="I1711" t="n">
        <v>3.194182</v>
      </c>
      <c r="J1711" t="n">
        <v>0.031035</v>
      </c>
      <c r="K1711" s="4">
        <f>IFERROR(J1711/I1711,"")</f>
        <v/>
      </c>
      <c r="L1711" s="4">
        <f>IFERROR((D1711-E1711)/E1711,"")</f>
        <v/>
      </c>
    </row>
    <row r="1712">
      <c r="A1712" t="inlineStr">
        <is>
          <t>2026-06-19</t>
        </is>
      </c>
      <c r="B1712" t="inlineStr">
        <is>
          <t>588220</t>
        </is>
      </c>
      <c r="C1712" t="inlineStr">
        <is>
          <t>科创100ETF鹏华</t>
        </is>
      </c>
      <c r="D1712" t="n">
        <v>313069.79</v>
      </c>
      <c r="E1712" t="n">
        <v>316919.79</v>
      </c>
      <c r="F1712" t="n">
        <v>2.035</v>
      </c>
      <c r="G1712" t="n">
        <v>-3850</v>
      </c>
      <c r="H1712" t="n">
        <v>64.49317600000001</v>
      </c>
      <c r="I1712" t="n">
        <v>61.897619</v>
      </c>
      <c r="J1712" t="n">
        <v>2.595557</v>
      </c>
      <c r="K1712" s="4">
        <f>IFERROR(J1712/I1712,"")</f>
        <v/>
      </c>
      <c r="L1712" s="4">
        <f>IFERROR((D1712-E1712)/E1712,"")</f>
        <v/>
      </c>
    </row>
    <row r="1713">
      <c r="A1713" t="inlineStr">
        <is>
          <t>2026-06-19</t>
        </is>
      </c>
      <c r="B1713" t="inlineStr">
        <is>
          <t>588230</t>
        </is>
      </c>
      <c r="C1713" t="inlineStr">
        <is>
          <t>科创200ETF华泰柏瑞</t>
        </is>
      </c>
      <c r="D1713" t="n">
        <v>50993.9</v>
      </c>
      <c r="E1713" t="n">
        <v>52193.9</v>
      </c>
      <c r="F1713" t="n">
        <v>2.187</v>
      </c>
      <c r="G1713" t="n">
        <v>-1200</v>
      </c>
      <c r="H1713" t="n">
        <v>11.414806</v>
      </c>
      <c r="I1713" t="n">
        <v>10.907595</v>
      </c>
      <c r="J1713" t="n">
        <v>0.507211</v>
      </c>
      <c r="K1713" s="4">
        <f>IFERROR(J1713/I1713,"")</f>
        <v/>
      </c>
      <c r="L1713" s="4">
        <f>IFERROR((D1713-E1713)/E1713,"")</f>
        <v/>
      </c>
    </row>
    <row r="1714">
      <c r="A1714" t="inlineStr">
        <is>
          <t>2026-06-19</t>
        </is>
      </c>
      <c r="B1714" t="inlineStr">
        <is>
          <t>588240</t>
        </is>
      </c>
      <c r="C1714" t="inlineStr">
        <is>
          <t>科创200ETF鹏华</t>
        </is>
      </c>
      <c r="D1714" t="n">
        <v>10463.3</v>
      </c>
      <c r="E1714" t="n">
        <v>10763.3</v>
      </c>
      <c r="F1714" t="n">
        <v>2.021</v>
      </c>
      <c r="G1714" t="n">
        <v>-300</v>
      </c>
      <c r="H1714" t="n">
        <v>2.175263</v>
      </c>
      <c r="I1714" t="n">
        <v>2.128981</v>
      </c>
      <c r="J1714" t="n">
        <v>0.046282</v>
      </c>
      <c r="K1714" s="4">
        <f>IFERROR(J1714/I1714,"")</f>
        <v/>
      </c>
      <c r="L1714" s="4">
        <f>IFERROR((D1714-E1714)/E1714,"")</f>
        <v/>
      </c>
    </row>
    <row r="1715">
      <c r="A1715" t="inlineStr">
        <is>
          <t>2026-06-19</t>
        </is>
      </c>
      <c r="B1715" t="inlineStr">
        <is>
          <t>588250</t>
        </is>
      </c>
      <c r="C1715" t="inlineStr">
        <is>
          <t>科创医药ETF鹏华</t>
        </is>
      </c>
      <c r="D1715" t="n">
        <v>25567.5</v>
      </c>
      <c r="E1715" t="n">
        <v>25767.5</v>
      </c>
      <c r="F1715" t="n">
        <v>0.949</v>
      </c>
      <c r="G1715" t="n">
        <v>-200</v>
      </c>
      <c r="H1715" t="n">
        <v>2.445336</v>
      </c>
      <c r="I1715" t="n">
        <v>2.409261</v>
      </c>
      <c r="J1715" t="n">
        <v>0.036075</v>
      </c>
      <c r="K1715" s="4">
        <f>IFERROR(J1715/I1715,"")</f>
        <v/>
      </c>
      <c r="L1715" s="4">
        <f>IFERROR((D1715-E1715)/E1715,"")</f>
        <v/>
      </c>
    </row>
    <row r="1716">
      <c r="A1716" t="inlineStr">
        <is>
          <t>2026-06-19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2.959</v>
      </c>
      <c r="G1716" t="n">
        <v>0</v>
      </c>
      <c r="H1716" t="n">
        <v>1.383214</v>
      </c>
      <c r="I1716" t="n">
        <v>1.322444</v>
      </c>
      <c r="J1716" t="n">
        <v>0.06077</v>
      </c>
      <c r="K1716" s="4">
        <f>IFERROR(J1716/I1716,"")</f>
        <v/>
      </c>
      <c r="L1716" s="4">
        <f>IFERROR((D1716-E1716)/E1716,"")</f>
        <v/>
      </c>
    </row>
    <row r="1717">
      <c r="A1717" t="inlineStr">
        <is>
          <t>2026-06-19</t>
        </is>
      </c>
      <c r="B1717" t="inlineStr">
        <is>
          <t>588270</t>
        </is>
      </c>
      <c r="C1717" t="inlineStr">
        <is>
          <t>科创200ETF易方达</t>
        </is>
      </c>
      <c r="D1717" t="n">
        <v>28341</v>
      </c>
      <c r="E1717" t="n">
        <v>28641</v>
      </c>
      <c r="F1717" t="n">
        <v>2.044</v>
      </c>
      <c r="G1717" t="n">
        <v>-300</v>
      </c>
      <c r="H1717" t="n">
        <v>5.85422</v>
      </c>
      <c r="I1717" t="n">
        <v>5.77373</v>
      </c>
      <c r="J1717" t="n">
        <v>0.08049000000000001</v>
      </c>
      <c r="K1717" s="4">
        <f>IFERROR(J1717/I1717,"")</f>
        <v/>
      </c>
      <c r="L1717" s="4">
        <f>IFERROR((D1717-E1717)/E1717,"")</f>
        <v/>
      </c>
    </row>
    <row r="1718">
      <c r="A1718" t="inlineStr">
        <is>
          <t>2026-06-19</t>
        </is>
      </c>
      <c r="B1718" t="inlineStr">
        <is>
          <t>588280</t>
        </is>
      </c>
      <c r="C1718" t="inlineStr">
        <is>
          <t>科创50ETF华安</t>
        </is>
      </c>
      <c r="D1718" t="n">
        <v>25612.1</v>
      </c>
      <c r="E1718" t="n">
        <v>26012.1</v>
      </c>
      <c r="F1718" t="n">
        <v>1.377</v>
      </c>
      <c r="G1718" t="n">
        <v>-400</v>
      </c>
      <c r="H1718" t="n">
        <v>3.581866</v>
      </c>
      <c r="I1718" t="n">
        <v>3.489038</v>
      </c>
      <c r="J1718" t="n">
        <v>0.09282799999999999</v>
      </c>
      <c r="K1718" s="4">
        <f>IFERROR(J1718/I1718,"")</f>
        <v/>
      </c>
      <c r="L1718" s="4">
        <f>IFERROR((D1718-E1718)/E1718,"")</f>
        <v/>
      </c>
    </row>
    <row r="1719">
      <c r="A1719" t="inlineStr">
        <is>
          <t>2026-06-19</t>
        </is>
      </c>
      <c r="B1719" t="inlineStr">
        <is>
          <t>588290</t>
        </is>
      </c>
      <c r="C1719" t="inlineStr">
        <is>
          <t>科创芯片ETF华安</t>
        </is>
      </c>
      <c r="D1719" t="n">
        <v>116139.7</v>
      </c>
      <c r="E1719" t="n">
        <v>117889.7</v>
      </c>
      <c r="F1719" t="n">
        <v>4.031</v>
      </c>
      <c r="G1719" t="n">
        <v>-1750</v>
      </c>
      <c r="H1719" t="n">
        <v>47.521338</v>
      </c>
      <c r="I1719" t="n">
        <v>45.987924</v>
      </c>
      <c r="J1719" t="n">
        <v>1.533414</v>
      </c>
      <c r="K1719" s="4">
        <f>IFERROR(J1719/I1719,"")</f>
        <v/>
      </c>
      <c r="L1719" s="4">
        <f>IFERROR((D1719-E1719)/E1719,"")</f>
        <v/>
      </c>
    </row>
    <row r="1720">
      <c r="A1720" t="inlineStr">
        <is>
          <t>2026-06-19</t>
        </is>
      </c>
      <c r="B1720" t="inlineStr">
        <is>
          <t>588300</t>
        </is>
      </c>
      <c r="C1720" t="inlineStr">
        <is>
          <t>科创创业50ETF招商</t>
        </is>
      </c>
      <c r="D1720" t="n">
        <v>128521.05</v>
      </c>
      <c r="E1720" t="n">
        <v>129121.05</v>
      </c>
      <c r="F1720" t="n">
        <v>1.425</v>
      </c>
      <c r="G1720" t="n">
        <v>-600</v>
      </c>
      <c r="H1720" t="n">
        <v>18.39975</v>
      </c>
      <c r="I1720" t="n">
        <v>18.014737</v>
      </c>
      <c r="J1720" t="n">
        <v>0.385013</v>
      </c>
      <c r="K1720" s="4">
        <f>IFERROR(J1720/I1720,"")</f>
        <v/>
      </c>
      <c r="L1720" s="4">
        <f>IFERROR((D1720-E1720)/E1720,"")</f>
        <v/>
      </c>
    </row>
    <row r="1721">
      <c r="A1721" t="inlineStr">
        <is>
          <t>2026-06-19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2823.75</v>
      </c>
      <c r="E1721" t="n">
        <v>3063.75</v>
      </c>
      <c r="F1721" t="n">
        <v>1.489</v>
      </c>
      <c r="G1721" t="n">
        <v>-240</v>
      </c>
      <c r="H1721" t="n">
        <v>0.456192</v>
      </c>
      <c r="I1721" t="n">
        <v>0.439954</v>
      </c>
      <c r="J1721" t="n">
        <v>0.016238</v>
      </c>
      <c r="K1721" s="4">
        <f>IFERROR(J1721/I1721,"")</f>
        <v/>
      </c>
      <c r="L1721" s="4">
        <f>IFERROR((D1721-E1721)/E1721,"")</f>
        <v/>
      </c>
    </row>
    <row r="1722">
      <c r="A1722" t="inlineStr">
        <is>
          <t>2026-06-19</t>
        </is>
      </c>
      <c r="B1722" t="inlineStr">
        <is>
          <t>588320</t>
        </is>
      </c>
      <c r="C1722" t="inlineStr">
        <is>
          <t>双创50增强ETF广发</t>
        </is>
      </c>
      <c r="D1722" t="n">
        <v>4182.46</v>
      </c>
      <c r="E1722" t="n">
        <v>4182.46</v>
      </c>
      <c r="F1722" t="n">
        <v>2.183</v>
      </c>
      <c r="G1722" t="n">
        <v>0</v>
      </c>
      <c r="H1722" t="n">
        <v>0.913032</v>
      </c>
      <c r="I1722" t="n">
        <v>0.818035</v>
      </c>
      <c r="J1722" t="n">
        <v>0.094997</v>
      </c>
      <c r="K1722" s="4">
        <f>IFERROR(J1722/I1722,"")</f>
        <v/>
      </c>
      <c r="L1722" s="4">
        <f>IFERROR((D1722-E1722)/E1722,"")</f>
        <v/>
      </c>
    </row>
    <row r="1723">
      <c r="A1723" t="inlineStr">
        <is>
          <t>2026-06-19</t>
        </is>
      </c>
      <c r="B1723" t="inlineStr">
        <is>
          <t>588330</t>
        </is>
      </c>
      <c r="C1723" t="inlineStr">
        <is>
          <t>双创50ETF华宝</t>
        </is>
      </c>
      <c r="D1723" t="n">
        <v>92573.78</v>
      </c>
      <c r="E1723" t="n">
        <v>90373.78</v>
      </c>
      <c r="F1723" t="n">
        <v>1.413</v>
      </c>
      <c r="G1723" t="n">
        <v>2200</v>
      </c>
      <c r="H1723" t="n">
        <v>12.769815</v>
      </c>
      <c r="I1723" t="n">
        <v>11.963566</v>
      </c>
      <c r="J1723" t="n">
        <v>0.806249</v>
      </c>
      <c r="K1723" s="4">
        <f>IFERROR(J1723/I1723,"")</f>
        <v/>
      </c>
      <c r="L1723" s="4">
        <f>IFERROR((D1723-E1723)/E1723,"")</f>
        <v/>
      </c>
    </row>
    <row r="1724">
      <c r="A1724" t="inlineStr">
        <is>
          <t>2026-06-19</t>
        </is>
      </c>
      <c r="B1724" t="inlineStr">
        <is>
          <t>588350</t>
        </is>
      </c>
      <c r="C1724" t="inlineStr">
        <is>
          <t>科创创业50ETF鹏扬</t>
        </is>
      </c>
      <c r="D1724" t="n">
        <v>64054.6</v>
      </c>
      <c r="E1724" t="n">
        <v>66054.60000000001</v>
      </c>
      <c r="F1724" t="n">
        <v>2.146</v>
      </c>
      <c r="G1724" t="n">
        <v>-2000</v>
      </c>
      <c r="H1724" t="n">
        <v>14.175317</v>
      </c>
      <c r="I1724" t="n">
        <v>13.908251</v>
      </c>
      <c r="J1724" t="n">
        <v>0.267066</v>
      </c>
      <c r="K1724" s="4">
        <f>IFERROR(J1724/I1724,"")</f>
        <v/>
      </c>
      <c r="L1724" s="4">
        <f>IFERROR((D1724-E1724)/E1724,"")</f>
        <v/>
      </c>
    </row>
    <row r="1725">
      <c r="A1725" t="inlineStr">
        <is>
          <t>2026-06-19</t>
        </is>
      </c>
      <c r="B1725" t="inlineStr">
        <is>
          <t>588360</t>
        </is>
      </c>
      <c r="C1725" t="inlineStr">
        <is>
          <t>科创创业ETF国泰</t>
        </is>
      </c>
      <c r="D1725" t="n">
        <v>20508.18</v>
      </c>
      <c r="E1725" t="n">
        <v>21068.18</v>
      </c>
      <c r="F1725" t="n">
        <v>1.499</v>
      </c>
      <c r="G1725" t="n">
        <v>-560</v>
      </c>
      <c r="H1725" t="n">
        <v>3.15812</v>
      </c>
      <c r="I1725" t="n">
        <v>3.052779</v>
      </c>
      <c r="J1725" t="n">
        <v>0.105341</v>
      </c>
      <c r="K1725" s="4">
        <f>IFERROR(J1725/I1725,"")</f>
        <v/>
      </c>
      <c r="L1725" s="4">
        <f>IFERROR((D1725-E1725)/E1725,"")</f>
        <v/>
      </c>
    </row>
    <row r="1726">
      <c r="A1726" t="inlineStr">
        <is>
          <t>2026-06-19</t>
        </is>
      </c>
      <c r="B1726" t="inlineStr">
        <is>
          <t>588370</t>
        </is>
      </c>
      <c r="C1726" t="inlineStr">
        <is>
          <t>科创50增强ETF南方</t>
        </is>
      </c>
      <c r="D1726" t="n">
        <v>5827.2</v>
      </c>
      <c r="E1726" t="n">
        <v>5827.2</v>
      </c>
      <c r="F1726" t="n">
        <v>2.043</v>
      </c>
      <c r="G1726" t="n">
        <v>0</v>
      </c>
      <c r="H1726" t="n">
        <v>1.190497</v>
      </c>
      <c r="I1726" t="n">
        <v>1.195993</v>
      </c>
      <c r="J1726" t="n">
        <v>-0.005496</v>
      </c>
      <c r="K1726" s="4">
        <f>IFERROR(J1726/I1726,"")</f>
        <v/>
      </c>
      <c r="L1726" s="4">
        <f>IFERROR((D1726-E1726)/E1726,"")</f>
        <v/>
      </c>
    </row>
    <row r="1727">
      <c r="A1727" t="inlineStr">
        <is>
          <t>2026-06-19</t>
        </is>
      </c>
      <c r="B1727" t="inlineStr">
        <is>
          <t>588380</t>
        </is>
      </c>
      <c r="C1727" t="inlineStr">
        <is>
          <t>科创创业ETF富国</t>
        </is>
      </c>
      <c r="D1727" t="n">
        <v>227077</v>
      </c>
      <c r="E1727" t="n">
        <v>220177</v>
      </c>
      <c r="F1727" t="n">
        <v>1.411</v>
      </c>
      <c r="G1727" t="n">
        <v>6900</v>
      </c>
      <c r="H1727" t="n">
        <v>31.066975</v>
      </c>
      <c r="I1727" t="n">
        <v>30.337246</v>
      </c>
      <c r="J1727" t="n">
        <v>0.729729</v>
      </c>
      <c r="K1727" s="4">
        <f>IFERROR(J1727/I1727,"")</f>
        <v/>
      </c>
      <c r="L1727" s="4">
        <f>IFERROR((D1727-E1727)/E1727,"")</f>
        <v/>
      </c>
    </row>
    <row r="1728">
      <c r="A1728" t="inlineStr">
        <is>
          <t>2026-06-19</t>
        </is>
      </c>
      <c r="B1728" t="inlineStr">
        <is>
          <t>588390</t>
        </is>
      </c>
      <c r="C1728" t="inlineStr">
        <is>
          <t>科创创业ETF博时</t>
        </is>
      </c>
      <c r="D1728" t="n">
        <v>14093.59</v>
      </c>
      <c r="E1728" t="n">
        <v>14393.59</v>
      </c>
      <c r="F1728" t="n">
        <v>1.498</v>
      </c>
      <c r="G1728" t="n">
        <v>-300</v>
      </c>
      <c r="H1728" t="n">
        <v>2.156159</v>
      </c>
      <c r="I1728" t="n">
        <v>2.08707</v>
      </c>
      <c r="J1728" t="n">
        <v>0.069089</v>
      </c>
      <c r="K1728" s="4">
        <f>IFERROR(J1728/I1728,"")</f>
        <v/>
      </c>
      <c r="L1728" s="4">
        <f>IFERROR((D1728-E1728)/E1728,"")</f>
        <v/>
      </c>
    </row>
    <row r="1729">
      <c r="A1729" t="inlineStr">
        <is>
          <t>2026-06-19</t>
        </is>
      </c>
      <c r="B1729" t="inlineStr">
        <is>
          <t>588400</t>
        </is>
      </c>
      <c r="C1729" t="inlineStr">
        <is>
          <t>科创创业ETF嘉实</t>
        </is>
      </c>
      <c r="D1729" t="n">
        <v>117660.06</v>
      </c>
      <c r="E1729" t="n">
        <v>118860.06</v>
      </c>
      <c r="F1729" t="n">
        <v>1.395</v>
      </c>
      <c r="G1729" t="n">
        <v>-1200</v>
      </c>
      <c r="H1729" t="n">
        <v>16.580979</v>
      </c>
      <c r="I1729" t="n">
        <v>16.196103</v>
      </c>
      <c r="J1729" t="n">
        <v>0.384876</v>
      </c>
      <c r="K1729" s="4">
        <f>IFERROR(J1729/I1729,"")</f>
        <v/>
      </c>
      <c r="L1729" s="4">
        <f>IFERROR((D1729-E1729)/E1729,"")</f>
        <v/>
      </c>
    </row>
    <row r="1730">
      <c r="A1730" t="inlineStr">
        <is>
          <t>2026-06-19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10725</v>
      </c>
      <c r="E1730" t="n">
        <v>11125</v>
      </c>
      <c r="F1730" t="n">
        <v>1.479</v>
      </c>
      <c r="G1730" t="n">
        <v>-400</v>
      </c>
      <c r="H1730" t="n">
        <v>1.645388</v>
      </c>
      <c r="I1730" t="n">
        <v>1.4735</v>
      </c>
      <c r="J1730" t="n">
        <v>0.171888</v>
      </c>
      <c r="K1730" s="4">
        <f>IFERROR(J1730/I1730,"")</f>
        <v/>
      </c>
      <c r="L1730" s="4">
        <f>IFERROR((D1730-E1730)/E1730,"")</f>
        <v/>
      </c>
    </row>
    <row r="1731">
      <c r="A1731" t="inlineStr">
        <is>
          <t>2026-06-19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13164.8</v>
      </c>
      <c r="E1731" t="n">
        <v>13564.8</v>
      </c>
      <c r="F1731" t="n">
        <v>1.477</v>
      </c>
      <c r="G1731" t="n">
        <v>-400</v>
      </c>
      <c r="H1731" t="n">
        <v>2.003521</v>
      </c>
      <c r="I1731" t="n">
        <v>1.955072</v>
      </c>
      <c r="J1731" t="n">
        <v>0.048449</v>
      </c>
      <c r="K1731" s="4">
        <f>IFERROR(J1731/I1731,"")</f>
        <v/>
      </c>
      <c r="L1731" s="4">
        <f>IFERROR((D1731-E1731)/E1731,"")</f>
        <v/>
      </c>
    </row>
    <row r="1732">
      <c r="A1732" t="inlineStr">
        <is>
          <t>2026-06-19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9645.799999999999</v>
      </c>
      <c r="E1732" t="n">
        <v>10045.8</v>
      </c>
      <c r="F1732" t="n">
        <v>1.504</v>
      </c>
      <c r="G1732" t="n">
        <v>-400</v>
      </c>
      <c r="H1732" t="n">
        <v>1.510888</v>
      </c>
      <c r="I1732" t="n">
        <v>1.432531</v>
      </c>
      <c r="J1732" t="n">
        <v>0.078357</v>
      </c>
      <c r="K1732" s="4">
        <f>IFERROR(J1732/I1732,"")</f>
        <v/>
      </c>
      <c r="L1732" s="4">
        <f>IFERROR((D1732-E1732)/E1732,"")</f>
        <v/>
      </c>
    </row>
    <row r="1733">
      <c r="A1733" t="inlineStr">
        <is>
          <t>2026-06-19</t>
        </is>
      </c>
      <c r="B1733" t="inlineStr">
        <is>
          <t>588450</t>
        </is>
      </c>
      <c r="C1733" t="inlineStr">
        <is>
          <t>科创50增强ETF招商</t>
        </is>
      </c>
      <c r="D1733" t="n">
        <v>4556.87</v>
      </c>
      <c r="E1733" t="n">
        <v>4556.87</v>
      </c>
      <c r="F1733" t="n">
        <v>2.499</v>
      </c>
      <c r="G1733" t="n">
        <v>0</v>
      </c>
      <c r="H1733" t="n">
        <v>1.138763</v>
      </c>
      <c r="I1733" t="n">
        <v>1.094561</v>
      </c>
      <c r="J1733" t="n">
        <v>0.044202</v>
      </c>
      <c r="K1733" s="4">
        <f>IFERROR(J1733/I1733,"")</f>
        <v/>
      </c>
      <c r="L1733" s="4">
        <f>IFERROR((D1733-E1733)/E1733,"")</f>
        <v/>
      </c>
    </row>
    <row r="1734">
      <c r="A1734" t="inlineStr">
        <is>
          <t>2026-06-19</t>
        </is>
      </c>
      <c r="B1734" t="inlineStr">
        <is>
          <t>588460</t>
        </is>
      </c>
      <c r="C1734" t="inlineStr">
        <is>
          <t>科创50增强ETF鹏华</t>
        </is>
      </c>
      <c r="D1734" t="n">
        <v>61801.4</v>
      </c>
      <c r="E1734" t="n">
        <v>64051.4</v>
      </c>
      <c r="F1734" t="n">
        <v>2.381</v>
      </c>
      <c r="G1734" t="n">
        <v>-2250</v>
      </c>
      <c r="H1734" t="n">
        <v>15.250638</v>
      </c>
      <c r="I1734" t="n">
        <v>14.976921</v>
      </c>
      <c r="J1734" t="n">
        <v>0.273717</v>
      </c>
      <c r="K1734" s="4">
        <f>IFERROR(J1734/I1734,"")</f>
        <v/>
      </c>
      <c r="L1734" s="4">
        <f>IFERROR((D1734-E1734)/E1734,"")</f>
        <v/>
      </c>
    </row>
    <row r="1735">
      <c r="A1735" t="inlineStr">
        <is>
          <t>2026-06-19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40990.7</v>
      </c>
      <c r="E1735" t="n">
        <v>51490.7</v>
      </c>
      <c r="F1735" t="n">
        <v>1.043</v>
      </c>
      <c r="G1735" t="n">
        <v>-10500</v>
      </c>
      <c r="H1735" t="n">
        <v>5.37048</v>
      </c>
      <c r="I1735" t="n">
        <v>5.251378</v>
      </c>
      <c r="J1735" t="n">
        <v>0.119102</v>
      </c>
      <c r="K1735" s="4">
        <f>IFERROR(J1735/I1735,"")</f>
        <v/>
      </c>
      <c r="L1735" s="4">
        <f>IFERROR((D1735-E1735)/E1735,"")</f>
        <v/>
      </c>
    </row>
    <row r="1736">
      <c r="A1736" t="inlineStr">
        <is>
          <t>2026-06-19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19371.7</v>
      </c>
      <c r="E1736" t="n">
        <v>23371.7</v>
      </c>
      <c r="F1736" t="n">
        <v>1.109</v>
      </c>
      <c r="G1736" t="n">
        <v>-4000</v>
      </c>
      <c r="H1736" t="n">
        <v>2.591922</v>
      </c>
      <c r="I1736" t="n">
        <v>2.6927</v>
      </c>
      <c r="J1736" t="n">
        <v>-0.100778</v>
      </c>
      <c r="K1736" s="4">
        <f>IFERROR(J1736/I1736,"")</f>
        <v/>
      </c>
      <c r="L1736" s="4">
        <f>IFERROR((D1736-E1736)/E1736,"")</f>
        <v/>
      </c>
    </row>
    <row r="1737">
      <c r="A1737" t="inlineStr">
        <is>
          <t>2026-06-19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4164.7</v>
      </c>
      <c r="E1737" t="n">
        <v>4264.7</v>
      </c>
      <c r="F1737" t="n">
        <v>3.006</v>
      </c>
      <c r="G1737" t="n">
        <v>-100</v>
      </c>
      <c r="H1737" t="n">
        <v>1.281969</v>
      </c>
      <c r="I1737" t="n">
        <v>1.230669</v>
      </c>
      <c r="J1737" t="n">
        <v>0.0513</v>
      </c>
      <c r="K1737" s="4">
        <f>IFERROR(J1737/I1737,"")</f>
        <v/>
      </c>
      <c r="L1737" s="4">
        <f>IFERROR((D1737-E1737)/E1737,"")</f>
        <v/>
      </c>
    </row>
    <row r="1738">
      <c r="A1738" t="inlineStr">
        <is>
          <t>2026-06-19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29917.5</v>
      </c>
      <c r="E1738" t="n">
        <v>34717.5</v>
      </c>
      <c r="F1738" t="n">
        <v>1.047</v>
      </c>
      <c r="G1738" t="n">
        <v>-4800</v>
      </c>
      <c r="H1738" t="n">
        <v>3.634922</v>
      </c>
      <c r="I1738" t="n">
        <v>3.573791</v>
      </c>
      <c r="J1738" t="n">
        <v>0.061131</v>
      </c>
      <c r="K1738" s="4">
        <f>IFERROR(J1738/I1738,"")</f>
        <v/>
      </c>
      <c r="L1738" s="4">
        <f>IFERROR((D1738-E1738)/E1738,"")</f>
        <v/>
      </c>
    </row>
    <row r="1739">
      <c r="A1739" t="inlineStr">
        <is>
          <t>2026-06-19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1.579</v>
      </c>
      <c r="G1739" t="n">
        <v>0</v>
      </c>
      <c r="H1739" t="n">
        <v>0.204591</v>
      </c>
      <c r="I1739" t="n">
        <v>0.26046</v>
      </c>
      <c r="J1739" t="n">
        <v>-0.055869</v>
      </c>
      <c r="K1739" s="4">
        <f>IFERROR(J1739/I1739,"")</f>
        <v/>
      </c>
      <c r="L1739" s="4">
        <f>IFERROR((D1739-E1739)/E1739,"")</f>
        <v/>
      </c>
    </row>
    <row r="1740">
      <c r="A1740" t="inlineStr">
        <is>
          <t>2026-06-19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5129</v>
      </c>
      <c r="E1740" t="n">
        <v>5529</v>
      </c>
      <c r="F1740" t="n">
        <v>1.658</v>
      </c>
      <c r="G1740" t="n">
        <v>-400</v>
      </c>
      <c r="H1740" t="n">
        <v>0.916708</v>
      </c>
      <c r="I1740" t="n">
        <v>0.87137</v>
      </c>
      <c r="J1740" t="n">
        <v>0.045338</v>
      </c>
      <c r="K1740" s="4">
        <f>IFERROR(J1740/I1740,"")</f>
        <v/>
      </c>
      <c r="L1740" s="4">
        <f>IFERROR((D1740-E1740)/E1740,"")</f>
        <v/>
      </c>
    </row>
    <row r="1741">
      <c r="A1741" t="inlineStr">
        <is>
          <t>2026-06-19</t>
        </is>
      </c>
      <c r="B1741" t="inlineStr">
        <is>
          <t>588660</t>
        </is>
      </c>
      <c r="C1741" t="inlineStr">
        <is>
          <t>科创创业50ETF兴银</t>
        </is>
      </c>
      <c r="D1741" t="n">
        <v>2934.4</v>
      </c>
      <c r="E1741" t="n">
        <v>2934.4</v>
      </c>
      <c r="F1741" t="n">
        <v>2.311</v>
      </c>
      <c r="G1741" t="n">
        <v>0</v>
      </c>
      <c r="H1741" t="n">
        <v>0.67814</v>
      </c>
      <c r="I1741" t="n">
        <v>0.6537849999999999</v>
      </c>
      <c r="J1741" t="n">
        <v>0.024355</v>
      </c>
      <c r="K1741" s="4">
        <f>IFERROR(J1741/I1741,"")</f>
        <v/>
      </c>
      <c r="L1741" s="4">
        <f>IFERROR((D1741-E1741)/E1741,"")</f>
        <v/>
      </c>
    </row>
    <row r="1742">
      <c r="A1742" t="inlineStr">
        <is>
          <t>2026-06-19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4179.2</v>
      </c>
      <c r="E1742" t="n">
        <v>4179.2</v>
      </c>
      <c r="F1742" t="n">
        <v>2.07</v>
      </c>
      <c r="G1742" t="n">
        <v>0</v>
      </c>
      <c r="H1742" t="n">
        <v>0.865094</v>
      </c>
      <c r="I1742" t="n">
        <v>0.834168</v>
      </c>
      <c r="J1742" t="n">
        <v>0.030926</v>
      </c>
      <c r="K1742" s="4">
        <f>IFERROR(J1742/I1742,"")</f>
        <v/>
      </c>
      <c r="L1742" s="4">
        <f>IFERROR((D1742-E1742)/E1742,"")</f>
        <v/>
      </c>
    </row>
    <row r="1743">
      <c r="A1743" t="inlineStr">
        <is>
          <t>2026-06-19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2.826</v>
      </c>
      <c r="G1743" t="n">
        <v>0</v>
      </c>
      <c r="H1743" t="n">
        <v>0.999302</v>
      </c>
      <c r="I1743" t="n">
        <v>0.9826820000000001</v>
      </c>
      <c r="J1743" t="n">
        <v>0.01662</v>
      </c>
      <c r="K1743" s="4">
        <f>IFERROR(J1743/I1743,"")</f>
        <v/>
      </c>
      <c r="L1743" s="4">
        <f>IFERROR((D1743-E1743)/E1743,"")</f>
        <v/>
      </c>
    </row>
    <row r="1744">
      <c r="A1744" t="inlineStr">
        <is>
          <t>2026-06-19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1.42</v>
      </c>
      <c r="G1744" t="n">
        <v>0</v>
      </c>
      <c r="H1744" t="n">
        <v>0.733231</v>
      </c>
      <c r="I1744" t="n">
        <v>0.709479</v>
      </c>
      <c r="J1744" t="n">
        <v>0.023752</v>
      </c>
      <c r="K1744" s="4">
        <f>IFERROR(J1744/I1744,"")</f>
        <v/>
      </c>
      <c r="L1744" s="4">
        <f>IFERROR((D1744-E1744)/E1744,"")</f>
        <v/>
      </c>
    </row>
    <row r="1745">
      <c r="A1745" t="inlineStr">
        <is>
          <t>2026-06-19</t>
        </is>
      </c>
      <c r="B1745" t="inlineStr">
        <is>
          <t>588700</t>
        </is>
      </c>
      <c r="C1745" t="inlineStr">
        <is>
          <t>科创医药ETF嘉实</t>
        </is>
      </c>
      <c r="D1745" t="n">
        <v>40783.62</v>
      </c>
      <c r="E1745" t="n">
        <v>41283.62</v>
      </c>
      <c r="F1745" t="n">
        <v>0.91</v>
      </c>
      <c r="G1745" t="n">
        <v>-500</v>
      </c>
      <c r="H1745" t="n">
        <v>3.756809</v>
      </c>
      <c r="I1745" t="n">
        <v>3.721412</v>
      </c>
      <c r="J1745" t="n">
        <v>0.035397</v>
      </c>
      <c r="K1745" s="4">
        <f>IFERROR(J1745/I1745,"")</f>
        <v/>
      </c>
      <c r="L1745" s="4">
        <f>IFERROR((D1745-E1745)/E1745,"")</f>
        <v/>
      </c>
    </row>
    <row r="1746">
      <c r="A1746" t="inlineStr">
        <is>
          <t>2026-06-19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85229.5</v>
      </c>
      <c r="E1746" t="n">
        <v>78629.5</v>
      </c>
      <c r="F1746" t="n">
        <v>3.213</v>
      </c>
      <c r="G1746" t="n">
        <v>6600</v>
      </c>
      <c r="H1746" t="n">
        <v>25.263658</v>
      </c>
      <c r="I1746" t="n">
        <v>24.609688</v>
      </c>
      <c r="J1746" t="n">
        <v>0.6539700000000001</v>
      </c>
      <c r="K1746" s="4">
        <f>IFERROR(J1746/I1746,"")</f>
        <v/>
      </c>
      <c r="L1746" s="4">
        <f>IFERROR((D1746-E1746)/E1746,"")</f>
        <v/>
      </c>
    </row>
    <row r="1747">
      <c r="A1747" t="inlineStr">
        <is>
          <t>2026-06-19</t>
        </is>
      </c>
      <c r="B1747" t="inlineStr">
        <is>
          <t>588720</t>
        </is>
      </c>
      <c r="C1747" t="inlineStr">
        <is>
          <t>科创50ETF中银</t>
        </is>
      </c>
      <c r="D1747" t="n">
        <v>8974.18</v>
      </c>
      <c r="E1747" t="n">
        <v>9224.18</v>
      </c>
      <c r="F1747" t="n">
        <v>1.923</v>
      </c>
      <c r="G1747" t="n">
        <v>-250</v>
      </c>
      <c r="H1747" t="n">
        <v>1.77381</v>
      </c>
      <c r="I1747" t="n">
        <v>1.707396</v>
      </c>
      <c r="J1747" t="n">
        <v>0.066414</v>
      </c>
      <c r="K1747" s="4">
        <f>IFERROR(J1747/I1747,"")</f>
        <v/>
      </c>
      <c r="L1747" s="4">
        <f>IFERROR((D1747-E1747)/E1747,"")</f>
        <v/>
      </c>
    </row>
    <row r="1748">
      <c r="A1748" t="inlineStr">
        <is>
          <t>2026-06-19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65739.63</v>
      </c>
      <c r="E1748" t="n">
        <v>67139.63</v>
      </c>
      <c r="F1748" t="n">
        <v>1.79</v>
      </c>
      <c r="G1748" t="n">
        <v>-1400</v>
      </c>
      <c r="H1748" t="n">
        <v>12.017994</v>
      </c>
      <c r="I1748" t="n">
        <v>11.416209</v>
      </c>
      <c r="J1748" t="n">
        <v>0.601785</v>
      </c>
      <c r="K1748" s="4">
        <f>IFERROR(J1748/I1748,"")</f>
        <v/>
      </c>
      <c r="L1748" s="4">
        <f>IFERROR((D1748-E1748)/E1748,"")</f>
        <v/>
      </c>
    </row>
    <row r="1749">
      <c r="A1749" t="inlineStr">
        <is>
          <t>2026-06-19</t>
        </is>
      </c>
      <c r="B1749" t="inlineStr">
        <is>
          <t>588750</t>
        </is>
      </c>
      <c r="C1749" t="inlineStr">
        <is>
          <t>科创芯片ETF汇添富</t>
        </is>
      </c>
      <c r="D1749" t="n">
        <v>213122.8</v>
      </c>
      <c r="E1749" t="n">
        <v>216422.8</v>
      </c>
      <c r="F1749" t="n">
        <v>2.749</v>
      </c>
      <c r="G1749" t="n">
        <v>-3300</v>
      </c>
      <c r="H1749" t="n">
        <v>59.494628</v>
      </c>
      <c r="I1749" t="n">
        <v>58.373872</v>
      </c>
      <c r="J1749" t="n">
        <v>1.120756</v>
      </c>
      <c r="K1749" s="4">
        <f>IFERROR(J1749/I1749,"")</f>
        <v/>
      </c>
      <c r="L1749" s="4">
        <f>IFERROR((D1749-E1749)/E1749,"")</f>
        <v/>
      </c>
    </row>
    <row r="1750">
      <c r="A1750" t="inlineStr">
        <is>
          <t>2026-06-19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222753.2</v>
      </c>
      <c r="E1750" t="n">
        <v>223653.2</v>
      </c>
      <c r="F1750" t="n">
        <v>0.909</v>
      </c>
      <c r="G1750" t="n">
        <v>-900</v>
      </c>
      <c r="H1750" t="n">
        <v>20.330076</v>
      </c>
      <c r="I1750" t="n">
        <v>19.387058</v>
      </c>
      <c r="J1750" t="n">
        <v>0.943018</v>
      </c>
      <c r="K1750" s="4">
        <f>IFERROR(J1750/I1750,"")</f>
        <v/>
      </c>
      <c r="L1750" s="4">
        <f>IFERROR((D1750-E1750)/E1750,"")</f>
        <v/>
      </c>
    </row>
    <row r="1751">
      <c r="A1751" t="inlineStr">
        <is>
          <t>2026-06-19</t>
        </is>
      </c>
      <c r="B1751" t="inlineStr">
        <is>
          <t>588770</t>
        </is>
      </c>
      <c r="C1751" t="inlineStr">
        <is>
          <t>科创信息ETF摩根</t>
        </is>
      </c>
      <c r="D1751" t="n">
        <v>29059.71</v>
      </c>
      <c r="E1751" t="n">
        <v>29359.71</v>
      </c>
      <c r="F1751" t="n">
        <v>2.154</v>
      </c>
      <c r="G1751" t="n">
        <v>-300</v>
      </c>
      <c r="H1751" t="n">
        <v>6.324081</v>
      </c>
      <c r="I1751" t="n">
        <v>6.068651</v>
      </c>
      <c r="J1751" t="n">
        <v>0.25543</v>
      </c>
      <c r="K1751" s="4">
        <f>IFERROR(J1751/I1751,"")</f>
        <v/>
      </c>
      <c r="L1751" s="4">
        <f>IFERROR((D1751-E1751)/E1751,"")</f>
        <v/>
      </c>
    </row>
    <row r="1752">
      <c r="A1752" t="inlineStr">
        <is>
          <t>2026-06-19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82390.2</v>
      </c>
      <c r="E1752" t="n">
        <v>80390.2</v>
      </c>
      <c r="F1752" t="n">
        <v>1.222</v>
      </c>
      <c r="G1752" t="n">
        <v>2000</v>
      </c>
      <c r="H1752" t="n">
        <v>9.823682</v>
      </c>
      <c r="I1752" t="n">
        <v>9.716614999999999</v>
      </c>
      <c r="J1752" t="n">
        <v>0.107067</v>
      </c>
      <c r="K1752" s="4">
        <f>IFERROR(J1752/I1752,"")</f>
        <v/>
      </c>
      <c r="L1752" s="4">
        <f>IFERROR((D1752-E1752)/E1752,"")</f>
        <v/>
      </c>
    </row>
    <row r="1753">
      <c r="A1753" t="inlineStr">
        <is>
          <t>2026-06-19</t>
        </is>
      </c>
      <c r="B1753" t="inlineStr">
        <is>
          <t>588790</t>
        </is>
      </c>
      <c r="C1753" t="inlineStr">
        <is>
          <t>科创AIETF博时</t>
        </is>
      </c>
      <c r="D1753" t="n">
        <v>306438.4</v>
      </c>
      <c r="E1753" t="n">
        <v>313938.4</v>
      </c>
      <c r="F1753" t="n">
        <v>0.958</v>
      </c>
      <c r="G1753" t="n">
        <v>-7500</v>
      </c>
      <c r="H1753" t="n">
        <v>30.075299</v>
      </c>
      <c r="I1753" t="n">
        <v>28.564397</v>
      </c>
      <c r="J1753" t="n">
        <v>1.510902</v>
      </c>
      <c r="K1753" s="4">
        <f>IFERROR(J1753/I1753,"")</f>
        <v/>
      </c>
      <c r="L1753" s="4">
        <f>IFERROR((D1753-E1753)/E1753,"")</f>
        <v/>
      </c>
    </row>
    <row r="1754">
      <c r="A1754" t="inlineStr">
        <is>
          <t>2026-06-19</t>
        </is>
      </c>
      <c r="B1754" t="inlineStr">
        <is>
          <t>588800</t>
        </is>
      </c>
      <c r="C1754" t="inlineStr">
        <is>
          <t>科创100ETF华夏</t>
        </is>
      </c>
      <c r="D1754" t="n">
        <v>142987.7</v>
      </c>
      <c r="E1754" t="n">
        <v>138737.7</v>
      </c>
      <c r="F1754" t="n">
        <v>2.013</v>
      </c>
      <c r="G1754" t="n">
        <v>4250</v>
      </c>
      <c r="H1754" t="n">
        <v>27.927899</v>
      </c>
      <c r="I1754" t="n">
        <v>27.338881</v>
      </c>
      <c r="J1754" t="n">
        <v>0.589018</v>
      </c>
      <c r="K1754" s="4">
        <f>IFERROR(J1754/I1754,"")</f>
        <v/>
      </c>
      <c r="L1754" s="4">
        <f>IFERROR((D1754-E1754)/E1754,"")</f>
        <v/>
      </c>
    </row>
    <row r="1755">
      <c r="A1755" t="inlineStr">
        <is>
          <t>2026-06-19</t>
        </is>
      </c>
      <c r="B1755" t="inlineStr">
        <is>
          <t>588810</t>
        </is>
      </c>
      <c r="C1755" t="inlineStr">
        <is>
          <t>科创芯片ETF富国</t>
        </is>
      </c>
      <c r="D1755" t="n">
        <v>40232.4</v>
      </c>
      <c r="E1755" t="n">
        <v>41432.4</v>
      </c>
      <c r="F1755" t="n">
        <v>2.929</v>
      </c>
      <c r="G1755" t="n">
        <v>-1200</v>
      </c>
      <c r="H1755" t="n">
        <v>12.13555</v>
      </c>
      <c r="I1755" t="n">
        <v>11.853072</v>
      </c>
      <c r="J1755" t="n">
        <v>0.282478</v>
      </c>
      <c r="K1755" s="4">
        <f>IFERROR(J1755/I1755,"")</f>
        <v/>
      </c>
      <c r="L1755" s="4">
        <f>IFERROR((D1755-E1755)/E1755,"")</f>
        <v/>
      </c>
    </row>
    <row r="1756">
      <c r="A1756" t="inlineStr">
        <is>
          <t>2026-06-19</t>
        </is>
      </c>
      <c r="B1756" t="inlineStr">
        <is>
          <t>588820</t>
        </is>
      </c>
      <c r="C1756" t="inlineStr">
        <is>
          <t>科创200ETF华夏</t>
        </is>
      </c>
      <c r="D1756" t="n">
        <v>15440</v>
      </c>
      <c r="E1756" t="n">
        <v>15440</v>
      </c>
      <c r="F1756" t="n">
        <v>2.338</v>
      </c>
      <c r="G1756" t="n">
        <v>0</v>
      </c>
      <c r="H1756" t="n">
        <v>3.609872</v>
      </c>
      <c r="I1756" t="n">
        <v>3.631218</v>
      </c>
      <c r="J1756" t="n">
        <v>-0.021346</v>
      </c>
      <c r="K1756" s="4">
        <f>IFERROR(J1756/I1756,"")</f>
        <v/>
      </c>
      <c r="L1756" s="4">
        <f>IFERROR((D1756-E1756)/E1756,"")</f>
        <v/>
      </c>
    </row>
    <row r="1757">
      <c r="A1757" t="inlineStr">
        <is>
          <t>2026-06-19</t>
        </is>
      </c>
      <c r="B1757" t="inlineStr">
        <is>
          <t>588830</t>
        </is>
      </c>
      <c r="C1757" t="inlineStr">
        <is>
          <t>科创新能源ETF鹏华</t>
        </is>
      </c>
      <c r="D1757" t="n">
        <v>63784.79</v>
      </c>
      <c r="E1757" t="n">
        <v>63084.79</v>
      </c>
      <c r="F1757" t="n">
        <v>1.601</v>
      </c>
      <c r="G1757" t="n">
        <v>700</v>
      </c>
      <c r="H1757" t="n">
        <v>10.099875</v>
      </c>
      <c r="I1757" t="n">
        <v>9.838723999999999</v>
      </c>
      <c r="J1757" t="n">
        <v>0.261151</v>
      </c>
      <c r="K1757" s="4">
        <f>IFERROR(J1757/I1757,"")</f>
        <v/>
      </c>
      <c r="L1757" s="4">
        <f>IFERROR((D1757-E1757)/E1757,"")</f>
        <v/>
      </c>
    </row>
    <row r="1758">
      <c r="A1758" t="inlineStr">
        <is>
          <t>2026-06-19</t>
        </is>
      </c>
      <c r="B1758" t="inlineStr">
        <is>
          <t>588840</t>
        </is>
      </c>
      <c r="C1758" t="inlineStr">
        <is>
          <t>科创50ETF万家</t>
        </is>
      </c>
      <c r="D1758" t="n">
        <v>3123.6</v>
      </c>
      <c r="E1758" t="n">
        <v>3123.6</v>
      </c>
      <c r="F1758" t="n">
        <v>1.771</v>
      </c>
      <c r="G1758" t="n">
        <v>0</v>
      </c>
      <c r="H1758" t="n">
        <v>0.55319</v>
      </c>
      <c r="I1758" t="n">
        <v>0.5303870000000001</v>
      </c>
      <c r="J1758" t="n">
        <v>0.022803</v>
      </c>
      <c r="K1758" s="4">
        <f>IFERROR(J1758/I1758,"")</f>
        <v/>
      </c>
      <c r="L1758" s="4">
        <f>IFERROR((D1758-E1758)/E1758,"")</f>
        <v/>
      </c>
    </row>
    <row r="1759">
      <c r="A1759" t="inlineStr">
        <is>
          <t>2026-06-19</t>
        </is>
      </c>
      <c r="B1759" t="inlineStr">
        <is>
          <t>588850</t>
        </is>
      </c>
      <c r="C1759" t="inlineStr">
        <is>
          <t>科创机械ETF嘉实</t>
        </is>
      </c>
      <c r="D1759" t="n">
        <v>8877.9</v>
      </c>
      <c r="E1759" t="n">
        <v>8277.9</v>
      </c>
      <c r="F1759" t="n">
        <v>2.283</v>
      </c>
      <c r="G1759" t="n">
        <v>600</v>
      </c>
      <c r="H1759" t="n">
        <v>1.889845</v>
      </c>
      <c r="I1759" t="n">
        <v>1.679157</v>
      </c>
      <c r="J1759" t="n">
        <v>0.210688</v>
      </c>
      <c r="K1759" s="4">
        <f>IFERROR(J1759/I1759,"")</f>
        <v/>
      </c>
      <c r="L1759" s="4">
        <f>IFERROR((D1759-E1759)/E1759,"")</f>
        <v/>
      </c>
    </row>
    <row r="1760">
      <c r="A1760" t="inlineStr">
        <is>
          <t>2026-06-19</t>
        </is>
      </c>
      <c r="B1760" t="inlineStr">
        <is>
          <t>588860</t>
        </is>
      </c>
      <c r="C1760" t="inlineStr">
        <is>
          <t>科创医药ETF工银</t>
        </is>
      </c>
      <c r="D1760" t="n">
        <v>38088.94</v>
      </c>
      <c r="E1760" t="n">
        <v>38888.94</v>
      </c>
      <c r="F1760" t="n">
        <v>0.607</v>
      </c>
      <c r="G1760" t="n">
        <v>-800</v>
      </c>
      <c r="H1760" t="n">
        <v>2.360559</v>
      </c>
      <c r="I1760" t="n">
        <v>2.325559</v>
      </c>
      <c r="J1760" t="n">
        <v>0.035</v>
      </c>
      <c r="K1760" s="4">
        <f>IFERROR(J1760/I1760,"")</f>
        <v/>
      </c>
      <c r="L1760" s="4">
        <f>IFERROR((D1760-E1760)/E1760,"")</f>
        <v/>
      </c>
    </row>
    <row r="1761">
      <c r="A1761" t="inlineStr">
        <is>
          <t>2026-06-19</t>
        </is>
      </c>
      <c r="B1761" t="inlineStr">
        <is>
          <t>588870</t>
        </is>
      </c>
      <c r="C1761" t="inlineStr">
        <is>
          <t>科创50ETF汇添富</t>
        </is>
      </c>
      <c r="D1761" t="n">
        <v>24555.2</v>
      </c>
      <c r="E1761" t="n">
        <v>25755.2</v>
      </c>
      <c r="F1761" t="n">
        <v>1.937</v>
      </c>
      <c r="G1761" t="n">
        <v>-1200</v>
      </c>
      <c r="H1761" t="n">
        <v>4.988782</v>
      </c>
      <c r="I1761" t="n">
        <v>5.083095</v>
      </c>
      <c r="J1761" t="n">
        <v>-0.09431299999999999</v>
      </c>
      <c r="K1761" s="4">
        <f>IFERROR(J1761/I1761,"")</f>
        <v/>
      </c>
      <c r="L1761" s="4">
        <f>IFERROR((D1761-E1761)/E1761,"")</f>
        <v/>
      </c>
    </row>
    <row r="1762">
      <c r="A1762" t="inlineStr">
        <is>
          <t>2026-06-19</t>
        </is>
      </c>
      <c r="B1762" t="inlineStr">
        <is>
          <t>588880</t>
        </is>
      </c>
      <c r="C1762" t="inlineStr">
        <is>
          <t>科创100ETF华泰柏瑞</t>
        </is>
      </c>
      <c r="D1762" t="n">
        <v>9936.799999999999</v>
      </c>
      <c r="E1762" t="n">
        <v>9936.799999999999</v>
      </c>
      <c r="F1762" t="n">
        <v>2.007</v>
      </c>
      <c r="G1762" t="n">
        <v>0</v>
      </c>
      <c r="H1762" t="n">
        <v>1.994316</v>
      </c>
      <c r="I1762" t="n">
        <v>1.9496</v>
      </c>
      <c r="J1762" t="n">
        <v>0.044716</v>
      </c>
      <c r="K1762" s="4">
        <f>IFERROR(J1762/I1762,"")</f>
        <v/>
      </c>
      <c r="L1762" s="4">
        <f>IFERROR((D1762-E1762)/E1762,"")</f>
        <v/>
      </c>
    </row>
    <row r="1763">
      <c r="A1763" t="inlineStr">
        <is>
          <t>2026-06-19</t>
        </is>
      </c>
      <c r="B1763" t="inlineStr">
        <is>
          <t>588890</t>
        </is>
      </c>
      <c r="C1763" t="inlineStr">
        <is>
          <t>科创芯片ETF南方</t>
        </is>
      </c>
      <c r="D1763" t="n">
        <v>79481</v>
      </c>
      <c r="E1763" t="n">
        <v>80381</v>
      </c>
      <c r="F1763" t="n">
        <v>4.656</v>
      </c>
      <c r="G1763" t="n">
        <v>-900</v>
      </c>
      <c r="H1763" t="n">
        <v>37.425394</v>
      </c>
      <c r="I1763" t="n">
        <v>36.90458</v>
      </c>
      <c r="J1763" t="n">
        <v>0.520814</v>
      </c>
      <c r="K1763" s="4">
        <f>IFERROR(J1763/I1763,"")</f>
        <v/>
      </c>
      <c r="L1763" s="4">
        <f>IFERROR((D1763-E1763)/E1763,"")</f>
        <v/>
      </c>
    </row>
    <row r="1764">
      <c r="A1764" t="inlineStr">
        <is>
          <t>2026-06-19</t>
        </is>
      </c>
      <c r="B1764" t="inlineStr">
        <is>
          <t>588900</t>
        </is>
      </c>
      <c r="C1764" t="inlineStr">
        <is>
          <t>科创100ETF南方</t>
        </is>
      </c>
      <c r="D1764" t="n">
        <v>30478.3</v>
      </c>
      <c r="E1764" t="n">
        <v>31078.3</v>
      </c>
      <c r="F1764" t="n">
        <v>2.079</v>
      </c>
      <c r="G1764" t="n">
        <v>-600</v>
      </c>
      <c r="H1764" t="n">
        <v>6.461179</v>
      </c>
      <c r="I1764" t="n">
        <v>6.430695</v>
      </c>
      <c r="J1764" t="n">
        <v>0.030484</v>
      </c>
      <c r="K1764" s="4">
        <f>IFERROR(J1764/I1764,"")</f>
        <v/>
      </c>
      <c r="L1764" s="4">
        <f>IFERROR((D1764-E1764)/E1764,"")</f>
        <v/>
      </c>
    </row>
    <row r="1765">
      <c r="A1765" t="inlineStr">
        <is>
          <t>2026-06-19</t>
        </is>
      </c>
      <c r="B1765" t="inlineStr">
        <is>
          <t>588910</t>
        </is>
      </c>
      <c r="C1765" t="inlineStr">
        <is>
          <t>科创价值ETF建信</t>
        </is>
      </c>
      <c r="D1765" t="n">
        <v>11504.91</v>
      </c>
      <c r="E1765" t="n">
        <v>11504.91</v>
      </c>
      <c r="F1765" t="n">
        <v>1.684</v>
      </c>
      <c r="G1765" t="n">
        <v>0</v>
      </c>
      <c r="H1765" t="n">
        <v>1.937427</v>
      </c>
      <c r="I1765" t="n">
        <v>1.919019</v>
      </c>
      <c r="J1765" t="n">
        <v>0.018408</v>
      </c>
      <c r="K1765" s="4">
        <f>IFERROR(J1765/I1765,"")</f>
        <v/>
      </c>
      <c r="L1765" s="4">
        <f>IFERROR((D1765-E1765)/E1765,"")</f>
        <v/>
      </c>
    </row>
    <row r="1766">
      <c r="A1766" t="inlineStr">
        <is>
          <t>2026-06-19</t>
        </is>
      </c>
      <c r="B1766" t="inlineStr">
        <is>
          <t>588920</t>
        </is>
      </c>
      <c r="C1766" t="inlineStr">
        <is>
          <t>科创芯片ETF鹏华</t>
        </is>
      </c>
      <c r="D1766" t="n">
        <v>11593.8</v>
      </c>
      <c r="E1766" t="n">
        <v>11593.8</v>
      </c>
      <c r="F1766" t="n">
        <v>2.641</v>
      </c>
      <c r="G1766" t="n">
        <v>0</v>
      </c>
      <c r="H1766" t="n">
        <v>3.061923</v>
      </c>
      <c r="I1766" t="n">
        <v>3.115575</v>
      </c>
      <c r="J1766" t="n">
        <v>-0.053652</v>
      </c>
      <c r="K1766" s="4">
        <f>IFERROR(J1766/I1766,"")</f>
        <v/>
      </c>
      <c r="L1766" s="4">
        <f>IFERROR((D1766-E1766)/E1766,"")</f>
        <v/>
      </c>
    </row>
    <row r="1767">
      <c r="A1767" t="inlineStr">
        <is>
          <t>2026-06-19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51132.9</v>
      </c>
      <c r="E1767" t="n">
        <v>51932.9</v>
      </c>
      <c r="F1767" t="n">
        <v>1.892</v>
      </c>
      <c r="G1767" t="n">
        <v>-800</v>
      </c>
      <c r="H1767" t="n">
        <v>9.825704999999999</v>
      </c>
      <c r="I1767" t="n">
        <v>9.384275000000001</v>
      </c>
      <c r="J1767" t="n">
        <v>0.44143</v>
      </c>
      <c r="K1767" s="4">
        <f>IFERROR(J1767/I1767,"")</f>
        <v/>
      </c>
      <c r="L1767" s="4">
        <f>IFERROR((D1767-E1767)/E1767,"")</f>
        <v/>
      </c>
    </row>
    <row r="1768">
      <c r="A1768" t="inlineStr">
        <is>
          <t>2026-06-19</t>
        </is>
      </c>
      <c r="B1768" t="inlineStr">
        <is>
          <t>588940</t>
        </is>
      </c>
      <c r="C1768" t="inlineStr">
        <is>
          <t>科创50ETF富国</t>
        </is>
      </c>
      <c r="D1768" t="n">
        <v>40042</v>
      </c>
      <c r="E1768" t="n">
        <v>37642</v>
      </c>
      <c r="F1768" t="n">
        <v>1.977</v>
      </c>
      <c r="G1768" t="n">
        <v>2400</v>
      </c>
      <c r="H1768" t="n">
        <v>7.441823</v>
      </c>
      <c r="I1768" t="n">
        <v>7.429152</v>
      </c>
      <c r="J1768" t="n">
        <v>0.012671</v>
      </c>
      <c r="K1768" s="4">
        <f>IFERROR(J1768/I1768,"")</f>
        <v/>
      </c>
      <c r="L1768" s="4">
        <f>IFERROR((D1768-E1768)/E1768,"")</f>
        <v/>
      </c>
    </row>
    <row r="1769">
      <c r="A1769" t="inlineStr">
        <is>
          <t>2026-06-19</t>
        </is>
      </c>
      <c r="B1769" t="inlineStr">
        <is>
          <t>588950</t>
        </is>
      </c>
      <c r="C1769" t="inlineStr">
        <is>
          <t>科创50ETF景顺</t>
        </is>
      </c>
      <c r="D1769" t="n">
        <v>20072.97</v>
      </c>
      <c r="E1769" t="n">
        <v>20072.97</v>
      </c>
      <c r="F1769" t="n">
        <v>1.994</v>
      </c>
      <c r="G1769" t="n">
        <v>0</v>
      </c>
      <c r="H1769" t="n">
        <v>4.00255</v>
      </c>
      <c r="I1769" t="n">
        <v>4.007934</v>
      </c>
      <c r="J1769" t="n">
        <v>-0.005384</v>
      </c>
      <c r="K1769" s="4">
        <f>IFERROR(J1769/I1769,"")</f>
        <v/>
      </c>
      <c r="L1769" s="4">
        <f>IFERROR((D1769-E1769)/E1769,"")</f>
        <v/>
      </c>
    </row>
    <row r="1770">
      <c r="A1770" t="inlineStr">
        <is>
          <t>2026-06-19</t>
        </is>
      </c>
      <c r="B1770" t="inlineStr">
        <is>
          <t>588960</t>
        </is>
      </c>
      <c r="C1770" t="inlineStr">
        <is>
          <t>科创新能源ETF富国</t>
        </is>
      </c>
      <c r="D1770" t="n">
        <v>15357.98</v>
      </c>
      <c r="E1770" t="n">
        <v>15557.98</v>
      </c>
      <c r="F1770" t="n">
        <v>1.462</v>
      </c>
      <c r="G1770" t="n">
        <v>-200</v>
      </c>
      <c r="H1770" t="n">
        <v>2.274577</v>
      </c>
      <c r="I1770" t="n">
        <v>2.253773</v>
      </c>
      <c r="J1770" t="n">
        <v>0.020804</v>
      </c>
      <c r="K1770" s="4">
        <f>IFERROR(J1770/I1770,"")</f>
        <v/>
      </c>
      <c r="L1770" s="4">
        <f>IFERROR((D1770-E1770)/E1770,"")</f>
        <v/>
      </c>
    </row>
    <row r="1771">
      <c r="A1771" t="inlineStr">
        <is>
          <t>2026-06-19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1.851</v>
      </c>
      <c r="G1771" t="n">
        <v>0</v>
      </c>
      <c r="H1771" t="n">
        <v>0.266914</v>
      </c>
      <c r="I1771" t="n">
        <v>0.259848</v>
      </c>
      <c r="J1771" t="n">
        <v>0.007066</v>
      </c>
      <c r="K1771" s="4">
        <f>IFERROR(J1771/I1771,"")</f>
        <v/>
      </c>
      <c r="L1771" s="4">
        <f>IFERROR((D1771-E1771)/E1771,"")</f>
        <v/>
      </c>
    </row>
    <row r="1772">
      <c r="A1772" t="inlineStr">
        <is>
          <t>2026-06-19</t>
        </is>
      </c>
      <c r="B1772" t="inlineStr">
        <is>
          <t>588990</t>
        </is>
      </c>
      <c r="C1772" t="inlineStr">
        <is>
          <t>科创芯片ETF博时</t>
        </is>
      </c>
      <c r="D1772" t="n">
        <v>16774.54</v>
      </c>
      <c r="E1772" t="n">
        <v>16774.54</v>
      </c>
      <c r="F1772" t="n">
        <v>4.29</v>
      </c>
      <c r="G1772" t="n">
        <v>0</v>
      </c>
      <c r="H1772" t="n">
        <v>7.196279</v>
      </c>
      <c r="I1772" t="n">
        <v>7.130512</v>
      </c>
      <c r="J1772" t="n">
        <v>0.06576700000000001</v>
      </c>
      <c r="K1772" s="4">
        <f>IFERROR(J1772/I1772,"")</f>
        <v/>
      </c>
      <c r="L1772" s="4">
        <f>IFERROR((D1772-E1772)/E1772,"")</f>
        <v/>
      </c>
    </row>
    <row r="1773">
      <c r="A1773" t="inlineStr">
        <is>
          <t>2026-06-19</t>
        </is>
      </c>
      <c r="B1773" t="inlineStr">
        <is>
          <t>589000</t>
        </is>
      </c>
      <c r="C1773" t="inlineStr">
        <is>
          <t>科创综指ETF华夏</t>
        </is>
      </c>
      <c r="D1773" t="n">
        <v>78750.78</v>
      </c>
      <c r="E1773" t="n">
        <v>80350.78</v>
      </c>
      <c r="F1773" t="n">
        <v>1.835</v>
      </c>
      <c r="G1773" t="n">
        <v>-1600</v>
      </c>
      <c r="H1773" t="n">
        <v>14.744369</v>
      </c>
      <c r="I1773" t="n">
        <v>14.349414</v>
      </c>
      <c r="J1773" t="n">
        <v>0.394955</v>
      </c>
      <c r="K1773" s="4">
        <f>IFERROR(J1773/I1773,"")</f>
        <v/>
      </c>
      <c r="L1773" s="4">
        <f>IFERROR((D1773-E1773)/E1773,"")</f>
        <v/>
      </c>
    </row>
    <row r="1774">
      <c r="A1774" t="inlineStr">
        <is>
          <t>2026-06-19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97779.3</v>
      </c>
      <c r="E1774" t="n">
        <v>97479.3</v>
      </c>
      <c r="F1774" t="n">
        <v>1.693</v>
      </c>
      <c r="G1774" t="n">
        <v>300</v>
      </c>
      <c r="H1774" t="n">
        <v>16.503245</v>
      </c>
      <c r="I1774" t="n">
        <v>15.898095</v>
      </c>
      <c r="J1774" t="n">
        <v>0.60515</v>
      </c>
      <c r="K1774" s="4">
        <f>IFERROR(J1774/I1774,"")</f>
        <v/>
      </c>
      <c r="L1774" s="4">
        <f>IFERROR((D1774-E1774)/E1774,"")</f>
        <v/>
      </c>
    </row>
    <row r="1775">
      <c r="A1775" t="inlineStr">
        <is>
          <t>2026-06-19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48821.9</v>
      </c>
      <c r="E1775" t="n">
        <v>42421.9</v>
      </c>
      <c r="F1775" t="n">
        <v>2.514</v>
      </c>
      <c r="G1775" t="n">
        <v>6400</v>
      </c>
      <c r="H1775" t="n">
        <v>10.664866</v>
      </c>
      <c r="I1775" t="n">
        <v>10.602702</v>
      </c>
      <c r="J1775" t="n">
        <v>0.062164</v>
      </c>
      <c r="K1775" s="4">
        <f>IFERROR(J1775/I1775,"")</f>
        <v/>
      </c>
      <c r="L1775" s="4">
        <f>IFERROR((D1775-E1775)/E1775,"")</f>
        <v/>
      </c>
    </row>
    <row r="1776">
      <c r="A1776" t="inlineStr">
        <is>
          <t>2026-06-19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30407.7</v>
      </c>
      <c r="E1776" t="n">
        <v>31007.7</v>
      </c>
      <c r="F1776" t="n">
        <v>1.41</v>
      </c>
      <c r="G1776" t="n">
        <v>-600</v>
      </c>
      <c r="H1776" t="n">
        <v>4.372086</v>
      </c>
      <c r="I1776" t="n">
        <v>4.070561</v>
      </c>
      <c r="J1776" t="n">
        <v>0.301525</v>
      </c>
      <c r="K1776" s="4">
        <f>IFERROR(J1776/I1776,"")</f>
        <v/>
      </c>
      <c r="L1776" s="4">
        <f>IFERROR((D1776-E1776)/E1776,"")</f>
        <v/>
      </c>
    </row>
    <row r="1777">
      <c r="A1777" t="inlineStr">
        <is>
          <t>2026-06-19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1.611</v>
      </c>
      <c r="G1777" t="n">
        <v>0</v>
      </c>
      <c r="H1777" t="n">
        <v>0.756654</v>
      </c>
      <c r="I1777" t="n">
        <v>0.730352</v>
      </c>
      <c r="J1777" t="n">
        <v>0.026302</v>
      </c>
      <c r="K1777" s="4">
        <f>IFERROR(J1777/I1777,"")</f>
        <v/>
      </c>
      <c r="L1777" s="4">
        <f>IFERROR((D1777-E1777)/E1777,"")</f>
        <v/>
      </c>
    </row>
    <row r="1778">
      <c r="A1778" t="inlineStr">
        <is>
          <t>2026-06-19</t>
        </is>
      </c>
      <c r="B1778" t="inlineStr">
        <is>
          <t>589060</t>
        </is>
      </c>
      <c r="C1778" t="inlineStr">
        <is>
          <t>科创综指ETF东财</t>
        </is>
      </c>
      <c r="D1778" t="n">
        <v>6713.79</v>
      </c>
      <c r="E1778" t="n">
        <v>6713.79</v>
      </c>
      <c r="F1778" t="n">
        <v>1.92</v>
      </c>
      <c r="G1778" t="n">
        <v>0</v>
      </c>
      <c r="H1778" t="n">
        <v>1.289047</v>
      </c>
      <c r="I1778" t="n">
        <v>1.246079</v>
      </c>
      <c r="J1778" t="n">
        <v>0.042968</v>
      </c>
      <c r="K1778" s="4">
        <f>IFERROR(J1778/I1778,"")</f>
        <v/>
      </c>
      <c r="L1778" s="4">
        <f>IFERROR((D1778-E1778)/E1778,"")</f>
        <v/>
      </c>
    </row>
    <row r="1779">
      <c r="A1779" t="inlineStr">
        <is>
          <t>2026-06-19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47129.3</v>
      </c>
      <c r="E1779" t="n">
        <v>46329.3</v>
      </c>
      <c r="F1779" t="n">
        <v>1.326</v>
      </c>
      <c r="G1779" t="n">
        <v>800</v>
      </c>
      <c r="H1779" t="n">
        <v>6.143265</v>
      </c>
      <c r="I1779" t="n">
        <v>5.655221</v>
      </c>
      <c r="J1779" t="n">
        <v>0.488044</v>
      </c>
      <c r="K1779" s="4">
        <f>IFERROR(J1779/I1779,"")</f>
        <v/>
      </c>
      <c r="L1779" s="4">
        <f>IFERROR((D1779-E1779)/E1779,"")</f>
        <v/>
      </c>
    </row>
    <row r="1780">
      <c r="A1780" t="inlineStr">
        <is>
          <t>2026-06-19</t>
        </is>
      </c>
      <c r="B1780" t="inlineStr">
        <is>
          <t>589080</t>
        </is>
      </c>
      <c r="C1780" t="inlineStr">
        <is>
          <t>科创综指ETF汇添富</t>
        </is>
      </c>
      <c r="D1780" t="n">
        <v>14306.1</v>
      </c>
      <c r="E1780" t="n">
        <v>14306.1</v>
      </c>
      <c r="F1780" t="n">
        <v>1.822</v>
      </c>
      <c r="G1780" t="n">
        <v>0</v>
      </c>
      <c r="H1780" t="n">
        <v>2.606571</v>
      </c>
      <c r="I1780" t="n">
        <v>2.525027</v>
      </c>
      <c r="J1780" t="n">
        <v>0.08154400000000001</v>
      </c>
      <c r="K1780" s="4">
        <f>IFERROR(J1780/I1780,"")</f>
        <v/>
      </c>
      <c r="L1780" s="4">
        <f>IFERROR((D1780-E1780)/E1780,"")</f>
        <v/>
      </c>
    </row>
    <row r="1781">
      <c r="A1781" t="inlineStr">
        <is>
          <t>2026-06-19</t>
        </is>
      </c>
      <c r="B1781" t="inlineStr">
        <is>
          <t>589090</t>
        </is>
      </c>
      <c r="C1781" t="inlineStr">
        <is>
          <t>科创AIETF鹏华</t>
        </is>
      </c>
      <c r="D1781" t="n">
        <v>18193.1</v>
      </c>
      <c r="E1781" t="n">
        <v>17943.1</v>
      </c>
      <c r="F1781" t="n">
        <v>1.279</v>
      </c>
      <c r="G1781" t="n">
        <v>250</v>
      </c>
      <c r="H1781" t="n">
        <v>2.294922</v>
      </c>
      <c r="I1781" t="n">
        <v>2.219558</v>
      </c>
      <c r="J1781" t="n">
        <v>0.075364</v>
      </c>
      <c r="K1781" s="4">
        <f>IFERROR(J1781/I1781,"")</f>
        <v/>
      </c>
      <c r="L1781" s="4">
        <f>IFERROR((D1781-E1781)/E1781,"")</f>
        <v/>
      </c>
    </row>
    <row r="1782">
      <c r="A1782" t="inlineStr">
        <is>
          <t>2026-06-19</t>
        </is>
      </c>
      <c r="B1782" t="inlineStr">
        <is>
          <t>589100</t>
        </is>
      </c>
      <c r="C1782" t="inlineStr">
        <is>
          <t>科创芯片ETF国泰</t>
        </is>
      </c>
      <c r="D1782" t="n">
        <v>30577.7</v>
      </c>
      <c r="E1782" t="n">
        <v>31177.7</v>
      </c>
      <c r="F1782" t="n">
        <v>2.643</v>
      </c>
      <c r="G1782" t="n">
        <v>-600</v>
      </c>
      <c r="H1782" t="n">
        <v>8.240266</v>
      </c>
      <c r="I1782" t="n">
        <v>8.112450000000001</v>
      </c>
      <c r="J1782" t="n">
        <v>0.127816</v>
      </c>
      <c r="K1782" s="4">
        <f>IFERROR(J1782/I1782,"")</f>
        <v/>
      </c>
      <c r="L1782" s="4">
        <f>IFERROR((D1782-E1782)/E1782,"")</f>
        <v/>
      </c>
    </row>
    <row r="1783">
      <c r="A1783" t="inlineStr">
        <is>
          <t>2026-06-19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56741.3</v>
      </c>
      <c r="E1783" t="n">
        <v>57341.3</v>
      </c>
      <c r="F1783" t="n">
        <v>1.11</v>
      </c>
      <c r="G1783" t="n">
        <v>-600</v>
      </c>
      <c r="H1783" t="n">
        <v>6.364884</v>
      </c>
      <c r="I1783" t="n">
        <v>6.15916</v>
      </c>
      <c r="J1783" t="n">
        <v>0.205724</v>
      </c>
      <c r="K1783" s="4">
        <f>IFERROR(J1783/I1783,"")</f>
        <v/>
      </c>
      <c r="L1783" s="4">
        <f>IFERROR((D1783-E1783)/E1783,"")</f>
        <v/>
      </c>
    </row>
    <row r="1784">
      <c r="A1784" t="inlineStr">
        <is>
          <t>2026-06-19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68662</v>
      </c>
      <c r="E1784" t="n">
        <v>68962</v>
      </c>
      <c r="F1784" t="n">
        <v>0.719</v>
      </c>
      <c r="G1784" t="n">
        <v>-300</v>
      </c>
      <c r="H1784" t="n">
        <v>4.958368</v>
      </c>
      <c r="I1784" t="n">
        <v>4.799857</v>
      </c>
      <c r="J1784" t="n">
        <v>0.158511</v>
      </c>
      <c r="K1784" s="4">
        <f>IFERROR(J1784/I1784,"")</f>
        <v/>
      </c>
      <c r="L1784" s="4">
        <f>IFERROR((D1784-E1784)/E1784,"")</f>
        <v/>
      </c>
    </row>
    <row r="1785">
      <c r="A1785" t="inlineStr">
        <is>
          <t>2026-06-19</t>
        </is>
      </c>
      <c r="B1785" t="inlineStr">
        <is>
          <t>589130</t>
        </is>
      </c>
      <c r="C1785" t="inlineStr">
        <is>
          <t>科创芯片ETF易方达</t>
        </is>
      </c>
      <c r="D1785" t="n">
        <v>248078</v>
      </c>
      <c r="E1785" t="n">
        <v>250778</v>
      </c>
      <c r="F1785" t="n">
        <v>1.631</v>
      </c>
      <c r="G1785" t="n">
        <v>-2700</v>
      </c>
      <c r="H1785" t="n">
        <v>40.901892</v>
      </c>
      <c r="I1785" t="n">
        <v>40.572168</v>
      </c>
      <c r="J1785" t="n">
        <v>0.329724</v>
      </c>
      <c r="K1785" s="4">
        <f>IFERROR(J1785/I1785,"")</f>
        <v/>
      </c>
      <c r="L1785" s="4">
        <f>IFERROR((D1785-E1785)/E1785,"")</f>
        <v/>
      </c>
    </row>
    <row r="1786">
      <c r="A1786" t="inlineStr">
        <is>
          <t>2026-06-19</t>
        </is>
      </c>
      <c r="B1786" t="inlineStr">
        <is>
          <t>589150</t>
        </is>
      </c>
      <c r="C1786" t="inlineStr">
        <is>
          <t>科创50ETF平安</t>
        </is>
      </c>
      <c r="D1786" t="n">
        <v>7543.72</v>
      </c>
      <c r="E1786" t="n">
        <v>7743.72</v>
      </c>
      <c r="F1786" t="n">
        <v>1.39</v>
      </c>
      <c r="G1786" t="n">
        <v>-200</v>
      </c>
      <c r="H1786" t="n">
        <v>1.076376</v>
      </c>
      <c r="I1786" t="n">
        <v>1.033786</v>
      </c>
      <c r="J1786" t="n">
        <v>0.04259</v>
      </c>
      <c r="K1786" s="4">
        <f>IFERROR(J1786/I1786,"")</f>
        <v/>
      </c>
      <c r="L1786" s="4">
        <f>IFERROR((D1786-E1786)/E1786,"")</f>
        <v/>
      </c>
    </row>
    <row r="1787">
      <c r="A1787" t="inlineStr">
        <is>
          <t>2026-06-19</t>
        </is>
      </c>
      <c r="B1787" t="inlineStr">
        <is>
          <t>589160</t>
        </is>
      </c>
      <c r="C1787" t="inlineStr">
        <is>
          <t>科创芯片ETF广发</t>
        </is>
      </c>
      <c r="D1787" t="n">
        <v>15829.6</v>
      </c>
      <c r="E1787" t="n">
        <v>15829.6</v>
      </c>
      <c r="F1787" t="n">
        <v>1.489</v>
      </c>
      <c r="G1787" t="n">
        <v>0</v>
      </c>
      <c r="H1787" t="n">
        <v>2.357027</v>
      </c>
      <c r="I1787" t="n">
        <v>2.425015</v>
      </c>
      <c r="J1787" t="n">
        <v>-0.06798800000000001</v>
      </c>
      <c r="K1787" s="4">
        <f>IFERROR(J1787/I1787,"")</f>
        <v/>
      </c>
      <c r="L1787" s="4">
        <f>IFERROR((D1787-E1787)/E1787,"")</f>
        <v/>
      </c>
    </row>
    <row r="1788">
      <c r="A1788" t="inlineStr">
        <is>
          <t>2026-06-19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9690.9</v>
      </c>
      <c r="E1788" t="n">
        <v>9390.9</v>
      </c>
      <c r="F1788" t="n">
        <v>1.336</v>
      </c>
      <c r="G1788" t="n">
        <v>300</v>
      </c>
      <c r="H1788" t="n">
        <v>1.254624</v>
      </c>
      <c r="I1788" t="n">
        <v>1.274839</v>
      </c>
      <c r="J1788" t="n">
        <v>-0.020215</v>
      </c>
      <c r="K1788" s="4">
        <f>IFERROR(J1788/I1788,"")</f>
        <v/>
      </c>
      <c r="L1788" s="4">
        <f>IFERROR((D1788-E1788)/E1788,"")</f>
        <v/>
      </c>
    </row>
    <row r="1789">
      <c r="A1789" t="inlineStr">
        <is>
          <t>2026-06-19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6531.8</v>
      </c>
      <c r="E1789" t="n">
        <v>6231.8</v>
      </c>
      <c r="F1789" t="n">
        <v>2.273</v>
      </c>
      <c r="G1789" t="n">
        <v>300</v>
      </c>
      <c r="H1789" t="n">
        <v>1.416488</v>
      </c>
      <c r="I1789" t="n">
        <v>1.321605</v>
      </c>
      <c r="J1789" t="n">
        <v>0.094883</v>
      </c>
      <c r="K1789" s="4">
        <f>IFERROR(J1789/I1789,"")</f>
        <v/>
      </c>
      <c r="L1789" s="4">
        <f>IFERROR((D1789-E1789)/E1789,"")</f>
        <v/>
      </c>
    </row>
    <row r="1790">
      <c r="A1790" t="inlineStr">
        <is>
          <t>2026-06-19</t>
        </is>
      </c>
      <c r="B1790" t="inlineStr">
        <is>
          <t>589190</t>
        </is>
      </c>
      <c r="C1790" t="inlineStr">
        <is>
          <t>科创芯片ETF华宝</t>
        </is>
      </c>
      <c r="D1790" t="n">
        <v>104778.1</v>
      </c>
      <c r="E1790" t="n">
        <v>107478.1</v>
      </c>
      <c r="F1790" t="n">
        <v>1.499</v>
      </c>
      <c r="G1790" t="n">
        <v>-2700</v>
      </c>
      <c r="H1790" t="n">
        <v>16.110967</v>
      </c>
      <c r="I1790" t="n">
        <v>16.154957</v>
      </c>
      <c r="J1790" t="n">
        <v>-0.04399</v>
      </c>
      <c r="K1790" s="4">
        <f>IFERROR(J1790/I1790,"")</f>
        <v/>
      </c>
      <c r="L1790" s="4">
        <f>IFERROR((D1790-E1790)/E1790,"")</f>
        <v/>
      </c>
    </row>
    <row r="1791">
      <c r="A1791" t="inlineStr">
        <is>
          <t>2026-06-19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1.676</v>
      </c>
      <c r="G1791" t="n">
        <v>0</v>
      </c>
      <c r="H1791" t="n">
        <v>0.377217</v>
      </c>
      <c r="I1791" t="n">
        <v>0.368665</v>
      </c>
      <c r="J1791" t="n">
        <v>0.008552000000000001</v>
      </c>
      <c r="K1791" s="4">
        <f>IFERROR(J1791/I1791,"")</f>
        <v/>
      </c>
      <c r="L1791" s="4">
        <f>IFERROR((D1791-E1791)/E1791,"")</f>
        <v/>
      </c>
    </row>
    <row r="1792">
      <c r="A1792" t="inlineStr">
        <is>
          <t>2026-06-19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28846.9</v>
      </c>
      <c r="E1792" t="n">
        <v>28446.9</v>
      </c>
      <c r="F1792" t="n">
        <v>1.681</v>
      </c>
      <c r="G1792" t="n">
        <v>400</v>
      </c>
      <c r="H1792" t="n">
        <v>4.781924</v>
      </c>
      <c r="I1792" t="n">
        <v>4.638582</v>
      </c>
      <c r="J1792" t="n">
        <v>0.143342</v>
      </c>
      <c r="K1792" s="4">
        <f>IFERROR(J1792/I1792,"")</f>
        <v/>
      </c>
      <c r="L1792" s="4">
        <f>IFERROR((D1792-E1792)/E1792,"")</f>
        <v/>
      </c>
    </row>
    <row r="1793">
      <c r="A1793" t="inlineStr">
        <is>
          <t>2026-06-19</t>
        </is>
      </c>
      <c r="B1793" t="inlineStr">
        <is>
          <t>589220</t>
        </is>
      </c>
      <c r="C1793" t="inlineStr">
        <is>
          <t>科创200ETF国泰</t>
        </is>
      </c>
      <c r="D1793" t="n">
        <v>35849.58</v>
      </c>
      <c r="E1793" t="n">
        <v>37349.58</v>
      </c>
      <c r="F1793" t="n">
        <v>1.235</v>
      </c>
      <c r="G1793" t="n">
        <v>-1500</v>
      </c>
      <c r="H1793" t="n">
        <v>4.612673</v>
      </c>
      <c r="I1793" t="n">
        <v>4.601424</v>
      </c>
      <c r="J1793" t="n">
        <v>0.011249</v>
      </c>
      <c r="K1793" s="4">
        <f>IFERROR(J1793/I1793,"")</f>
        <v/>
      </c>
      <c r="L1793" s="4">
        <f>IFERROR((D1793-E1793)/E1793,"")</f>
        <v/>
      </c>
    </row>
    <row r="1794">
      <c r="A1794" t="inlineStr">
        <is>
          <t>2026-06-19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24855.3</v>
      </c>
      <c r="E1794" t="n">
        <v>25605.3</v>
      </c>
      <c r="F1794" t="n">
        <v>1.037</v>
      </c>
      <c r="G1794" t="n">
        <v>-750</v>
      </c>
      <c r="H1794" t="n">
        <v>2.65527</v>
      </c>
      <c r="I1794" t="n">
        <v>2.534925</v>
      </c>
      <c r="J1794" t="n">
        <v>0.120345</v>
      </c>
      <c r="K1794" s="4">
        <f>IFERROR(J1794/I1794,"")</f>
        <v/>
      </c>
      <c r="L1794" s="4">
        <f>IFERROR((D1794-E1794)/E1794,"")</f>
        <v/>
      </c>
    </row>
    <row r="1795">
      <c r="A1795" t="inlineStr">
        <is>
          <t>2026-06-19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5510.13</v>
      </c>
      <c r="E1795" t="n">
        <v>6310.13</v>
      </c>
      <c r="F1795" t="n">
        <v>1.536</v>
      </c>
      <c r="G1795" t="n">
        <v>-800</v>
      </c>
      <c r="H1795" t="n">
        <v>0.969236</v>
      </c>
      <c r="I1795" t="n">
        <v>0.928851</v>
      </c>
      <c r="J1795" t="n">
        <v>0.040385</v>
      </c>
      <c r="K1795" s="4">
        <f>IFERROR(J1795/I1795,"")</f>
        <v/>
      </c>
      <c r="L1795" s="4">
        <f>IFERROR((D1795-E1795)/E1795,"")</f>
        <v/>
      </c>
    </row>
    <row r="1796">
      <c r="A1796" t="inlineStr">
        <is>
          <t>2026-06-19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5815.6</v>
      </c>
      <c r="F1796" t="n">
        <v>1.542</v>
      </c>
      <c r="G1796" t="n">
        <v>-300</v>
      </c>
      <c r="H1796" t="n">
        <v>0.896766</v>
      </c>
      <c r="I1796" t="n">
        <v>0.902663</v>
      </c>
      <c r="J1796" t="n">
        <v>-0.005897</v>
      </c>
      <c r="K1796" s="4">
        <f>IFERROR(J1796/I1796,"")</f>
        <v/>
      </c>
      <c r="L1796" s="4">
        <f>IFERROR((D1796-E1796)/E1796,"")</f>
        <v/>
      </c>
    </row>
    <row r="1797">
      <c r="A1797" t="inlineStr">
        <is>
          <t>2026-06-19</t>
        </is>
      </c>
      <c r="B1797" t="inlineStr">
        <is>
          <t>589270</t>
        </is>
      </c>
      <c r="C1797" t="inlineStr">
        <is>
          <t>科创100ETF前海开源</t>
        </is>
      </c>
      <c r="D1797" t="n">
        <v>3051.66</v>
      </c>
      <c r="E1797" t="n">
        <v>3051.66</v>
      </c>
      <c r="F1797" t="n">
        <v>1.286</v>
      </c>
      <c r="G1797" t="n">
        <v>0</v>
      </c>
      <c r="H1797" t="n">
        <v>0.392444</v>
      </c>
      <c r="I1797" t="n">
        <v>0.419963</v>
      </c>
      <c r="J1797" t="n">
        <v>-0.027519</v>
      </c>
      <c r="K1797" s="4">
        <f>IFERROR(J1797/I1797,"")</f>
        <v/>
      </c>
      <c r="L1797" s="4">
        <f>IFERROR((D1797-E1797)/E1797,"")</f>
        <v/>
      </c>
    </row>
    <row r="1798">
      <c r="A1798" t="inlineStr">
        <is>
          <t>2026-06-19</t>
        </is>
      </c>
      <c r="B1798" t="inlineStr">
        <is>
          <t>589280</t>
        </is>
      </c>
      <c r="C1798" t="inlineStr">
        <is>
          <t>科创增强ETF华宝</t>
        </is>
      </c>
      <c r="D1798" t="n">
        <v>8406.9</v>
      </c>
      <c r="E1798" t="n">
        <v>8906.9</v>
      </c>
      <c r="F1798" t="n">
        <v>1.045</v>
      </c>
      <c r="G1798" t="n">
        <v>-500</v>
      </c>
      <c r="H1798" t="n">
        <v>0.930771</v>
      </c>
      <c r="I1798" t="n">
        <v>0.963267</v>
      </c>
      <c r="J1798" t="n">
        <v>-0.032496</v>
      </c>
      <c r="K1798" s="4">
        <f>IFERROR(J1798/I1798,"")</f>
        <v/>
      </c>
      <c r="L1798" s="4">
        <f>IFERROR((D1798-E1798)/E1798,"")</f>
        <v/>
      </c>
    </row>
    <row r="1799">
      <c r="A1799" t="inlineStr">
        <is>
          <t>2026-06-19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2.01</v>
      </c>
      <c r="G1799" t="n">
        <v>0</v>
      </c>
      <c r="H1799" t="n">
        <v>0.835809</v>
      </c>
      <c r="I1799" t="n">
        <v>0.809612</v>
      </c>
      <c r="J1799" t="n">
        <v>0.026197</v>
      </c>
      <c r="K1799" s="4">
        <f>IFERROR(J1799/I1799,"")</f>
        <v/>
      </c>
      <c r="L1799" s="4">
        <f>IFERROR((D1799-E1799)/E1799,"")</f>
        <v/>
      </c>
    </row>
    <row r="1800">
      <c r="A1800" t="inlineStr">
        <is>
          <t>2026-06-19</t>
        </is>
      </c>
      <c r="B1800" t="inlineStr">
        <is>
          <t>589320</t>
        </is>
      </c>
      <c r="C1800" t="inlineStr">
        <is>
          <t>科创200ETF嘉实</t>
        </is>
      </c>
      <c r="D1800" t="n">
        <v>18605.3</v>
      </c>
      <c r="E1800" t="n">
        <v>20705.3</v>
      </c>
      <c r="F1800" t="n">
        <v>1.043</v>
      </c>
      <c r="G1800" t="n">
        <v>-2100</v>
      </c>
      <c r="H1800" t="n">
        <v>2.159563</v>
      </c>
      <c r="I1800" t="n">
        <v>2.41557</v>
      </c>
      <c r="J1800" t="n">
        <v>-0.256007</v>
      </c>
      <c r="K1800" s="4">
        <f>IFERROR(J1800/I1800,"")</f>
        <v/>
      </c>
      <c r="L1800" s="4">
        <f>IFERROR((D1800-E1800)/E1800,"")</f>
        <v/>
      </c>
    </row>
    <row r="1801">
      <c r="A1801" t="inlineStr">
        <is>
          <t>2026-06-19</t>
        </is>
      </c>
      <c r="B1801" t="inlineStr">
        <is>
          <t>589330</t>
        </is>
      </c>
      <c r="C1801" t="inlineStr">
        <is>
          <t>科创200ETF东财</t>
        </is>
      </c>
      <c r="D1801" t="n">
        <v>12590.2</v>
      </c>
      <c r="E1801" t="n">
        <v>15590.2</v>
      </c>
      <c r="F1801" t="n">
        <v>1.058</v>
      </c>
      <c r="G1801" t="n">
        <v>-3000</v>
      </c>
      <c r="H1801" t="n">
        <v>1.649443</v>
      </c>
      <c r="I1801" t="n">
        <v>1.820586</v>
      </c>
      <c r="J1801" t="n">
        <v>-0.171143</v>
      </c>
      <c r="K1801" s="4">
        <f>IFERROR(J1801/I1801,"")</f>
        <v/>
      </c>
      <c r="L1801" s="4">
        <f>IFERROR((D1801-E1801)/E1801,"")</f>
        <v/>
      </c>
    </row>
    <row r="1802">
      <c r="A1802" t="inlineStr">
        <is>
          <t>2026-06-19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9169.43</v>
      </c>
      <c r="E1802" t="n">
        <v>9769.43</v>
      </c>
      <c r="F1802" t="n">
        <v>1.714</v>
      </c>
      <c r="G1802" t="n">
        <v>-600</v>
      </c>
      <c r="H1802" t="n">
        <v>1.67448</v>
      </c>
      <c r="I1802" t="n">
        <v>1.597301</v>
      </c>
      <c r="J1802" t="n">
        <v>0.077179</v>
      </c>
      <c r="K1802" s="4">
        <f>IFERROR(J1802/I1802,"")</f>
        <v/>
      </c>
      <c r="L1802" s="4">
        <f>IFERROR((D1802-E1802)/E1802,"")</f>
        <v/>
      </c>
    </row>
    <row r="1803">
      <c r="A1803" t="inlineStr">
        <is>
          <t>2026-06-19</t>
        </is>
      </c>
      <c r="B1803" t="inlineStr">
        <is>
          <t>589500</t>
        </is>
      </c>
      <c r="C1803" t="inlineStr">
        <is>
          <t>科创综指ETF工银</t>
        </is>
      </c>
      <c r="D1803" t="n">
        <v>9006.4</v>
      </c>
      <c r="E1803" t="n">
        <v>9006.4</v>
      </c>
      <c r="F1803" t="n">
        <v>1.853</v>
      </c>
      <c r="G1803" t="n">
        <v>0</v>
      </c>
      <c r="H1803" t="n">
        <v>1.668886</v>
      </c>
      <c r="I1803" t="n">
        <v>1.614848</v>
      </c>
      <c r="J1803" t="n">
        <v>0.054038</v>
      </c>
      <c r="K1803" s="4">
        <f>IFERROR(J1803/I1803,"")</f>
        <v/>
      </c>
      <c r="L1803" s="4">
        <f>IFERROR((D1803-E1803)/E1803,"")</f>
        <v/>
      </c>
    </row>
    <row r="1804">
      <c r="A1804" t="inlineStr">
        <is>
          <t>2026-06-19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72910.46000000001</v>
      </c>
      <c r="E1804" t="n">
        <v>74110.46000000001</v>
      </c>
      <c r="F1804" t="n">
        <v>0.727</v>
      </c>
      <c r="G1804" t="n">
        <v>-1200</v>
      </c>
      <c r="H1804" t="n">
        <v>5.38783</v>
      </c>
      <c r="I1804" t="n">
        <v>5.177435</v>
      </c>
      <c r="J1804" t="n">
        <v>0.210395</v>
      </c>
      <c r="K1804" s="4">
        <f>IFERROR(J1804/I1804,"")</f>
        <v/>
      </c>
      <c r="L1804" s="4">
        <f>IFERROR((D1804-E1804)/E1804,"")</f>
        <v/>
      </c>
    </row>
    <row r="1805">
      <c r="A1805" t="inlineStr">
        <is>
          <t>2026-06-19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1.379</v>
      </c>
      <c r="G1805" t="n">
        <v>0</v>
      </c>
      <c r="H1805" t="n">
        <v>0.348824</v>
      </c>
      <c r="I1805" t="n">
        <v>0.342248</v>
      </c>
      <c r="J1805" t="n">
        <v>0.006576</v>
      </c>
      <c r="K1805" s="4">
        <f>IFERROR(J1805/I1805,"")</f>
        <v/>
      </c>
      <c r="L1805" s="4">
        <f>IFERROR((D1805-E1805)/E1805,"")</f>
        <v/>
      </c>
    </row>
    <row r="1806">
      <c r="A1806" t="inlineStr">
        <is>
          <t>2026-06-19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25635.5</v>
      </c>
      <c r="E1806" t="n">
        <v>26235.5</v>
      </c>
      <c r="F1806" t="n">
        <v>1.15</v>
      </c>
      <c r="G1806" t="n">
        <v>-600</v>
      </c>
      <c r="H1806" t="n">
        <v>3.017083</v>
      </c>
      <c r="I1806" t="n">
        <v>2.880658</v>
      </c>
      <c r="J1806" t="n">
        <v>0.136425</v>
      </c>
      <c r="K1806" s="4">
        <f>IFERROR(J1806/I1806,"")</f>
        <v/>
      </c>
      <c r="L1806" s="4">
        <f>IFERROR((D1806-E1806)/E1806,"")</f>
        <v/>
      </c>
    </row>
    <row r="1807">
      <c r="A1807" t="inlineStr">
        <is>
          <t>2026-06-19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1.843</v>
      </c>
      <c r="G1807" t="n">
        <v>0</v>
      </c>
      <c r="H1807" t="n">
        <v>0.190839</v>
      </c>
      <c r="I1807" t="n">
        <v>0.183695</v>
      </c>
      <c r="J1807" t="n">
        <v>0.007144</v>
      </c>
      <c r="K1807" s="4">
        <f>IFERROR(J1807/I1807,"")</f>
        <v/>
      </c>
      <c r="L1807" s="4">
        <f>IFERROR((D1807-E1807)/E1807,"")</f>
        <v/>
      </c>
    </row>
    <row r="1808">
      <c r="A1808" t="inlineStr">
        <is>
          <t>2026-06-19</t>
        </is>
      </c>
      <c r="B1808" t="inlineStr">
        <is>
          <t>589600</t>
        </is>
      </c>
      <c r="C1808" t="inlineStr">
        <is>
          <t>科创综指ETF富国</t>
        </is>
      </c>
      <c r="D1808" t="n">
        <v>22953.5</v>
      </c>
      <c r="E1808" t="n">
        <v>23353.5</v>
      </c>
      <c r="F1808" t="n">
        <v>1.828</v>
      </c>
      <c r="G1808" t="n">
        <v>-400</v>
      </c>
      <c r="H1808" t="n">
        <v>4.26902</v>
      </c>
      <c r="I1808" t="n">
        <v>4.147582</v>
      </c>
      <c r="J1808" t="n">
        <v>0.121438</v>
      </c>
      <c r="K1808" s="4">
        <f>IFERROR(J1808/I1808,"")</f>
        <v/>
      </c>
      <c r="L1808" s="4">
        <f>IFERROR((D1808-E1808)/E1808,"")</f>
        <v/>
      </c>
    </row>
    <row r="1809">
      <c r="A1809" t="inlineStr">
        <is>
          <t>2026-06-19</t>
        </is>
      </c>
      <c r="B1809" t="inlineStr">
        <is>
          <t>589630</t>
        </is>
      </c>
      <c r="C1809" t="inlineStr">
        <is>
          <t>科创综指ETF国泰</t>
        </is>
      </c>
      <c r="D1809" t="n">
        <v>16262.9</v>
      </c>
      <c r="E1809" t="n">
        <v>16862.9</v>
      </c>
      <c r="F1809" t="n">
        <v>1.834</v>
      </c>
      <c r="G1809" t="n">
        <v>-600</v>
      </c>
      <c r="H1809" t="n">
        <v>3.092656</v>
      </c>
      <c r="I1809" t="n">
        <v>2.989792</v>
      </c>
      <c r="J1809" t="n">
        <v>0.102864</v>
      </c>
      <c r="K1809" s="4">
        <f>IFERROR(J1809/I1809,"")</f>
        <v/>
      </c>
      <c r="L1809" s="4">
        <f>IFERROR((D1809-E1809)/E1809,"")</f>
        <v/>
      </c>
    </row>
    <row r="1810">
      <c r="A1810" t="inlineStr">
        <is>
          <t>2026-06-19</t>
        </is>
      </c>
      <c r="B1810" t="inlineStr">
        <is>
          <t>589660</t>
        </is>
      </c>
      <c r="C1810" t="inlineStr">
        <is>
          <t>科创综指ETF南方</t>
        </is>
      </c>
      <c r="D1810" t="n">
        <v>22953</v>
      </c>
      <c r="E1810" t="n">
        <v>23353</v>
      </c>
      <c r="F1810" t="n">
        <v>1.845</v>
      </c>
      <c r="G1810" t="n">
        <v>-400</v>
      </c>
      <c r="H1810" t="n">
        <v>4.308629</v>
      </c>
      <c r="I1810" t="n">
        <v>4.244661</v>
      </c>
      <c r="J1810" t="n">
        <v>0.063968</v>
      </c>
      <c r="K1810" s="4">
        <f>IFERROR(J1810/I1810,"")</f>
        <v/>
      </c>
      <c r="L1810" s="4">
        <f>IFERROR((D1810-E1810)/E1810,"")</f>
        <v/>
      </c>
    </row>
    <row r="1811">
      <c r="A1811" t="inlineStr">
        <is>
          <t>2026-06-19</t>
        </is>
      </c>
      <c r="B1811" t="inlineStr">
        <is>
          <t>589680</t>
        </is>
      </c>
      <c r="C1811" t="inlineStr">
        <is>
          <t>科创综指ETF鹏华</t>
        </is>
      </c>
      <c r="D1811" t="n">
        <v>96494.37</v>
      </c>
      <c r="E1811" t="n">
        <v>95494.37</v>
      </c>
      <c r="F1811" t="n">
        <v>1.791</v>
      </c>
      <c r="G1811" t="n">
        <v>1000</v>
      </c>
      <c r="H1811" t="n">
        <v>17.103041</v>
      </c>
      <c r="I1811" t="n">
        <v>16.741773</v>
      </c>
      <c r="J1811" t="n">
        <v>0.361268</v>
      </c>
      <c r="K1811" s="4">
        <f>IFERROR(J1811/I1811,"")</f>
        <v/>
      </c>
      <c r="L1811" s="4">
        <f>IFERROR((D1811-E1811)/E1811,"")</f>
        <v/>
      </c>
    </row>
    <row r="1812">
      <c r="A1812" t="inlineStr">
        <is>
          <t>2026-06-19</t>
        </is>
      </c>
      <c r="B1812" t="inlineStr">
        <is>
          <t>589700</t>
        </is>
      </c>
      <c r="C1812" t="inlineStr">
        <is>
          <t>科创成长ETF南方</t>
        </is>
      </c>
      <c r="D1812" t="n">
        <v>1429.1</v>
      </c>
      <c r="E1812" t="n">
        <v>1429.1</v>
      </c>
      <c r="F1812" t="n">
        <v>2.728</v>
      </c>
      <c r="G1812" t="n">
        <v>0</v>
      </c>
      <c r="H1812" t="n">
        <v>0.389858</v>
      </c>
      <c r="I1812" t="n">
        <v>0.373138</v>
      </c>
      <c r="J1812" t="n">
        <v>0.01672</v>
      </c>
      <c r="K1812" s="4">
        <f>IFERROR(J1812/I1812,"")</f>
        <v/>
      </c>
      <c r="L1812" s="4">
        <f>IFERROR((D1812-E1812)/E1812,"")</f>
        <v/>
      </c>
    </row>
    <row r="1813">
      <c r="A1813" t="inlineStr">
        <is>
          <t>2026-06-19</t>
        </is>
      </c>
      <c r="B1813" t="inlineStr">
        <is>
          <t>589720</t>
        </is>
      </c>
      <c r="C1813" t="inlineStr">
        <is>
          <t>科创创新药ETF国泰</t>
        </is>
      </c>
      <c r="D1813" t="n">
        <v>191082.3</v>
      </c>
      <c r="E1813" t="n">
        <v>194682.3</v>
      </c>
      <c r="F1813" t="n">
        <v>0.78</v>
      </c>
      <c r="G1813" t="n">
        <v>-3600</v>
      </c>
      <c r="H1813" t="n">
        <v>15.185219</v>
      </c>
      <c r="I1813" t="n">
        <v>14.689697</v>
      </c>
      <c r="J1813" t="n">
        <v>0.495522</v>
      </c>
      <c r="K1813" s="4">
        <f>IFERROR(J1813/I1813,"")</f>
        <v/>
      </c>
      <c r="L1813" s="4">
        <f>IFERROR((D1813-E1813)/E1813,"")</f>
        <v/>
      </c>
    </row>
    <row r="1814">
      <c r="A1814" t="inlineStr">
        <is>
          <t>2026-06-19</t>
        </is>
      </c>
      <c r="B1814" t="inlineStr">
        <is>
          <t>589770</t>
        </is>
      </c>
      <c r="C1814" t="inlineStr">
        <is>
          <t>科创综指ETF招商</t>
        </is>
      </c>
      <c r="D1814" t="n">
        <v>17356.92</v>
      </c>
      <c r="E1814" t="n">
        <v>17856.92</v>
      </c>
      <c r="F1814" t="n">
        <v>1.856</v>
      </c>
      <c r="G1814" t="n">
        <v>-500</v>
      </c>
      <c r="H1814" t="n">
        <v>3.314244</v>
      </c>
      <c r="I1814" t="n">
        <v>3.191031</v>
      </c>
      <c r="J1814" t="n">
        <v>0.123213</v>
      </c>
      <c r="K1814" s="4">
        <f>IFERROR(J1814/I1814,"")</f>
        <v/>
      </c>
      <c r="L1814" s="4">
        <f>IFERROR((D1814-E1814)/E1814,"")</f>
        <v/>
      </c>
    </row>
    <row r="1815">
      <c r="A1815" t="inlineStr">
        <is>
          <t>2026-06-19</t>
        </is>
      </c>
      <c r="B1815" t="inlineStr">
        <is>
          <t>589780</t>
        </is>
      </c>
      <c r="C1815" t="inlineStr">
        <is>
          <t>科创200ETF富国</t>
        </is>
      </c>
      <c r="D1815" t="n">
        <v>5721.5</v>
      </c>
      <c r="E1815" t="n">
        <v>5721.5</v>
      </c>
      <c r="F1815" t="n">
        <v>1.487</v>
      </c>
      <c r="G1815" t="n">
        <v>0</v>
      </c>
      <c r="H1815" t="n">
        <v>0.850787</v>
      </c>
      <c r="I1815" t="n">
        <v>0.830762</v>
      </c>
      <c r="J1815" t="n">
        <v>0.020025</v>
      </c>
      <c r="K1815" s="4">
        <f>IFERROR(J1815/I1815,"")</f>
        <v/>
      </c>
      <c r="L1815" s="4">
        <f>IFERROR((D1815-E1815)/E1815,"")</f>
        <v/>
      </c>
    </row>
    <row r="1816">
      <c r="A1816" t="inlineStr">
        <is>
          <t>2026-06-19</t>
        </is>
      </c>
      <c r="B1816" t="inlineStr">
        <is>
          <t>589800</t>
        </is>
      </c>
      <c r="C1816" t="inlineStr">
        <is>
          <t>科创综指ETF易方达</t>
        </is>
      </c>
      <c r="D1816" t="n">
        <v>95598.82000000001</v>
      </c>
      <c r="E1816" t="n">
        <v>95598.82000000001</v>
      </c>
      <c r="F1816" t="n">
        <v>1.843</v>
      </c>
      <c r="G1816" t="n">
        <v>0</v>
      </c>
      <c r="H1816" t="n">
        <v>17.618863</v>
      </c>
      <c r="I1816" t="n">
        <v>16.982348</v>
      </c>
      <c r="J1816" t="n">
        <v>0.6365150000000001</v>
      </c>
      <c r="K1816" s="4">
        <f>IFERROR(J1816/I1816,"")</f>
        <v/>
      </c>
      <c r="L1816" s="4">
        <f>IFERROR((D1816-E1816)/E1816,"")</f>
        <v/>
      </c>
    </row>
    <row r="1817">
      <c r="A1817" t="inlineStr">
        <is>
          <t>2026-06-19</t>
        </is>
      </c>
      <c r="B1817" t="inlineStr">
        <is>
          <t>589820</t>
        </is>
      </c>
      <c r="C1817" t="inlineStr">
        <is>
          <t>科创200ETF建信</t>
        </is>
      </c>
      <c r="D1817" t="n">
        <v>13272.02</v>
      </c>
      <c r="E1817" t="n">
        <v>13272.02</v>
      </c>
      <c r="F1817" t="n">
        <v>1.52</v>
      </c>
      <c r="G1817" t="n">
        <v>0</v>
      </c>
      <c r="H1817" t="n">
        <v>2.017347</v>
      </c>
      <c r="I1817" t="n">
        <v>1.972222</v>
      </c>
      <c r="J1817" t="n">
        <v>0.045125</v>
      </c>
      <c r="K1817" s="4">
        <f>IFERROR(J1817/I1817,"")</f>
        <v/>
      </c>
      <c r="L1817" s="4">
        <f>IFERROR((D1817-E1817)/E1817,"")</f>
        <v/>
      </c>
    </row>
    <row r="1818">
      <c r="A1818" t="inlineStr">
        <is>
          <t>2026-06-19</t>
        </is>
      </c>
      <c r="B1818" t="inlineStr">
        <is>
          <t>589850</t>
        </is>
      </c>
      <c r="C1818" t="inlineStr">
        <is>
          <t>科创50ETF东财</t>
        </is>
      </c>
      <c r="D1818" t="n">
        <v>31005.7</v>
      </c>
      <c r="E1818" t="n">
        <v>32205.7</v>
      </c>
      <c r="F1818" t="n">
        <v>1.828</v>
      </c>
      <c r="G1818" t="n">
        <v>-1200</v>
      </c>
      <c r="H1818" t="n">
        <v>5.887202</v>
      </c>
      <c r="I1818" t="n">
        <v>6.083682</v>
      </c>
      <c r="J1818" t="n">
        <v>-0.19648</v>
      </c>
      <c r="K1818" s="4">
        <f>IFERROR(J1818/I1818,"")</f>
        <v/>
      </c>
      <c r="L1818" s="4">
        <f>IFERROR((D1818-E1818)/E1818,"")</f>
        <v/>
      </c>
    </row>
    <row r="1819">
      <c r="A1819" t="inlineStr">
        <is>
          <t>2026-06-19</t>
        </is>
      </c>
      <c r="B1819" t="inlineStr">
        <is>
          <t>589860</t>
        </is>
      </c>
      <c r="C1819" t="inlineStr">
        <is>
          <t>科创综指ETF天弘</t>
        </is>
      </c>
      <c r="D1819" t="n">
        <v>16622.4</v>
      </c>
      <c r="E1819" t="n">
        <v>17022.4</v>
      </c>
      <c r="F1819" t="n">
        <v>1.828</v>
      </c>
      <c r="G1819" t="n">
        <v>-400</v>
      </c>
      <c r="H1819" t="n">
        <v>3.111695</v>
      </c>
      <c r="I1819" t="n">
        <v>3.011263</v>
      </c>
      <c r="J1819" t="n">
        <v>0.100432</v>
      </c>
      <c r="K1819" s="4">
        <f>IFERROR(J1819/I1819,"")</f>
        <v/>
      </c>
      <c r="L1819" s="4">
        <f>IFERROR((D1819-E1819)/E1819,"")</f>
        <v/>
      </c>
    </row>
    <row r="1820">
      <c r="A1820" t="inlineStr">
        <is>
          <t>2026-06-19</t>
        </is>
      </c>
      <c r="B1820" t="inlineStr">
        <is>
          <t>589880</t>
        </is>
      </c>
      <c r="C1820" t="inlineStr">
        <is>
          <t>科创综指ETF建信</t>
        </is>
      </c>
      <c r="D1820" t="n">
        <v>48499.6</v>
      </c>
      <c r="E1820" t="n">
        <v>46999.6</v>
      </c>
      <c r="F1820" t="n">
        <v>1.824</v>
      </c>
      <c r="G1820" t="n">
        <v>1500</v>
      </c>
      <c r="H1820" t="n">
        <v>8.572728</v>
      </c>
      <c r="I1820" t="n">
        <v>8.300129999999999</v>
      </c>
      <c r="J1820" t="n">
        <v>0.272598</v>
      </c>
      <c r="K1820" s="4">
        <f>IFERROR(J1820/I1820,"")</f>
        <v/>
      </c>
      <c r="L1820" s="4">
        <f>IFERROR((D1820-E1820)/E1820,"")</f>
        <v/>
      </c>
    </row>
    <row r="1821">
      <c r="A1821" t="inlineStr">
        <is>
          <t>2026-06-19</t>
        </is>
      </c>
      <c r="B1821" t="inlineStr">
        <is>
          <t>589890</t>
        </is>
      </c>
      <c r="C1821" t="inlineStr">
        <is>
          <t>科创综指ETF景顺</t>
        </is>
      </c>
      <c r="D1821" t="n">
        <v>8998.700000000001</v>
      </c>
      <c r="E1821" t="n">
        <v>8998.700000000001</v>
      </c>
      <c r="F1821" t="n">
        <v>1.821</v>
      </c>
      <c r="G1821" t="n">
        <v>0</v>
      </c>
      <c r="H1821" t="n">
        <v>1.638663</v>
      </c>
      <c r="I1821" t="n">
        <v>1.58917</v>
      </c>
      <c r="J1821" t="n">
        <v>0.049493</v>
      </c>
      <c r="K1821" s="4">
        <f>IFERROR(J1821/I1821,"")</f>
        <v/>
      </c>
      <c r="L1821" s="4">
        <f>IFERROR((D1821-E1821)/E1821,"")</f>
        <v/>
      </c>
    </row>
    <row r="1822">
      <c r="A1822" t="inlineStr">
        <is>
          <t>2026-06-19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17390.82</v>
      </c>
      <c r="F1822" t="n">
        <v>1.842</v>
      </c>
      <c r="G1822" t="n">
        <v>0</v>
      </c>
      <c r="H1822" t="n">
        <v>3.203389</v>
      </c>
      <c r="I1822" t="n">
        <v>3.097305</v>
      </c>
      <c r="J1822" t="n">
        <v>0.106084</v>
      </c>
      <c r="K1822" s="4">
        <f>IFERROR(J1822/I1822,"")</f>
        <v/>
      </c>
      <c r="L1822" s="4">
        <f>IFERROR((D1822-E1822)/E1822,"")</f>
        <v/>
      </c>
    </row>
    <row r="1823">
      <c r="A1823" t="inlineStr">
        <is>
          <t>2026-06-19</t>
        </is>
      </c>
      <c r="B1823" t="inlineStr">
        <is>
          <t>589950</t>
        </is>
      </c>
      <c r="C1823" t="inlineStr">
        <is>
          <t>科创100ETF富国</t>
        </is>
      </c>
      <c r="D1823" t="n">
        <v>28887.3</v>
      </c>
      <c r="E1823" t="n">
        <v>29487.3</v>
      </c>
      <c r="F1823" t="n">
        <v>1.515</v>
      </c>
      <c r="G1823" t="n">
        <v>-600</v>
      </c>
      <c r="H1823" t="n">
        <v>4.467326</v>
      </c>
      <c r="I1823" t="n">
        <v>4.414478</v>
      </c>
      <c r="J1823" t="n">
        <v>0.052848</v>
      </c>
      <c r="K1823" s="4">
        <f>IFERROR(J1823/I1823,"")</f>
        <v/>
      </c>
      <c r="L1823" s="4">
        <f>IFERROR((D1823-E1823)/E1823,"")</f>
        <v/>
      </c>
    </row>
    <row r="1824">
      <c r="A1824" t="inlineStr">
        <is>
          <t>2026-06-19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13631.6</v>
      </c>
      <c r="E1824" t="n">
        <v>14331.6</v>
      </c>
      <c r="F1824" t="n">
        <v>1.122</v>
      </c>
      <c r="G1824" t="n">
        <v>-700</v>
      </c>
      <c r="H1824" t="n">
        <v>1.608006</v>
      </c>
      <c r="I1824" t="n">
        <v>1.655207</v>
      </c>
      <c r="J1824" t="n">
        <v>-0.047201</v>
      </c>
      <c r="K1824" s="4">
        <f>IFERROR(J1824/I1824,"")</f>
        <v/>
      </c>
      <c r="L1824" s="4">
        <f>IFERROR((D1824-E1824)/E1824,"")</f>
        <v/>
      </c>
    </row>
    <row r="1825">
      <c r="A1825" t="inlineStr">
        <is>
          <t>2026-06-19</t>
        </is>
      </c>
      <c r="B1825" t="inlineStr">
        <is>
          <t>589980</t>
        </is>
      </c>
      <c r="C1825" t="inlineStr">
        <is>
          <t>科创100ETF汇添富</t>
        </is>
      </c>
      <c r="D1825" t="n">
        <v>12612.2</v>
      </c>
      <c r="E1825" t="n">
        <v>12612.2</v>
      </c>
      <c r="F1825" t="n">
        <v>2.092</v>
      </c>
      <c r="G1825" t="n">
        <v>0</v>
      </c>
      <c r="H1825" t="n">
        <v>2.638472</v>
      </c>
      <c r="I1825" t="n">
        <v>2.644419</v>
      </c>
      <c r="J1825" t="n">
        <v>-0.005947</v>
      </c>
      <c r="K1825" s="4">
        <f>IFERROR(J1825/I1825,"")</f>
        <v/>
      </c>
      <c r="L1825" s="4">
        <f>IFERROR((D1825-E1825)/E1825,"")</f>
        <v/>
      </c>
    </row>
    <row r="1826">
      <c r="A1826" t="inlineStr">
        <is>
          <t>2026-06-19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11009</v>
      </c>
      <c r="F1826" t="n">
        <v>1.898</v>
      </c>
      <c r="G1826" t="n">
        <v>-400</v>
      </c>
      <c r="H1826" t="n">
        <v>2.089508</v>
      </c>
      <c r="I1826" t="n">
        <v>2.019051</v>
      </c>
      <c r="J1826" t="n">
        <v>0.07045700000000001</v>
      </c>
      <c r="K1826" s="4">
        <f>IFERROR(J1826/I1826,"")</f>
        <v/>
      </c>
      <c r="L1826" s="4">
        <f>IFERROR((D1826-E1826)/E1826,"")</f>
        <v/>
      </c>
    </row>
    <row r="1827"/>
    <row r="1828">
      <c r="A1828" t="inlineStr">
        <is>
          <t>2026-06-16</t>
        </is>
      </c>
      <c r="B1828" t="inlineStr">
        <is>
          <t>【全市场汇总】</t>
        </is>
      </c>
      <c r="C1828" t="inlineStr">
        <is>
          <t>1825只</t>
        </is>
      </c>
    </row>
    <row r="1829">
      <c r="A1829" t="inlineStr">
        <is>
          <t>2026-06-16</t>
        </is>
      </c>
      <c r="B1829" t="inlineStr">
        <is>
          <t xml:space="preserve">  ↳ 上交所</t>
        </is>
      </c>
      <c r="C1829" t="inlineStr">
        <is>
          <t>860只</t>
        </is>
      </c>
    </row>
    <row r="1830">
      <c r="A1830" t="inlineStr">
        <is>
          <t>2026-06-16</t>
        </is>
      </c>
      <c r="B1830" t="inlineStr">
        <is>
          <t xml:space="preserve">  ↳ 深交所</t>
        </is>
      </c>
      <c r="C1830" t="inlineStr">
        <is>
          <t>965只</t>
        </is>
      </c>
    </row>
    <row r="1831"/>
    <row r="1832">
      <c r="A1832" t="inlineStr">
        <is>
          <t>2026-06-17</t>
        </is>
      </c>
      <c r="B1832" t="inlineStr">
        <is>
          <t>【全市场汇总】</t>
        </is>
      </c>
      <c r="C1832" t="inlineStr">
        <is>
          <t>1825只</t>
        </is>
      </c>
    </row>
    <row r="1833">
      <c r="A1833" t="inlineStr">
        <is>
          <t>2026-06-17</t>
        </is>
      </c>
      <c r="B1833" t="inlineStr">
        <is>
          <t xml:space="preserve">  ↳ 上交所</t>
        </is>
      </c>
      <c r="C1833" t="inlineStr">
        <is>
          <t>860只</t>
        </is>
      </c>
    </row>
    <row r="1834">
      <c r="A1834" t="inlineStr">
        <is>
          <t>2026-06-17</t>
        </is>
      </c>
      <c r="B1834" t="inlineStr">
        <is>
          <t xml:space="preserve">  ↳ 深交所</t>
        </is>
      </c>
      <c r="C1834" t="inlineStr">
        <is>
          <t>965只</t>
        </is>
      </c>
    </row>
    <row r="1835"/>
    <row r="1836">
      <c r="A1836" t="inlineStr">
        <is>
          <t>2026-06-17</t>
        </is>
      </c>
      <c r="B1836" t="inlineStr">
        <is>
          <t>【全市场汇总】</t>
        </is>
      </c>
      <c r="C1836" t="inlineStr">
        <is>
          <t>1825只</t>
        </is>
      </c>
    </row>
    <row r="1837">
      <c r="A1837" t="inlineStr">
        <is>
          <t>2026-06-17</t>
        </is>
      </c>
      <c r="B1837" t="inlineStr">
        <is>
          <t xml:space="preserve">  ↳ 上交所</t>
        </is>
      </c>
      <c r="C1837" t="inlineStr">
        <is>
          <t>860只</t>
        </is>
      </c>
    </row>
    <row r="1838">
      <c r="A1838" t="inlineStr">
        <is>
          <t>2026-06-17</t>
        </is>
      </c>
      <c r="B1838" t="inlineStr">
        <is>
          <t xml:space="preserve">  ↳ 深交所</t>
        </is>
      </c>
      <c r="C1838" t="inlineStr">
        <is>
          <t>965只</t>
        </is>
      </c>
    </row>
    <row r="1839"/>
    <row r="1840">
      <c r="A1840" t="inlineStr">
        <is>
          <t>2026-06-17</t>
        </is>
      </c>
      <c r="B1840" t="inlineStr">
        <is>
          <t>【全市场汇总】</t>
        </is>
      </c>
      <c r="C1840" t="inlineStr">
        <is>
          <t>1825只</t>
        </is>
      </c>
    </row>
    <row r="1841">
      <c r="A1841" t="inlineStr">
        <is>
          <t>2026-06-17</t>
        </is>
      </c>
      <c r="B1841" t="inlineStr">
        <is>
          <t xml:space="preserve">  ↳ 上交所</t>
        </is>
      </c>
      <c r="C1841" t="inlineStr">
        <is>
          <t>860只</t>
        </is>
      </c>
    </row>
    <row r="1842">
      <c r="A1842" t="inlineStr">
        <is>
          <t>2026-06-17</t>
        </is>
      </c>
      <c r="B1842" t="inlineStr">
        <is>
          <t xml:space="preserve">  ↳ 深交所</t>
        </is>
      </c>
      <c r="C1842" t="inlineStr">
        <is>
          <t>965只</t>
        </is>
      </c>
    </row>
    <row r="1843"/>
    <row r="1844">
      <c r="A1844" t="inlineStr">
        <is>
          <t>2026-06-17</t>
        </is>
      </c>
      <c r="B1844" t="inlineStr">
        <is>
          <t>【全市场汇总】</t>
        </is>
      </c>
      <c r="C1844" t="inlineStr">
        <is>
          <t>1825只</t>
        </is>
      </c>
    </row>
    <row r="1845">
      <c r="A1845" t="inlineStr">
        <is>
          <t>2026-06-17</t>
        </is>
      </c>
      <c r="B1845" t="inlineStr">
        <is>
          <t xml:space="preserve">  ↳ 上交所</t>
        </is>
      </c>
      <c r="C1845" t="inlineStr">
        <is>
          <t>860只</t>
        </is>
      </c>
    </row>
    <row r="1846">
      <c r="A1846" t="inlineStr">
        <is>
          <t>2026-06-17</t>
        </is>
      </c>
      <c r="B1846" t="inlineStr">
        <is>
          <t xml:space="preserve">  ↳ 深交所</t>
        </is>
      </c>
      <c r="C1846" t="inlineStr">
        <is>
          <t>965只</t>
        </is>
      </c>
    </row>
    <row r="1847"/>
    <row r="1848">
      <c r="A1848" t="inlineStr">
        <is>
          <t>2026-06-17</t>
        </is>
      </c>
      <c r="B1848" t="inlineStr">
        <is>
          <t>【全市场汇总】</t>
        </is>
      </c>
      <c r="C1848" t="inlineStr">
        <is>
          <t>1825只</t>
        </is>
      </c>
      <c r="D1848" t="n">
        <v>291906732.7</v>
      </c>
      <c r="H1848" t="n">
        <v>45790.8305</v>
      </c>
      <c r="J1848" t="n">
        <v>99.429</v>
      </c>
    </row>
    <row r="1849">
      <c r="A1849" t="inlineStr">
        <is>
          <t>2026-06-17</t>
        </is>
      </c>
      <c r="B1849" t="inlineStr">
        <is>
          <t xml:space="preserve"> ↳ 上交所</t>
        </is>
      </c>
      <c r="C1849" t="inlineStr">
        <is>
          <t>860只</t>
        </is>
      </c>
      <c r="D1849" t="n">
        <v>183535526.46</v>
      </c>
      <c r="H1849" t="n">
        <v>29955.4573</v>
      </c>
      <c r="J1849" t="n">
        <v>105.7634</v>
      </c>
    </row>
    <row r="1850">
      <c r="A1850" t="inlineStr">
        <is>
          <t>2026-06-17</t>
        </is>
      </c>
      <c r="B1850" t="inlineStr">
        <is>
          <t xml:space="preserve"> ↳ 深交所</t>
        </is>
      </c>
      <c r="C1850" t="inlineStr">
        <is>
          <t>965只</t>
        </is>
      </c>
      <c r="D1850" t="n">
        <v>108371206.24</v>
      </c>
      <c r="H1850" t="n">
        <v>15835.3733</v>
      </c>
      <c r="J1850" t="n">
        <v>-6.3344</v>
      </c>
    </row>
    <row r="1851"/>
    <row r="1852">
      <c r="A1852" t="inlineStr">
        <is>
          <t>2026-06-18</t>
        </is>
      </c>
      <c r="B1852" t="inlineStr">
        <is>
          <t>【全市场汇总】</t>
        </is>
      </c>
      <c r="C1852" t="inlineStr">
        <is>
          <t>1825只</t>
        </is>
      </c>
      <c r="D1852" t="n">
        <v>290431146.25</v>
      </c>
      <c r="H1852" t="n">
        <v>46378.9066</v>
      </c>
      <c r="J1852" t="n">
        <v>-66.3428</v>
      </c>
    </row>
    <row r="1853">
      <c r="A1853" t="inlineStr">
        <is>
          <t>2026-06-18</t>
        </is>
      </c>
      <c r="B1853" t="inlineStr">
        <is>
          <t xml:space="preserve"> ↳ 上交所</t>
        </is>
      </c>
      <c r="C1853" t="inlineStr">
        <is>
          <t>860只</t>
        </is>
      </c>
      <c r="D1853" t="n">
        <v>182672354.06</v>
      </c>
      <c r="H1853" t="n">
        <v>30609.8762</v>
      </c>
      <c r="J1853" t="n">
        <v>0</v>
      </c>
    </row>
    <row r="1854">
      <c r="A1854" t="inlineStr">
        <is>
          <t>2026-06-18</t>
        </is>
      </c>
      <c r="B1854" t="inlineStr">
        <is>
          <t xml:space="preserve"> ↳ 深交所</t>
        </is>
      </c>
      <c r="C1854" t="inlineStr">
        <is>
          <t>965只</t>
        </is>
      </c>
      <c r="D1854" t="n">
        <v>107758792.19</v>
      </c>
      <c r="H1854" t="n">
        <v>15769.0304</v>
      </c>
      <c r="J1854" t="n">
        <v>-66.3428</v>
      </c>
    </row>
    <row r="1855">
      <c r="A1855" t="inlineStr">
        <is>
          <t>2026-06-19</t>
        </is>
      </c>
      <c r="B1855" t="inlineStr">
        <is>
          <t>159039</t>
        </is>
      </c>
      <c r="C1855" t="inlineStr">
        <is>
          <t>机器人ETF华安</t>
        </is>
      </c>
      <c r="D1855" t="n">
        <v>26646.1422</v>
      </c>
      <c r="F1855" t="n">
        <v>0.9993</v>
      </c>
      <c r="H1855" t="n">
        <v>2.662749</v>
      </c>
      <c r="K1855" s="4">
        <f>IFERROR(J1855/I1855,"")</f>
        <v/>
      </c>
      <c r="L1855" s="4">
        <f>IFERROR((D1855-E1855)/E1855,"")</f>
        <v/>
      </c>
    </row>
    <row r="1856">
      <c r="A1856" t="inlineStr">
        <is>
          <t>2026-06-19</t>
        </is>
      </c>
      <c r="B1856" t="inlineStr">
        <is>
          <t>159062</t>
        </is>
      </c>
      <c r="C1856" t="inlineStr">
        <is>
          <t>稀有金属ETF南方</t>
        </is>
      </c>
      <c r="D1856" t="n">
        <v>10820.1256</v>
      </c>
      <c r="F1856" t="n">
        <v>1.0132</v>
      </c>
      <c r="H1856" t="n">
        <v>1.096295</v>
      </c>
      <c r="K1856" s="4">
        <f>IFERROR(J1856/I1856,"")</f>
        <v/>
      </c>
      <c r="L1856" s="4">
        <f>IFERROR((D1856-E1856)/E1856,"")</f>
        <v/>
      </c>
    </row>
    <row r="1857">
      <c r="A1857" t="inlineStr">
        <is>
          <t>2026-06-19</t>
        </is>
      </c>
      <c r="B1857" t="inlineStr">
        <is>
          <t>159071</t>
        </is>
      </c>
      <c r="C1857" t="inlineStr">
        <is>
          <t>新能源电池ETF华宝</t>
        </is>
      </c>
      <c r="D1857" t="n">
        <v>25591.1738</v>
      </c>
      <c r="F1857" t="n">
        <v>1.0435</v>
      </c>
      <c r="H1857" t="n">
        <v>2.670439</v>
      </c>
      <c r="K1857" s="4">
        <f>IFERROR(J1857/I1857,"")</f>
        <v/>
      </c>
      <c r="L1857" s="4">
        <f>IFERROR((D1857-E1857)/E1857,"")</f>
        <v/>
      </c>
    </row>
    <row r="1859">
      <c r="A1859" t="inlineStr">
        <is>
          <t>2026-06-19</t>
        </is>
      </c>
      <c r="B1859" t="inlineStr">
        <is>
          <t>【全市场汇总】</t>
        </is>
      </c>
      <c r="C1859" t="inlineStr">
        <is>
          <t>1828只</t>
        </is>
      </c>
      <c r="D1859" t="n">
        <v>289331263.39</v>
      </c>
      <c r="H1859" t="n">
        <v>46277.2875</v>
      </c>
      <c r="J1859" t="n">
        <v>-108.0486</v>
      </c>
    </row>
    <row r="1860">
      <c r="A1860" t="inlineStr">
        <is>
          <t>2026-06-19</t>
        </is>
      </c>
      <c r="B1860" t="inlineStr">
        <is>
          <t xml:space="preserve"> ↳ 上交所</t>
        </is>
      </c>
      <c r="C1860" t="inlineStr">
        <is>
          <t>860只</t>
        </is>
      </c>
      <c r="D1860" t="n">
        <v>181971481.56</v>
      </c>
      <c r="H1860" t="n">
        <v>30476.2113</v>
      </c>
      <c r="J1860" t="n">
        <v>-133.6648</v>
      </c>
    </row>
    <row r="1861">
      <c r="A1861" t="inlineStr">
        <is>
          <t>2026-06-19</t>
        </is>
      </c>
      <c r="B1861" t="inlineStr">
        <is>
          <t xml:space="preserve"> ↳ 深交所</t>
        </is>
      </c>
      <c r="C1861" t="inlineStr">
        <is>
          <t>968只</t>
        </is>
      </c>
      <c r="D1861" t="n">
        <v>107359781.83</v>
      </c>
      <c r="H1861" t="n">
        <v>15801.0762</v>
      </c>
      <c r="J1861" t="n">
        <v>25.6163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18" t="inlineStr">
        <is>
          <t>2026-06-19</t>
        </is>
      </c>
    </row>
    <row r="2" ht="12" customFormat="1" customHeight="1" s="1">
      <c r="A2" s="19" t="inlineStr">
        <is>
          <t>份额变化百分比排名（增加前30）</t>
        </is>
      </c>
      <c r="D2" s="19" t="inlineStr">
        <is>
          <t>市值增长最多排名（前30）</t>
        </is>
      </c>
      <c r="G2" s="19" t="inlineStr">
        <is>
          <t>市值增长百分比排名（前30）</t>
        </is>
      </c>
    </row>
    <row r="3">
      <c r="A3" s="20" t="inlineStr">
        <is>
          <t>代码</t>
        </is>
      </c>
      <c r="B3" s="20" t="inlineStr">
        <is>
          <t>名称</t>
        </is>
      </c>
      <c r="C3" s="20" t="inlineStr">
        <is>
          <t>份额变化百分比</t>
        </is>
      </c>
      <c r="D3" s="20" t="inlineStr">
        <is>
          <t>代码</t>
        </is>
      </c>
      <c r="E3" s="20" t="inlineStr">
        <is>
          <t>名称</t>
        </is>
      </c>
      <c r="F3" s="20" t="inlineStr">
        <is>
          <t>增长值（亿）</t>
        </is>
      </c>
      <c r="G3" s="20" t="inlineStr">
        <is>
          <t>代码</t>
        </is>
      </c>
      <c r="H3" s="20" t="inlineStr">
        <is>
          <t>名称</t>
        </is>
      </c>
      <c r="I3" s="20" t="inlineStr">
        <is>
          <t>百分比</t>
        </is>
      </c>
    </row>
    <row r="4">
      <c r="A4" s="21" t="inlineStr">
        <is>
          <t>159175</t>
        </is>
      </c>
      <c r="B4" s="22" t="inlineStr">
        <is>
          <t>电池ETF易方达</t>
        </is>
      </c>
      <c r="C4" s="23" t="n">
        <v>0.2847500382244071</v>
      </c>
      <c r="D4" s="21" t="inlineStr">
        <is>
          <t>159516</t>
        </is>
      </c>
      <c r="E4" s="22" t="inlineStr">
        <is>
          <t>半导体设备ETF国泰</t>
        </is>
      </c>
      <c r="F4" s="24" t="n">
        <v>35.347396</v>
      </c>
      <c r="G4" s="21" t="inlineStr">
        <is>
          <t>511020</t>
        </is>
      </c>
      <c r="H4" s="22" t="inlineStr">
        <is>
          <t>国债ETF平安</t>
        </is>
      </c>
      <c r="I4" s="23" t="n">
        <v>0.3422962801289051</v>
      </c>
    </row>
    <row r="5">
      <c r="A5" s="21" t="inlineStr">
        <is>
          <t>510720</t>
        </is>
      </c>
      <c r="B5" s="22" t="inlineStr">
        <is>
          <t>红利国企ETF国泰</t>
        </is>
      </c>
      <c r="C5" s="23" t="n">
        <v>0.2018181594751026</v>
      </c>
      <c r="D5" s="21" t="inlineStr">
        <is>
          <t>515880</t>
        </is>
      </c>
      <c r="E5" s="22" t="inlineStr">
        <is>
          <t>通信ETF国泰</t>
        </is>
      </c>
      <c r="F5" s="24" t="n">
        <v>17.521098</v>
      </c>
      <c r="G5" s="21" t="inlineStr">
        <is>
          <t>159175</t>
        </is>
      </c>
      <c r="H5" s="22" t="inlineStr">
        <is>
          <t>电池ETF易方达</t>
        </is>
      </c>
      <c r="I5" s="23" t="n">
        <v>0.2803325723726871</v>
      </c>
    </row>
    <row r="6">
      <c r="A6" s="21" t="inlineStr">
        <is>
          <t>511020</t>
        </is>
      </c>
      <c r="B6" s="22" t="inlineStr">
        <is>
          <t>国债ETF平安</t>
        </is>
      </c>
      <c r="C6" s="23" t="n">
        <v>0.1898123324396783</v>
      </c>
      <c r="D6" s="21" t="inlineStr">
        <is>
          <t>588080</t>
        </is>
      </c>
      <c r="E6" s="22" t="inlineStr">
        <is>
          <t>科创50ETF易方达</t>
        </is>
      </c>
      <c r="F6" s="24" t="n">
        <v>13.769601</v>
      </c>
      <c r="G6" s="21" t="inlineStr">
        <is>
          <t>588010</t>
        </is>
      </c>
      <c r="H6" s="22" t="inlineStr">
        <is>
          <t>科创新材料ETF博时</t>
        </is>
      </c>
      <c r="I6" s="23" t="n">
        <v>0.2106292842818456</v>
      </c>
    </row>
    <row r="7">
      <c r="A7" s="21" t="inlineStr">
        <is>
          <t>159140</t>
        </is>
      </c>
      <c r="B7" s="22" t="inlineStr">
        <is>
          <t>科创创业人工智能ETF易方达</t>
        </is>
      </c>
      <c r="C7" s="23" t="n">
        <v>0.1714595154621534</v>
      </c>
      <c r="D7" s="21" t="inlineStr">
        <is>
          <t>551520</t>
        </is>
      </c>
      <c r="E7" s="22" t="inlineStr">
        <is>
          <t>科创债ETF汇添富</t>
        </is>
      </c>
      <c r="F7" s="24" t="n">
        <v>12.724294</v>
      </c>
      <c r="G7" s="21" t="inlineStr">
        <is>
          <t>159140</t>
        </is>
      </c>
      <c r="H7" s="22" t="inlineStr">
        <is>
          <t>科创创业人工智能ETF易方达</t>
        </is>
      </c>
      <c r="I7" s="23" t="n">
        <v>0.2047886205971031</v>
      </c>
    </row>
    <row r="8">
      <c r="A8" s="21" t="inlineStr">
        <is>
          <t>589020</t>
        </is>
      </c>
      <c r="B8" s="22" t="inlineStr">
        <is>
          <t>科创半导体设备ETF鹏华</t>
        </is>
      </c>
      <c r="C8" s="23" t="n">
        <v>0.1508654727864617</v>
      </c>
      <c r="D8" s="21" t="inlineStr">
        <is>
          <t>588200</t>
        </is>
      </c>
      <c r="E8" s="22" t="inlineStr">
        <is>
          <t>科创芯片ETF嘉实</t>
        </is>
      </c>
      <c r="F8" s="24" t="n">
        <v>11.679383</v>
      </c>
      <c r="G8" s="21" t="inlineStr">
        <is>
          <t>159325</t>
        </is>
      </c>
      <c r="H8" s="22" t="inlineStr">
        <is>
          <t>半导体ETF南方</t>
        </is>
      </c>
      <c r="I8" s="23" t="n">
        <v>0.1744186088073577</v>
      </c>
    </row>
    <row r="9">
      <c r="A9" s="21" t="inlineStr">
        <is>
          <t>588160</t>
        </is>
      </c>
      <c r="B9" s="22" t="inlineStr">
        <is>
          <t>科创新材料ETF南方</t>
        </is>
      </c>
      <c r="C9" s="23" t="n">
        <v>0.1321120310022899</v>
      </c>
      <c r="D9" s="21" t="inlineStr">
        <is>
          <t>159995</t>
        </is>
      </c>
      <c r="E9" s="22" t="inlineStr">
        <is>
          <t>芯片ETF华夏</t>
        </is>
      </c>
      <c r="F9" s="24" t="n">
        <v>10.294854</v>
      </c>
      <c r="G9" s="21" t="inlineStr">
        <is>
          <t>562910</t>
        </is>
      </c>
      <c r="H9" s="22" t="inlineStr">
        <is>
          <t>高端制造ETF易方达</t>
        </is>
      </c>
      <c r="I9" s="23" t="n">
        <v>0.1634621655231658</v>
      </c>
    </row>
    <row r="10">
      <c r="A10" s="21" t="inlineStr">
        <is>
          <t>159775</t>
        </is>
      </c>
      <c r="B10" s="22" t="inlineStr">
        <is>
          <t>电池ETF建信</t>
        </is>
      </c>
      <c r="C10" s="23" t="n">
        <v>0.1229953092198559</v>
      </c>
      <c r="D10" s="21" t="inlineStr">
        <is>
          <t>159558</t>
        </is>
      </c>
      <c r="E10" s="22" t="inlineStr">
        <is>
          <t>半导体设备ETF易方达</t>
        </is>
      </c>
      <c r="F10" s="24" t="n">
        <v>9.949104</v>
      </c>
      <c r="G10" s="21" t="inlineStr">
        <is>
          <t>588160</t>
        </is>
      </c>
      <c r="H10" s="22" t="inlineStr">
        <is>
          <t>科创新材料ETF南方</t>
        </is>
      </c>
      <c r="I10" s="23" t="n">
        <v>0.1464143802653678</v>
      </c>
    </row>
    <row r="11">
      <c r="A11" s="21" t="inlineStr">
        <is>
          <t>165512</t>
        </is>
      </c>
      <c r="B11" s="22" t="inlineStr">
        <is>
          <t>中信保诚机遇LOF</t>
        </is>
      </c>
      <c r="C11" s="23" t="n">
        <v>0.1146629885057471</v>
      </c>
      <c r="D11" s="21" t="inlineStr">
        <is>
          <t>515050</t>
        </is>
      </c>
      <c r="E11" s="22" t="inlineStr">
        <is>
          <t>通信ETF华夏</t>
        </is>
      </c>
      <c r="F11" s="24" t="n">
        <v>9.083843</v>
      </c>
      <c r="G11" s="21" t="inlineStr">
        <is>
          <t>159516</t>
        </is>
      </c>
      <c r="H11" s="22" t="inlineStr">
        <is>
          <t>半导体设备ETF国泰</t>
        </is>
      </c>
      <c r="I11" s="23" t="n">
        <v>0.1438793640223177</v>
      </c>
    </row>
    <row r="12">
      <c r="A12" s="21" t="inlineStr">
        <is>
          <t>561310</t>
        </is>
      </c>
      <c r="B12" s="22" t="inlineStr">
        <is>
          <t>消电ETF国泰</t>
        </is>
      </c>
      <c r="C12" s="23" t="n">
        <v>0.1054946909796765</v>
      </c>
      <c r="D12" s="21" t="inlineStr">
        <is>
          <t>511270</t>
        </is>
      </c>
      <c r="E12" s="22" t="inlineStr">
        <is>
          <t>10年地方债ETF海富通</t>
        </is>
      </c>
      <c r="F12" s="24" t="n">
        <v>7.463702</v>
      </c>
      <c r="G12" s="21" t="inlineStr">
        <is>
          <t>159327</t>
        </is>
      </c>
      <c r="H12" s="22" t="inlineStr">
        <is>
          <t>半导体设备ETF万家</t>
        </is>
      </c>
      <c r="I12" s="23" t="n">
        <v>0.141797973463088</v>
      </c>
    </row>
    <row r="13">
      <c r="A13" s="21" t="inlineStr">
        <is>
          <t>159325</t>
        </is>
      </c>
      <c r="B13" s="22" t="inlineStr">
        <is>
          <t>半导体ETF南方</t>
        </is>
      </c>
      <c r="C13" s="23" t="n">
        <v>0.1009401973744243</v>
      </c>
      <c r="D13" s="21" t="inlineStr">
        <is>
          <t>511020</t>
        </is>
      </c>
      <c r="E13" s="22" t="inlineStr">
        <is>
          <t>国债ETF平安</t>
        </is>
      </c>
      <c r="F13" s="24" t="n">
        <v>6.983629</v>
      </c>
      <c r="G13" s="21" t="inlineStr">
        <is>
          <t>588850</t>
        </is>
      </c>
      <c r="H13" s="22" t="inlineStr">
        <is>
          <t>科创机械ETF嘉实</t>
        </is>
      </c>
      <c r="I13" s="23" t="n">
        <v>0.1254724841095859</v>
      </c>
    </row>
    <row r="14">
      <c r="A14" s="21" t="inlineStr">
        <is>
          <t>560450</t>
        </is>
      </c>
      <c r="B14" s="22" t="inlineStr">
        <is>
          <t>电力ETF天弘</t>
        </is>
      </c>
      <c r="C14" s="23" t="n">
        <v>0.09579578428879468</v>
      </c>
      <c r="D14" s="21" t="inlineStr">
        <is>
          <t>159915</t>
        </is>
      </c>
      <c r="E14" s="22" t="inlineStr">
        <is>
          <t>创业板ETF易方达</t>
        </is>
      </c>
      <c r="F14" s="24" t="n">
        <v>6.766875</v>
      </c>
      <c r="G14" s="21" t="inlineStr">
        <is>
          <t>159775</t>
        </is>
      </c>
      <c r="H14" s="22" t="inlineStr">
        <is>
          <t>电池ETF建信</t>
        </is>
      </c>
      <c r="I14" s="23" t="n">
        <v>0.1218043376721806</v>
      </c>
    </row>
    <row r="15">
      <c r="A15" s="21" t="inlineStr">
        <is>
          <t>162607</t>
        </is>
      </c>
      <c r="B15" s="22" t="inlineStr">
        <is>
          <t>景顺资源LOF</t>
        </is>
      </c>
      <c r="C15" s="23" t="n">
        <v>0.09268301010539974</v>
      </c>
      <c r="D15" s="21" t="inlineStr">
        <is>
          <t>512480</t>
        </is>
      </c>
      <c r="E15" s="22" t="inlineStr">
        <is>
          <t>半导体ETF国联安</t>
        </is>
      </c>
      <c r="F15" s="24" t="n">
        <v>5.321203</v>
      </c>
      <c r="G15" s="21" t="inlineStr">
        <is>
          <t>159558</t>
        </is>
      </c>
      <c r="H15" s="22" t="inlineStr">
        <is>
          <t>半导体设备ETF易方达</t>
        </is>
      </c>
      <c r="I15" s="23" t="n">
        <v>0.1195559802918912</v>
      </c>
    </row>
    <row r="16">
      <c r="A16" s="21" t="inlineStr">
        <is>
          <t>588070</t>
        </is>
      </c>
      <c r="B16" s="22" t="inlineStr">
        <is>
          <t>科创成长ETF万家</t>
        </is>
      </c>
      <c r="C16" s="23" t="n">
        <v>0.08913847662343451</v>
      </c>
      <c r="D16" s="21" t="inlineStr">
        <is>
          <t>588000</t>
        </is>
      </c>
      <c r="E16" s="22" t="inlineStr">
        <is>
          <t>科创50ETF华夏</t>
        </is>
      </c>
      <c r="F16" s="24" t="n">
        <v>5.180711</v>
      </c>
      <c r="G16" s="21" t="inlineStr">
        <is>
          <t>159546</t>
        </is>
      </c>
      <c r="H16" s="22" t="inlineStr">
        <is>
          <t>集成电路ETF国泰</t>
        </is>
      </c>
      <c r="I16" s="23" t="n">
        <v>0.1188078570331105</v>
      </c>
    </row>
    <row r="17">
      <c r="A17" s="21" t="inlineStr">
        <is>
          <t>588710</t>
        </is>
      </c>
      <c r="B17" s="22" t="inlineStr">
        <is>
          <t>科创半导体设备ETF华泰柏瑞</t>
        </is>
      </c>
      <c r="C17" s="23" t="n">
        <v>0.08393796221519913</v>
      </c>
      <c r="D17" s="21" t="inlineStr">
        <is>
          <t>511150</t>
        </is>
      </c>
      <c r="E17" s="22" t="inlineStr">
        <is>
          <t>科创债ETF永赢</t>
        </is>
      </c>
      <c r="F17" s="24" t="n">
        <v>5.061698</v>
      </c>
      <c r="G17" s="21" t="inlineStr">
        <is>
          <t>159153</t>
        </is>
      </c>
      <c r="H17" s="22" t="inlineStr">
        <is>
          <t>消费电子ETF鹏华</t>
        </is>
      </c>
      <c r="I17" s="23" t="n">
        <v>0.1179536643876598</v>
      </c>
    </row>
    <row r="18">
      <c r="A18" s="21" t="inlineStr">
        <is>
          <t>560010</t>
        </is>
      </c>
      <c r="B18" s="22" t="inlineStr">
        <is>
          <t>中证1000ETF广发</t>
        </is>
      </c>
      <c r="C18" s="23" t="n">
        <v>0.08277630098351368</v>
      </c>
      <c r="D18" s="21" t="inlineStr">
        <is>
          <t>159949</t>
        </is>
      </c>
      <c r="E18" s="22" t="inlineStr">
        <is>
          <t>创业板50ETF华安</t>
        </is>
      </c>
      <c r="F18" s="24" t="n">
        <v>4.640695</v>
      </c>
      <c r="G18" s="21" t="inlineStr">
        <is>
          <t>588410</t>
        </is>
      </c>
      <c r="H18" s="22" t="inlineStr">
        <is>
          <t>科创创业人工智能ETF鹏华</t>
        </is>
      </c>
      <c r="I18" s="23" t="n">
        <v>0.1166528673227011</v>
      </c>
    </row>
    <row r="19">
      <c r="A19" s="21" t="inlineStr">
        <is>
          <t>561300</t>
        </is>
      </c>
      <c r="B19" s="22" t="inlineStr">
        <is>
          <t>沪深300增强ETF国泰</t>
        </is>
      </c>
      <c r="C19" s="23" t="n">
        <v>0.07715057220007715</v>
      </c>
      <c r="D19" s="21" t="inlineStr">
        <is>
          <t>159781</t>
        </is>
      </c>
      <c r="E19" s="22" t="inlineStr">
        <is>
          <t>科创创业ETF易方达</t>
        </is>
      </c>
      <c r="F19" s="24" t="n">
        <v>4.498623</v>
      </c>
      <c r="G19" s="21" t="inlineStr">
        <is>
          <t>588320</t>
        </is>
      </c>
      <c r="H19" s="22" t="inlineStr">
        <is>
          <t>双创50增强ETF广发</t>
        </is>
      </c>
      <c r="I19" s="23" t="n">
        <v>0.1161282830196752</v>
      </c>
    </row>
    <row r="20">
      <c r="A20" s="21" t="inlineStr">
        <is>
          <t>560270</t>
        </is>
      </c>
      <c r="B20" s="22" t="inlineStr">
        <is>
          <t>电力ETF工银</t>
        </is>
      </c>
      <c r="C20" s="23" t="n">
        <v>0.07642126178450594</v>
      </c>
      <c r="D20" s="21" t="inlineStr">
        <is>
          <t>159259</t>
        </is>
      </c>
      <c r="E20" s="22" t="inlineStr">
        <is>
          <t>成长ETF易方达</t>
        </is>
      </c>
      <c r="F20" s="24" t="n">
        <v>4.281316</v>
      </c>
      <c r="G20" s="21" t="inlineStr">
        <is>
          <t>560010</t>
        </is>
      </c>
      <c r="H20" s="22" t="inlineStr">
        <is>
          <t>中证1000ETF广发</t>
        </is>
      </c>
      <c r="I20" s="23" t="n">
        <v>0.1118638185884381</v>
      </c>
    </row>
    <row r="21">
      <c r="A21" s="21" t="inlineStr">
        <is>
          <t>588850</t>
        </is>
      </c>
      <c r="B21" s="22" t="inlineStr">
        <is>
          <t>科创机械ETF嘉实</t>
        </is>
      </c>
      <c r="C21" s="23" t="n">
        <v>0.07248215127024971</v>
      </c>
      <c r="D21" s="21" t="inlineStr">
        <is>
          <t>513120</t>
        </is>
      </c>
      <c r="E21" s="22" t="inlineStr">
        <is>
          <t>港股创新药ETF广发</t>
        </is>
      </c>
      <c r="F21" s="24" t="n">
        <v>4.183826</v>
      </c>
      <c r="G21" s="21" t="inlineStr">
        <is>
          <t>165512</t>
        </is>
      </c>
      <c r="H21" s="22" t="inlineStr">
        <is>
          <t>中信保诚机遇LOF</t>
        </is>
      </c>
      <c r="I21" s="23" t="n">
        <v>0.1099881093935791</v>
      </c>
    </row>
    <row r="22">
      <c r="A22" s="21" t="inlineStr">
        <is>
          <t>160125</t>
        </is>
      </c>
      <c r="B22" s="22" t="inlineStr">
        <is>
          <t>南方香港LOF</t>
        </is>
      </c>
      <c r="C22" s="23" t="n">
        <v>0.07022159140879275</v>
      </c>
      <c r="D22" s="21" t="inlineStr">
        <is>
          <t>159732</t>
        </is>
      </c>
      <c r="E22" s="22" t="inlineStr">
        <is>
          <t>消费电子ETF华夏</t>
        </is>
      </c>
      <c r="F22" s="24" t="n">
        <v>4.135346</v>
      </c>
      <c r="G22" s="21" t="inlineStr">
        <is>
          <t>561600</t>
        </is>
      </c>
      <c r="H22" s="22" t="inlineStr">
        <is>
          <t>消费电子ETF平安</t>
        </is>
      </c>
      <c r="I22" s="23" t="n">
        <v>0.1037861164260052</v>
      </c>
    </row>
    <row r="23">
      <c r="A23" s="21" t="inlineStr">
        <is>
          <t>159715</t>
        </is>
      </c>
      <c r="B23" s="22" t="inlineStr">
        <is>
          <t>稀土ETF易方达</t>
        </is>
      </c>
      <c r="C23" s="23" t="n">
        <v>0.06982394163791526</v>
      </c>
      <c r="D23" s="21" t="inlineStr">
        <is>
          <t>513310</t>
        </is>
      </c>
      <c r="E23" s="22" t="inlineStr">
        <is>
          <t>中韩半导体ETF华泰柏瑞</t>
        </is>
      </c>
      <c r="F23" s="24" t="n">
        <v>4.052076</v>
      </c>
      <c r="G23" s="21" t="inlineStr">
        <is>
          <t>159178</t>
        </is>
      </c>
      <c r="H23" s="22" t="inlineStr">
        <is>
          <t>消费电子ETF汇添富</t>
        </is>
      </c>
      <c r="I23" s="23" t="n">
        <v>0.09817701286520825</v>
      </c>
    </row>
    <row r="24">
      <c r="A24" s="21" t="inlineStr">
        <is>
          <t>159153</t>
        </is>
      </c>
      <c r="B24" s="22" t="inlineStr">
        <is>
          <t>消费电子ETF鹏华</t>
        </is>
      </c>
      <c r="C24" s="23" t="n">
        <v>0.06800717267116352</v>
      </c>
      <c r="D24" s="21" t="inlineStr">
        <is>
          <t>515070</t>
        </is>
      </c>
      <c r="E24" s="22" t="inlineStr">
        <is>
          <t>人工智能ETF华夏</t>
        </is>
      </c>
      <c r="F24" s="24" t="n">
        <v>3.805163</v>
      </c>
      <c r="G24" s="21" t="inlineStr">
        <is>
          <t>159732</t>
        </is>
      </c>
      <c r="H24" s="22" t="inlineStr">
        <is>
          <t>消费电子ETF华夏</t>
        </is>
      </c>
      <c r="I24" s="23" t="n">
        <v>0.09238943847627332</v>
      </c>
    </row>
    <row r="25">
      <c r="A25" s="21" t="inlineStr">
        <is>
          <t>159516</t>
        </is>
      </c>
      <c r="B25" s="22" t="inlineStr">
        <is>
          <t>半导体设备ETF国泰</t>
        </is>
      </c>
      <c r="C25" s="23" t="n">
        <v>0.06551364173769783</v>
      </c>
      <c r="D25" s="21" t="inlineStr">
        <is>
          <t>159338</t>
        </is>
      </c>
      <c r="E25" s="22" t="inlineStr">
        <is>
          <t>中证A500ETF国泰</t>
        </is>
      </c>
      <c r="F25" s="24" t="n">
        <v>3.764305</v>
      </c>
      <c r="G25" s="21" t="inlineStr">
        <is>
          <t>510770</t>
        </is>
      </c>
      <c r="H25" s="22" t="inlineStr">
        <is>
          <t>G60创新ETF申万菱信</t>
        </is>
      </c>
      <c r="I25" s="23" t="n">
        <v>0.09204368721189278</v>
      </c>
    </row>
    <row r="26">
      <c r="A26" s="21" t="inlineStr">
        <is>
          <t>159546</t>
        </is>
      </c>
      <c r="B26" s="22" t="inlineStr">
        <is>
          <t>集成电路ETF国泰</t>
        </is>
      </c>
      <c r="C26" s="23" t="n">
        <v>0.06383959109362969</v>
      </c>
      <c r="D26" s="21" t="inlineStr">
        <is>
          <t>560010</t>
        </is>
      </c>
      <c r="E26" s="22" t="inlineStr">
        <is>
          <t>中证1000ETF广发</t>
        </is>
      </c>
      <c r="F26" s="24" t="n">
        <v>3.621853</v>
      </c>
      <c r="G26" s="21" t="inlineStr">
        <is>
          <t>159259</t>
        </is>
      </c>
      <c r="H26" s="22" t="inlineStr">
        <is>
          <t>成长ETF易方达</t>
        </is>
      </c>
      <c r="I26" s="23" t="n">
        <v>0.08985596989558169</v>
      </c>
    </row>
    <row r="27">
      <c r="A27" s="21" t="inlineStr">
        <is>
          <t>588940</t>
        </is>
      </c>
      <c r="B27" s="22" t="inlineStr">
        <is>
          <t>科创50ETF富国</t>
        </is>
      </c>
      <c r="C27" s="23" t="n">
        <v>0.06375856755751554</v>
      </c>
      <c r="D27" s="21" t="inlineStr">
        <is>
          <t>159206</t>
        </is>
      </c>
      <c r="E27" s="22" t="inlineStr">
        <is>
          <t>卫星ETF永赢</t>
        </is>
      </c>
      <c r="F27" s="24" t="n">
        <v>3.168507</v>
      </c>
      <c r="G27" s="21" t="inlineStr">
        <is>
          <t>589070</t>
        </is>
      </c>
      <c r="H27" s="22" t="inlineStr">
        <is>
          <t>科创芯片设计ETF天弘</t>
        </is>
      </c>
      <c r="I27" s="23" t="n">
        <v>0.08629972197373011</v>
      </c>
    </row>
    <row r="28">
      <c r="A28" s="21" t="inlineStr">
        <is>
          <t>159327</t>
        </is>
      </c>
      <c r="B28" s="22" t="inlineStr">
        <is>
          <t>半导体设备ETF万家</t>
        </is>
      </c>
      <c r="C28" s="23" t="n">
        <v>0.06344395344739781</v>
      </c>
      <c r="D28" s="21" t="inlineStr">
        <is>
          <t>511030</t>
        </is>
      </c>
      <c r="E28" s="22" t="inlineStr">
        <is>
          <t>公司债ETF平安</t>
        </is>
      </c>
      <c r="F28" s="24" t="n">
        <v>3.120013</v>
      </c>
      <c r="G28" s="21" t="inlineStr">
        <is>
          <t>511270</t>
        </is>
      </c>
      <c r="H28" s="22" t="inlineStr">
        <is>
          <t>10年地方债ETF海富通</t>
        </is>
      </c>
      <c r="I28" s="23" t="n">
        <v>0.08537012813808369</v>
      </c>
    </row>
    <row r="29">
      <c r="A29" s="21" t="inlineStr">
        <is>
          <t>530180</t>
        </is>
      </c>
      <c r="B29" s="22" t="inlineStr">
        <is>
          <t>上证180ETF易方达</t>
        </is>
      </c>
      <c r="C29" s="23" t="n">
        <v>0.06254691018263699</v>
      </c>
      <c r="D29" s="21" t="inlineStr">
        <is>
          <t>159112</t>
        </is>
      </c>
      <c r="E29" s="22" t="inlineStr">
        <is>
          <t>科创债ETF银华</t>
        </is>
      </c>
      <c r="F29" s="24" t="n">
        <v>3.107142</v>
      </c>
      <c r="G29" s="21" t="inlineStr">
        <is>
          <t>510720</t>
        </is>
      </c>
      <c r="H29" s="22" t="inlineStr">
        <is>
          <t>红利国企ETF国泰</t>
        </is>
      </c>
      <c r="I29" s="23" t="n">
        <v>0.08483912139534727</v>
      </c>
    </row>
    <row r="30">
      <c r="A30" s="21" t="inlineStr">
        <is>
          <t>159259</t>
        </is>
      </c>
      <c r="B30" s="22" t="inlineStr">
        <is>
          <t>成长ETF易方达</t>
        </is>
      </c>
      <c r="C30" s="23" t="n">
        <v>0.06007711633649766</v>
      </c>
      <c r="D30" s="21" t="inlineStr">
        <is>
          <t>159113</t>
        </is>
      </c>
      <c r="E30" s="22" t="inlineStr">
        <is>
          <t>科创债ETF大成</t>
        </is>
      </c>
      <c r="F30" s="24" t="n">
        <v>3.073158</v>
      </c>
      <c r="G30" s="21" t="inlineStr">
        <is>
          <t>159997</t>
        </is>
      </c>
      <c r="H30" s="22" t="inlineStr">
        <is>
          <t>电子ETF天弘</t>
        </is>
      </c>
      <c r="I30" s="23" t="n">
        <v>0.08136658453111434</v>
      </c>
    </row>
    <row r="31">
      <c r="A31" s="21" t="inlineStr">
        <is>
          <t>561100</t>
        </is>
      </c>
      <c r="B31" s="22" t="inlineStr">
        <is>
          <t>消费电子ETF富国</t>
        </is>
      </c>
      <c r="C31" s="23" t="n">
        <v>0.05776210224345942</v>
      </c>
      <c r="D31" s="21" t="inlineStr">
        <is>
          <t>159967</t>
        </is>
      </c>
      <c r="E31" s="22" t="inlineStr">
        <is>
          <t>创业板成长ETF华夏</t>
        </is>
      </c>
      <c r="F31" s="24" t="n">
        <v>3.02093</v>
      </c>
      <c r="G31" s="21" t="inlineStr">
        <is>
          <t>162607</t>
        </is>
      </c>
      <c r="H31" s="22" t="inlineStr">
        <is>
          <t>景顺资源LOF</t>
        </is>
      </c>
      <c r="I31" s="23" t="n">
        <v>0.08127876567233182</v>
      </c>
    </row>
    <row r="32">
      <c r="A32" s="21" t="inlineStr">
        <is>
          <t>510770</t>
        </is>
      </c>
      <c r="B32" s="22" t="inlineStr">
        <is>
          <t>G60创新ETF申万菱信</t>
        </is>
      </c>
      <c r="C32" s="23" t="n">
        <v>0.05744771300654521</v>
      </c>
      <c r="D32" s="21" t="inlineStr">
        <is>
          <t>515980</t>
        </is>
      </c>
      <c r="E32" s="22" t="inlineStr">
        <is>
          <t>人工智能ETF华富</t>
        </is>
      </c>
      <c r="F32" s="24" t="n">
        <v>2.888597</v>
      </c>
      <c r="G32" s="21" t="inlineStr">
        <is>
          <t>512810</t>
        </is>
      </c>
      <c r="H32" s="22" t="inlineStr">
        <is>
          <t>军工ETF华宝</t>
        </is>
      </c>
      <c r="I32" s="23" t="n">
        <v>0.08039451476040436</v>
      </c>
    </row>
    <row r="33">
      <c r="A33" s="21" t="inlineStr">
        <is>
          <t>159661</t>
        </is>
      </c>
      <c r="B33" s="22" t="inlineStr">
        <is>
          <t>A100ETF嘉实</t>
        </is>
      </c>
      <c r="C33" s="23" t="n">
        <v>0.05513041227661662</v>
      </c>
      <c r="D33" s="21" t="inlineStr">
        <is>
          <t>159352</t>
        </is>
      </c>
      <c r="E33" s="22" t="inlineStr">
        <is>
          <t>A500ETF南方</t>
        </is>
      </c>
      <c r="F33" s="24" t="n">
        <v>2.843699</v>
      </c>
      <c r="G33" s="21" t="inlineStr">
        <is>
          <t>589030</t>
        </is>
      </c>
      <c r="H33" s="22" t="inlineStr">
        <is>
          <t>科创芯片设计ETF易方达</t>
        </is>
      </c>
      <c r="I33" s="23" t="n">
        <v>0.07407455630808628</v>
      </c>
    </row>
    <row r="36" ht="15" customHeight="1">
      <c r="A36" s="19" t="inlineStr">
        <is>
          <t>份额变化百分比排名（减少前30）</t>
        </is>
      </c>
      <c r="D36" s="19" t="inlineStr">
        <is>
          <t>市值减少最多排名（前30）</t>
        </is>
      </c>
      <c r="G36" s="19" t="inlineStr">
        <is>
          <t>市值减少百分比排名（前30）</t>
        </is>
      </c>
    </row>
    <row r="37">
      <c r="A37" s="20" t="inlineStr">
        <is>
          <t>代码</t>
        </is>
      </c>
      <c r="B37" s="20" t="inlineStr">
        <is>
          <t>名称</t>
        </is>
      </c>
      <c r="C37" s="20" t="inlineStr">
        <is>
          <t>份额变化百分比</t>
        </is>
      </c>
      <c r="D37" s="20" t="inlineStr">
        <is>
          <t>代码</t>
        </is>
      </c>
      <c r="E37" s="20" t="inlineStr">
        <is>
          <t>名称</t>
        </is>
      </c>
      <c r="F37" s="20" t="inlineStr">
        <is>
          <t>减少值（亿）</t>
        </is>
      </c>
      <c r="G37" s="20" t="inlineStr">
        <is>
          <t>代码</t>
        </is>
      </c>
      <c r="H37" s="20" t="inlineStr">
        <is>
          <t>名称</t>
        </is>
      </c>
      <c r="I37" s="20" t="inlineStr">
        <is>
          <t>百分比</t>
        </is>
      </c>
    </row>
    <row r="38">
      <c r="A38" s="25" t="inlineStr">
        <is>
          <t>510570</t>
        </is>
      </c>
      <c r="B38" s="26" t="inlineStr">
        <is>
          <t>中证500ETF兴业</t>
        </is>
      </c>
      <c r="C38" s="27" t="n">
        <v>-0.4389757817061233</v>
      </c>
      <c r="D38" s="25" t="inlineStr">
        <is>
          <t>510310</t>
        </is>
      </c>
      <c r="E38" s="26" t="inlineStr">
        <is>
          <t>沪深300ETF易方达</t>
        </is>
      </c>
      <c r="F38" s="28" t="n">
        <v>-46.401302</v>
      </c>
      <c r="G38" s="25" t="inlineStr">
        <is>
          <t>561060</t>
        </is>
      </c>
      <c r="H38" s="26" t="inlineStr">
        <is>
          <t>国企红利ETF华安</t>
        </is>
      </c>
      <c r="I38" s="27" t="n">
        <v>-0.3424784197550464</v>
      </c>
    </row>
    <row r="39">
      <c r="A39" s="25" t="inlineStr">
        <is>
          <t>562880</t>
        </is>
      </c>
      <c r="B39" s="26" t="inlineStr">
        <is>
          <t>电池ETF嘉实</t>
        </is>
      </c>
      <c r="C39" s="27" t="n">
        <v>-0.2299399237024859</v>
      </c>
      <c r="D39" s="25" t="inlineStr">
        <is>
          <t>510300</t>
        </is>
      </c>
      <c r="E39" s="26" t="inlineStr">
        <is>
          <t>沪深300ETF华泰柏瑞</t>
        </is>
      </c>
      <c r="F39" s="28" t="n">
        <v>-37.000494</v>
      </c>
      <c r="G39" s="25" t="inlineStr">
        <is>
          <t>588520</t>
        </is>
      </c>
      <c r="H39" s="26" t="inlineStr">
        <is>
          <t>科创增强ETF永赢</t>
        </is>
      </c>
      <c r="I39" s="27" t="n">
        <v>-0.214501266989173</v>
      </c>
    </row>
    <row r="40">
      <c r="A40" s="25" t="inlineStr">
        <is>
          <t>588470</t>
        </is>
      </c>
      <c r="B40" s="26" t="inlineStr">
        <is>
          <t>科创创业人工智能ETF华安</t>
        </is>
      </c>
      <c r="C40" s="27" t="n">
        <v>-0.2039203195916933</v>
      </c>
      <c r="D40" s="25" t="inlineStr">
        <is>
          <t>159919</t>
        </is>
      </c>
      <c r="E40" s="26" t="inlineStr">
        <is>
          <t>沪深300ETF嘉实</t>
        </is>
      </c>
      <c r="F40" s="28" t="n">
        <v>-19.289962</v>
      </c>
      <c r="G40" s="25" t="inlineStr">
        <is>
          <t>164606</t>
        </is>
      </c>
      <c r="H40" s="26" t="inlineStr">
        <is>
          <t>信用增利LOF</t>
        </is>
      </c>
      <c r="I40" s="27" t="n">
        <v>-0.1840386253905141</v>
      </c>
    </row>
    <row r="41">
      <c r="A41" s="25" t="inlineStr">
        <is>
          <t>589330</t>
        </is>
      </c>
      <c r="B41" s="26" t="inlineStr">
        <is>
          <t>科创200ETF东财</t>
        </is>
      </c>
      <c r="C41" s="27" t="n">
        <v>-0.1924285769265308</v>
      </c>
      <c r="D41" s="25" t="inlineStr">
        <is>
          <t>512880</t>
        </is>
      </c>
      <c r="E41" s="26" t="inlineStr">
        <is>
          <t>证券ETF国泰</t>
        </is>
      </c>
      <c r="F41" s="28" t="n">
        <v>-19.16174</v>
      </c>
      <c r="G41" s="25" t="inlineStr">
        <is>
          <t>159575</t>
        </is>
      </c>
      <c r="H41" s="26" t="inlineStr">
        <is>
          <t>创业板200ETF银华</t>
        </is>
      </c>
      <c r="I41" s="27" t="n">
        <v>-0.1686044623428924</v>
      </c>
    </row>
    <row r="42">
      <c r="A42" s="25" t="inlineStr">
        <is>
          <t>164606</t>
        </is>
      </c>
      <c r="B42" s="26" t="inlineStr">
        <is>
          <t>信用增利LOF</t>
        </is>
      </c>
      <c r="C42" s="27" t="n">
        <v>-0.184214791975048</v>
      </c>
      <c r="D42" s="25" t="inlineStr">
        <is>
          <t>510050</t>
        </is>
      </c>
      <c r="E42" s="26" t="inlineStr">
        <is>
          <t>上证50ETF华夏</t>
        </is>
      </c>
      <c r="F42" s="28" t="n">
        <v>-17.048399</v>
      </c>
      <c r="G42" s="25" t="inlineStr">
        <is>
          <t>159052</t>
        </is>
      </c>
      <c r="H42" s="26" t="inlineStr">
        <is>
          <t>新能源电池ETF嘉实</t>
        </is>
      </c>
      <c r="I42" s="27" t="n">
        <v>-0.1604335879382986</v>
      </c>
    </row>
    <row r="43">
      <c r="A43" s="25" t="inlineStr">
        <is>
          <t>159575</t>
        </is>
      </c>
      <c r="B43" s="26" t="inlineStr">
        <is>
          <t>创业板200ETF银华</t>
        </is>
      </c>
      <c r="C43" s="27" t="n">
        <v>-0.1752783090901522</v>
      </c>
      <c r="D43" s="25" t="inlineStr">
        <is>
          <t>512000</t>
        </is>
      </c>
      <c r="E43" s="26" t="inlineStr">
        <is>
          <t>券商ETF华宝</t>
        </is>
      </c>
      <c r="F43" s="28" t="n">
        <v>-13.964015</v>
      </c>
      <c r="G43" s="25" t="inlineStr">
        <is>
          <t>159521</t>
        </is>
      </c>
      <c r="H43" s="26" t="inlineStr">
        <is>
          <t>国证2000ETF平安</t>
        </is>
      </c>
      <c r="I43" s="27" t="n">
        <v>-0.1601527993315029</v>
      </c>
    </row>
    <row r="44">
      <c r="A44" s="25" t="inlineStr">
        <is>
          <t>588480</t>
        </is>
      </c>
      <c r="B44" s="26" t="inlineStr">
        <is>
          <t>科创创业人工智能ETF中金</t>
        </is>
      </c>
      <c r="C44" s="27" t="n">
        <v>-0.171147156603927</v>
      </c>
      <c r="D44" s="25" t="inlineStr">
        <is>
          <t>511380</t>
        </is>
      </c>
      <c r="E44" s="26" t="inlineStr">
        <is>
          <t>可转债ETF博时</t>
        </is>
      </c>
      <c r="F44" s="28" t="n">
        <v>-13.588643</v>
      </c>
      <c r="G44" s="25" t="inlineStr">
        <is>
          <t>159945</t>
        </is>
      </c>
      <c r="H44" s="26" t="inlineStr">
        <is>
          <t>能源ETF广发</t>
        </is>
      </c>
      <c r="I44" s="27" t="n">
        <v>-0.1378004246944171</v>
      </c>
    </row>
    <row r="45">
      <c r="A45" s="25" t="inlineStr">
        <is>
          <t>159052</t>
        </is>
      </c>
      <c r="B45" s="26" t="inlineStr">
        <is>
          <t>新能源电池ETF嘉实</t>
        </is>
      </c>
      <c r="C45" s="27" t="n">
        <v>-0.1650567624263941</v>
      </c>
      <c r="D45" s="25" t="inlineStr">
        <is>
          <t>510330</t>
        </is>
      </c>
      <c r="E45" s="26" t="inlineStr">
        <is>
          <t>沪深300ETF华夏</t>
        </is>
      </c>
      <c r="F45" s="28" t="n">
        <v>-11.032414</v>
      </c>
      <c r="G45" s="25" t="inlineStr">
        <is>
          <t>561900</t>
        </is>
      </c>
      <c r="H45" s="26" t="inlineStr">
        <is>
          <t>沪深300ESGETF招商</t>
        </is>
      </c>
      <c r="I45" s="27" t="n">
        <v>-0.1105225217353314</v>
      </c>
    </row>
    <row r="46">
      <c r="A46" s="25" t="inlineStr">
        <is>
          <t>159521</t>
        </is>
      </c>
      <c r="B46" s="26" t="inlineStr">
        <is>
          <t>国证2000ETF平安</t>
        </is>
      </c>
      <c r="C46" s="27" t="n">
        <v>-0.1641637621081035</v>
      </c>
      <c r="D46" s="25" t="inlineStr">
        <is>
          <t>159870</t>
        </is>
      </c>
      <c r="E46" s="26" t="inlineStr">
        <is>
          <t>化工ETF鹏华</t>
        </is>
      </c>
      <c r="F46" s="28" t="n">
        <v>-8.837372</v>
      </c>
      <c r="G46" s="25" t="inlineStr">
        <is>
          <t>159048</t>
        </is>
      </c>
      <c r="H46" s="26" t="inlineStr">
        <is>
          <t>机器人ETF大成</t>
        </is>
      </c>
      <c r="I46" s="27" t="n">
        <v>-0.1068175827896749</v>
      </c>
    </row>
    <row r="47">
      <c r="A47" s="25" t="inlineStr">
        <is>
          <t>560870</t>
        </is>
      </c>
      <c r="B47" s="26" t="inlineStr">
        <is>
          <t>工业有色ETF中银</t>
        </is>
      </c>
      <c r="C47" s="27" t="n">
        <v>-0.1493024521570472</v>
      </c>
      <c r="D47" s="25" t="inlineStr">
        <is>
          <t>159792</t>
        </is>
      </c>
      <c r="E47" s="26" t="inlineStr">
        <is>
          <t>港股通互联网ETF富国</t>
        </is>
      </c>
      <c r="F47" s="28" t="n">
        <v>-8.719097</v>
      </c>
      <c r="G47" s="25" t="inlineStr">
        <is>
          <t>589320</t>
        </is>
      </c>
      <c r="H47" s="26" t="inlineStr">
        <is>
          <t>科创200ETF嘉实</t>
        </is>
      </c>
      <c r="I47" s="27" t="n">
        <v>-0.1059820249464929</v>
      </c>
    </row>
    <row r="48">
      <c r="A48" s="25" t="inlineStr">
        <is>
          <t>588510</t>
        </is>
      </c>
      <c r="B48" s="26" t="inlineStr">
        <is>
          <t>科创创业人工智能ETF华夏</t>
        </is>
      </c>
      <c r="C48" s="27" t="n">
        <v>-0.1382588031972348</v>
      </c>
      <c r="D48" s="25" t="inlineStr">
        <is>
          <t>513180</t>
        </is>
      </c>
      <c r="E48" s="26" t="inlineStr">
        <is>
          <t>恒生科技ETF华夏</t>
        </is>
      </c>
      <c r="F48" s="28" t="n">
        <v>-8.308824</v>
      </c>
      <c r="G48" s="25" t="inlineStr">
        <is>
          <t>159011</t>
        </is>
      </c>
      <c r="H48" s="26" t="inlineStr">
        <is>
          <t>养殖ETF华安</t>
        </is>
      </c>
      <c r="I48" s="27" t="n">
        <v>-0.1021863853584473</v>
      </c>
    </row>
    <row r="49">
      <c r="A49" s="25" t="inlineStr">
        <is>
          <t>560990</t>
        </is>
      </c>
      <c r="B49" s="26" t="inlineStr">
        <is>
          <t>科技先锋ETF中金</t>
        </is>
      </c>
      <c r="C49" s="27" t="n">
        <v>-0.1316907111956858</v>
      </c>
      <c r="D49" s="25" t="inlineStr">
        <is>
          <t>513050</t>
        </is>
      </c>
      <c r="E49" s="26" t="inlineStr">
        <is>
          <t>中概互联网ETF易方达</t>
        </is>
      </c>
      <c r="F49" s="28" t="n">
        <v>-8.278608999999999</v>
      </c>
      <c r="G49" s="25" t="inlineStr">
        <is>
          <t>589330</t>
        </is>
      </c>
      <c r="H49" s="26" t="inlineStr">
        <is>
          <t>科创200ETF东财</t>
        </is>
      </c>
      <c r="I49" s="27" t="n">
        <v>-0.09400434805057271</v>
      </c>
    </row>
    <row r="50">
      <c r="A50" s="25" t="inlineStr">
        <is>
          <t>589250</t>
        </is>
      </c>
      <c r="B50" s="26" t="inlineStr">
        <is>
          <t>科创芯片设计ETF浦银</t>
        </is>
      </c>
      <c r="C50" s="27" t="n">
        <v>-0.1267802723557201</v>
      </c>
      <c r="D50" s="25" t="inlineStr">
        <is>
          <t>513750</t>
        </is>
      </c>
      <c r="E50" s="26" t="inlineStr">
        <is>
          <t>港股通非银ETF广发</t>
        </is>
      </c>
      <c r="F50" s="28" t="n">
        <v>-8.197849</v>
      </c>
      <c r="G50" s="25" t="inlineStr">
        <is>
          <t>159533</t>
        </is>
      </c>
      <c r="H50" s="26" t="inlineStr">
        <is>
          <t>中证2000ETF博时</t>
        </is>
      </c>
      <c r="I50" s="27" t="n">
        <v>-0.09347716253467944</v>
      </c>
    </row>
    <row r="51">
      <c r="A51" s="25" t="inlineStr">
        <is>
          <t>159945</t>
        </is>
      </c>
      <c r="B51" s="26" t="inlineStr">
        <is>
          <t>能源ETF广发</t>
        </is>
      </c>
      <c r="C51" s="27" t="n">
        <v>-0.1264664944032822</v>
      </c>
      <c r="D51" s="25" t="inlineStr">
        <is>
          <t>513090</t>
        </is>
      </c>
      <c r="E51" s="26" t="inlineStr">
        <is>
          <t>香港证券ETF易方达</t>
        </is>
      </c>
      <c r="F51" s="28" t="n">
        <v>-7.889668</v>
      </c>
      <c r="G51" s="25" t="inlineStr">
        <is>
          <t>166016</t>
        </is>
      </c>
      <c r="H51" s="26" t="inlineStr">
        <is>
          <t>中欧纯债LOF</t>
        </is>
      </c>
      <c r="I51" s="27" t="n">
        <v>-0.0926327794585861</v>
      </c>
    </row>
    <row r="52">
      <c r="A52" s="25" t="inlineStr">
        <is>
          <t>530880</t>
        </is>
      </c>
      <c r="B52" s="26" t="inlineStr">
        <is>
          <t>红利国企ETF银河</t>
        </is>
      </c>
      <c r="C52" s="27" t="n">
        <v>-0.1164123504549036</v>
      </c>
      <c r="D52" s="25" t="inlineStr">
        <is>
          <t>159611</t>
        </is>
      </c>
      <c r="E52" s="26" t="inlineStr">
        <is>
          <t>电力ETF广发</t>
        </is>
      </c>
      <c r="F52" s="28" t="n">
        <v>-7.170759</v>
      </c>
      <c r="G52" s="25" t="inlineStr">
        <is>
          <t>159291</t>
        </is>
      </c>
      <c r="H52" s="26" t="inlineStr">
        <is>
          <t>创业板综增强ETF招商</t>
        </is>
      </c>
      <c r="I52" s="27" t="n">
        <v>-0.09131657949889545</v>
      </c>
    </row>
    <row r="53">
      <c r="A53" s="25" t="inlineStr">
        <is>
          <t>159012</t>
        </is>
      </c>
      <c r="B53" s="26" t="inlineStr">
        <is>
          <t>科创创业50ETF鹏华</t>
        </is>
      </c>
      <c r="C53" s="27" t="n">
        <v>-0.1035897914240267</v>
      </c>
      <c r="D53" s="25" t="inlineStr">
        <is>
          <t>513330</t>
        </is>
      </c>
      <c r="E53" s="26" t="inlineStr">
        <is>
          <t>恒生互联网ETF华夏</t>
        </is>
      </c>
      <c r="F53" s="28" t="n">
        <v>-6.594254</v>
      </c>
      <c r="G53" s="25" t="inlineStr">
        <is>
          <t>516750</t>
        </is>
      </c>
      <c r="H53" s="26" t="inlineStr">
        <is>
          <t>建材ETF富国</t>
        </is>
      </c>
      <c r="I53" s="27" t="n">
        <v>-0.08802863551845913</v>
      </c>
    </row>
    <row r="54">
      <c r="A54" s="25" t="inlineStr">
        <is>
          <t>159291</t>
        </is>
      </c>
      <c r="B54" s="26" t="inlineStr">
        <is>
          <t>创业板综增强ETF招商</t>
        </is>
      </c>
      <c r="C54" s="27" t="n">
        <v>-0.1027887196369831</v>
      </c>
      <c r="D54" s="25" t="inlineStr">
        <is>
          <t>159941</t>
        </is>
      </c>
      <c r="E54" s="26" t="inlineStr">
        <is>
          <t>纳指ETF广发</t>
        </is>
      </c>
      <c r="F54" s="28" t="n">
        <v>-6.520289</v>
      </c>
      <c r="G54" s="25" t="inlineStr">
        <is>
          <t>512200</t>
        </is>
      </c>
      <c r="H54" s="26" t="inlineStr">
        <is>
          <t>房地产ETF南方</t>
        </is>
      </c>
      <c r="I54" s="27" t="n">
        <v>-0.08400058412598874</v>
      </c>
    </row>
    <row r="55">
      <c r="A55" s="25" t="inlineStr">
        <is>
          <t>589320</t>
        </is>
      </c>
      <c r="B55" s="26" t="inlineStr">
        <is>
          <t>科创200ETF嘉实</t>
        </is>
      </c>
      <c r="C55" s="27" t="n">
        <v>-0.1014233070759661</v>
      </c>
      <c r="D55" s="25" t="inlineStr">
        <is>
          <t>513130</t>
        </is>
      </c>
      <c r="E55" s="26" t="inlineStr">
        <is>
          <t>恒生科技ETF华泰柏瑞</t>
        </is>
      </c>
      <c r="F55" s="28" t="n">
        <v>-6.112291</v>
      </c>
      <c r="G55" s="25" t="inlineStr">
        <is>
          <t>159543</t>
        </is>
      </c>
      <c r="H55" s="26" t="inlineStr">
        <is>
          <t>国证2000ETF工银</t>
        </is>
      </c>
      <c r="I55" s="27" t="n">
        <v>-0.08392069614670686</v>
      </c>
    </row>
    <row r="56">
      <c r="A56" s="25" t="inlineStr">
        <is>
          <t>159048</t>
        </is>
      </c>
      <c r="B56" s="26" t="inlineStr">
        <is>
          <t>机器人ETF大成</t>
        </is>
      </c>
      <c r="C56" s="27" t="n">
        <v>-0.09959966065798016</v>
      </c>
      <c r="D56" s="25" t="inlineStr">
        <is>
          <t>513630</t>
        </is>
      </c>
      <c r="E56" s="26" t="inlineStr">
        <is>
          <t>港股低波红利ETF摩根</t>
        </is>
      </c>
      <c r="F56" s="28" t="n">
        <v>-6.097346</v>
      </c>
      <c r="G56" s="25" t="inlineStr">
        <is>
          <t>561170</t>
        </is>
      </c>
      <c r="H56" s="26" t="inlineStr">
        <is>
          <t>绿色电力ETF富国</t>
        </is>
      </c>
      <c r="I56" s="27" t="n">
        <v>-0.08204529014067084</v>
      </c>
    </row>
    <row r="57">
      <c r="A57" s="25" t="inlineStr">
        <is>
          <t>520770</t>
        </is>
      </c>
      <c r="B57" s="26" t="inlineStr">
        <is>
          <t>恒指港股通ETF建信</t>
        </is>
      </c>
      <c r="C57" s="27" t="n">
        <v>-0.09905941107991399</v>
      </c>
      <c r="D57" s="25" t="inlineStr">
        <is>
          <t>512070</t>
        </is>
      </c>
      <c r="E57" s="26" t="inlineStr">
        <is>
          <t>证券保险ETF易方达</t>
        </is>
      </c>
      <c r="F57" s="28" t="n">
        <v>-6.018819</v>
      </c>
      <c r="G57" s="25" t="inlineStr">
        <is>
          <t>159578</t>
        </is>
      </c>
      <c r="H57" s="26" t="inlineStr">
        <is>
          <t>深证主板50ETF南方</t>
        </is>
      </c>
      <c r="I57" s="27" t="n">
        <v>-0.08134167052647831</v>
      </c>
    </row>
    <row r="58">
      <c r="A58" s="25" t="inlineStr">
        <is>
          <t>159533</t>
        </is>
      </c>
      <c r="B58" s="26" t="inlineStr">
        <is>
          <t>中证2000ETF博时</t>
        </is>
      </c>
      <c r="C58" s="27" t="n">
        <v>-0.09561340060054777</v>
      </c>
      <c r="D58" s="25" t="inlineStr">
        <is>
          <t>518880</t>
        </is>
      </c>
      <c r="E58" s="26" t="inlineStr">
        <is>
          <t>黄金ETF华安</t>
        </is>
      </c>
      <c r="F58" s="28" t="n">
        <v>-5.947479</v>
      </c>
      <c r="G58" s="25" t="inlineStr">
        <is>
          <t>159012</t>
        </is>
      </c>
      <c r="H58" s="26" t="inlineStr">
        <is>
          <t>科创创业50ETF鹏华</t>
        </is>
      </c>
      <c r="I58" s="27" t="n">
        <v>-0.07859841167632539</v>
      </c>
    </row>
    <row r="59">
      <c r="A59" s="25" t="inlineStr">
        <is>
          <t>588180</t>
        </is>
      </c>
      <c r="B59" s="26" t="inlineStr">
        <is>
          <t>科创50ETF国联安</t>
        </is>
      </c>
      <c r="C59" s="27" t="n">
        <v>-0.09376531011704255</v>
      </c>
      <c r="D59" s="25" t="inlineStr">
        <is>
          <t>513010</t>
        </is>
      </c>
      <c r="E59" s="26" t="inlineStr">
        <is>
          <t>恒生科技ETF易方达</t>
        </is>
      </c>
      <c r="F59" s="28" t="n">
        <v>-5.135054</v>
      </c>
      <c r="G59" s="25" t="inlineStr">
        <is>
          <t>159555</t>
        </is>
      </c>
      <c r="H59" s="26" t="inlineStr">
        <is>
          <t>中证2000增强ETF银华</t>
        </is>
      </c>
      <c r="I59" s="27" t="n">
        <v>-0.0785299290154448</v>
      </c>
    </row>
    <row r="60">
      <c r="A60" s="25" t="inlineStr">
        <is>
          <t>166016</t>
        </is>
      </c>
      <c r="B60" s="26" t="inlineStr">
        <is>
          <t>中欧纯债LOF</t>
        </is>
      </c>
      <c r="C60" s="27" t="n">
        <v>-0.09302827181373367</v>
      </c>
      <c r="D60" s="25" t="inlineStr">
        <is>
          <t>512890</t>
        </is>
      </c>
      <c r="E60" s="26" t="inlineStr">
        <is>
          <t>红利低波ETF华泰柏瑞</t>
        </is>
      </c>
      <c r="F60" s="28" t="n">
        <v>-4.812928</v>
      </c>
      <c r="G60" s="25" t="inlineStr">
        <is>
          <t>516020</t>
        </is>
      </c>
      <c r="H60" s="26" t="inlineStr">
        <is>
          <t>化工ETF华宝</t>
        </is>
      </c>
      <c r="I60" s="27" t="n">
        <v>-0.07793959045593592</v>
      </c>
    </row>
    <row r="61">
      <c r="A61" s="25" t="inlineStr">
        <is>
          <t>159578</t>
        </is>
      </c>
      <c r="B61" s="26" t="inlineStr">
        <is>
          <t>深证主板50ETF南方</t>
        </is>
      </c>
      <c r="C61" s="27" t="n">
        <v>-0.09091392174429633</v>
      </c>
      <c r="D61" s="25" t="inlineStr">
        <is>
          <t>159570</t>
        </is>
      </c>
      <c r="E61" s="26" t="inlineStr">
        <is>
          <t>港股通创新药ETF汇添富</t>
        </is>
      </c>
      <c r="F61" s="28" t="n">
        <v>-4.090427</v>
      </c>
      <c r="G61" s="25" t="inlineStr">
        <is>
          <t>560190</t>
        </is>
      </c>
      <c r="H61" s="26" t="inlineStr">
        <is>
          <t>公用事业ETF鹏华</t>
        </is>
      </c>
      <c r="I61" s="27" t="n">
        <v>-0.0767925558747139</v>
      </c>
    </row>
    <row r="62">
      <c r="A62" s="25" t="inlineStr">
        <is>
          <t>159011</t>
        </is>
      </c>
      <c r="B62" s="26" t="inlineStr">
        <is>
          <t>养殖ETF华安</t>
        </is>
      </c>
      <c r="C62" s="27" t="n">
        <v>-0.08979213023894633</v>
      </c>
      <c r="D62" s="25" t="inlineStr">
        <is>
          <t>515220</t>
        </is>
      </c>
      <c r="E62" s="26" t="inlineStr">
        <is>
          <t>煤炭ETF国泰</t>
        </is>
      </c>
      <c r="F62" s="28" t="n">
        <v>-3.992029</v>
      </c>
      <c r="G62" s="25" t="inlineStr">
        <is>
          <t>510910</t>
        </is>
      </c>
      <c r="H62" s="26" t="inlineStr">
        <is>
          <t>上证指数ETF南方</t>
        </is>
      </c>
      <c r="I62" s="27" t="n">
        <v>-0.07548695283076073</v>
      </c>
    </row>
    <row r="63">
      <c r="A63" s="25" t="inlineStr">
        <is>
          <t>516910</t>
        </is>
      </c>
      <c r="B63" s="26" t="inlineStr">
        <is>
          <t>物流ETF富国</t>
        </is>
      </c>
      <c r="C63" s="27" t="n">
        <v>-0.08901118743467214</v>
      </c>
      <c r="D63" s="25" t="inlineStr">
        <is>
          <t>513980</t>
        </is>
      </c>
      <c r="E63" s="26" t="inlineStr">
        <is>
          <t>港股科技ETF景顺</t>
        </is>
      </c>
      <c r="F63" s="28" t="n">
        <v>-3.939563</v>
      </c>
      <c r="G63" s="25" t="inlineStr">
        <is>
          <t>510230</t>
        </is>
      </c>
      <c r="H63" s="26" t="inlineStr">
        <is>
          <t>金融ETF国泰</t>
        </is>
      </c>
      <c r="I63" s="27" t="n">
        <v>-0.0751185548402566</v>
      </c>
    </row>
    <row r="64">
      <c r="A64" s="25" t="inlineStr">
        <is>
          <t>560970</t>
        </is>
      </c>
      <c r="B64" s="26" t="inlineStr">
        <is>
          <t>工业有色ETF平安</t>
        </is>
      </c>
      <c r="C64" s="27" t="n">
        <v>-0.08838763280241829</v>
      </c>
      <c r="D64" s="25" t="inlineStr">
        <is>
          <t>159509</t>
        </is>
      </c>
      <c r="E64" s="26" t="inlineStr">
        <is>
          <t>纳指科技ETF景顺</t>
        </is>
      </c>
      <c r="F64" s="28" t="n">
        <v>-3.549158</v>
      </c>
      <c r="G64" s="25" t="inlineStr">
        <is>
          <t>512130</t>
        </is>
      </c>
      <c r="H64" s="26" t="inlineStr">
        <is>
          <t>全指现金流ETF鹏华</t>
        </is>
      </c>
      <c r="I64" s="27" t="n">
        <v>-0.07360025132644513</v>
      </c>
    </row>
    <row r="65">
      <c r="A65" s="25" t="inlineStr">
        <is>
          <t>159543</t>
        </is>
      </c>
      <c r="B65" s="26" t="inlineStr">
        <is>
          <t>国证2000ETF工银</t>
        </is>
      </c>
      <c r="C65" s="27" t="n">
        <v>-0.08658655058469625</v>
      </c>
      <c r="D65" s="25" t="inlineStr">
        <is>
          <t>512200</t>
        </is>
      </c>
      <c r="E65" s="26" t="inlineStr">
        <is>
          <t>房地产ETF南方</t>
        </is>
      </c>
      <c r="F65" s="28" t="n">
        <v>-3.424874</v>
      </c>
      <c r="G65" s="25" t="inlineStr">
        <is>
          <t>159611</t>
        </is>
      </c>
      <c r="H65" s="26" t="inlineStr">
        <is>
          <t>电力ETF广发</t>
        </is>
      </c>
      <c r="I65" s="27" t="n">
        <v>-0.06844268567587515</v>
      </c>
    </row>
    <row r="66">
      <c r="A66" s="25" t="inlineStr">
        <is>
          <t>159555</t>
        </is>
      </c>
      <c r="B66" s="26" t="inlineStr">
        <is>
          <t>中证2000增强ETF银华</t>
        </is>
      </c>
      <c r="C66" s="27" t="n">
        <v>-0.08007964187316426</v>
      </c>
      <c r="D66" s="25" t="inlineStr">
        <is>
          <t>513920</t>
        </is>
      </c>
      <c r="E66" s="26" t="inlineStr">
        <is>
          <t>港股通央企红利ETF华安</t>
        </is>
      </c>
      <c r="F66" s="28" t="n">
        <v>-3.176838</v>
      </c>
      <c r="G66" s="25" t="inlineStr">
        <is>
          <t>513920</t>
        </is>
      </c>
      <c r="H66" s="26" t="inlineStr">
        <is>
          <t>港股通央企红利ETF华安</t>
        </is>
      </c>
      <c r="I66" s="27" t="n">
        <v>-0.06830548708950787</v>
      </c>
    </row>
    <row r="67">
      <c r="A67" s="25" t="inlineStr">
        <is>
          <t>588310</t>
        </is>
      </c>
      <c r="B67" s="26" t="inlineStr">
        <is>
          <t>科创创业ETF方正富邦</t>
        </is>
      </c>
      <c r="C67" s="27" t="n">
        <v>-0.07833537331701346</v>
      </c>
      <c r="D67" s="25" t="inlineStr">
        <is>
          <t>512690</t>
        </is>
      </c>
      <c r="E67" s="26" t="inlineStr">
        <is>
          <t>酒ETF鹏华</t>
        </is>
      </c>
      <c r="F67" s="28" t="n">
        <v>-3.116641</v>
      </c>
      <c r="G67" s="25" t="inlineStr">
        <is>
          <t>510050</t>
        </is>
      </c>
      <c r="H67" s="26" t="inlineStr">
        <is>
          <t>上证50ETF华夏</t>
        </is>
      </c>
      <c r="I67" s="27" t="n">
        <v>-0.06788011801244531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18" t="inlineStr">
        <is>
          <t>2026-06-19</t>
        </is>
      </c>
    </row>
    <row r="2" ht="12" customFormat="1" customHeight="1" s="1">
      <c r="A2" s="19" t="inlineStr">
        <is>
          <t>份额变化百分比排名（增加前20）</t>
        </is>
      </c>
      <c r="D2" s="19" t="inlineStr">
        <is>
          <t>市值增长最多排名（前20）</t>
        </is>
      </c>
      <c r="G2" s="19" t="inlineStr">
        <is>
          <t>市值增长百分比排名（前20）</t>
        </is>
      </c>
    </row>
    <row r="3">
      <c r="A3" s="20" t="inlineStr">
        <is>
          <t>代码</t>
        </is>
      </c>
      <c r="B3" s="20" t="inlineStr">
        <is>
          <t>名称</t>
        </is>
      </c>
      <c r="C3" s="20" t="inlineStr">
        <is>
          <t>份额变化百分比</t>
        </is>
      </c>
      <c r="D3" s="20" t="inlineStr">
        <is>
          <t>代码</t>
        </is>
      </c>
      <c r="E3" s="20" t="inlineStr">
        <is>
          <t>名称</t>
        </is>
      </c>
      <c r="F3" s="20" t="inlineStr">
        <is>
          <t>增长值（亿）</t>
        </is>
      </c>
      <c r="G3" s="20" t="inlineStr">
        <is>
          <t>代码</t>
        </is>
      </c>
      <c r="H3" s="20" t="inlineStr">
        <is>
          <t>名称</t>
        </is>
      </c>
      <c r="I3" s="20" t="inlineStr">
        <is>
          <t>百分比</t>
        </is>
      </c>
    </row>
    <row r="4">
      <c r="A4" s="21" t="inlineStr">
        <is>
          <t>159516</t>
        </is>
      </c>
      <c r="B4" s="22" t="inlineStr">
        <is>
          <t>半导体设备ETF国泰</t>
        </is>
      </c>
      <c r="C4" s="23" t="n">
        <v>0.06551364173769783</v>
      </c>
      <c r="D4" s="21" t="inlineStr">
        <is>
          <t>159516</t>
        </is>
      </c>
      <c r="E4" s="22" t="inlineStr">
        <is>
          <t>半导体设备ETF国泰</t>
        </is>
      </c>
      <c r="F4" s="24" t="n">
        <v>35.347396</v>
      </c>
      <c r="G4" s="21" t="inlineStr">
        <is>
          <t>159516</t>
        </is>
      </c>
      <c r="H4" s="22" t="inlineStr">
        <is>
          <t>半导体设备ETF国泰</t>
        </is>
      </c>
      <c r="I4" s="23" t="n">
        <v>0.1438793640223177</v>
      </c>
    </row>
    <row r="5">
      <c r="A5" s="21" t="inlineStr">
        <is>
          <t>588170</t>
        </is>
      </c>
      <c r="B5" s="22" t="inlineStr">
        <is>
          <t>科创半导体ETF华夏</t>
        </is>
      </c>
      <c r="C5" s="23" t="n">
        <v>0.04675807701309403</v>
      </c>
      <c r="D5" s="21" t="inlineStr">
        <is>
          <t>515880</t>
        </is>
      </c>
      <c r="E5" s="22" t="inlineStr">
        <is>
          <t>通信ETF国泰</t>
        </is>
      </c>
      <c r="F5" s="24" t="n">
        <v>17.521098</v>
      </c>
      <c r="G5" s="21" t="inlineStr">
        <is>
          <t>551520</t>
        </is>
      </c>
      <c r="H5" s="22" t="inlineStr">
        <is>
          <t>科创债ETF汇添富</t>
        </is>
      </c>
      <c r="I5" s="23" t="n">
        <v>0.07256963304328165</v>
      </c>
    </row>
    <row r="6">
      <c r="A6" s="21" t="inlineStr">
        <is>
          <t>510880</t>
        </is>
      </c>
      <c r="B6" s="22" t="inlineStr">
        <is>
          <t>红利ETF华泰柏瑞</t>
        </is>
      </c>
      <c r="C6" s="23" t="n">
        <v>0.04265998011918057</v>
      </c>
      <c r="D6" s="21" t="inlineStr">
        <is>
          <t>588080</t>
        </is>
      </c>
      <c r="E6" s="22" t="inlineStr">
        <is>
          <t>科创50ETF易方达</t>
        </is>
      </c>
      <c r="F6" s="24" t="n">
        <v>13.769601</v>
      </c>
      <c r="G6" s="21" t="inlineStr">
        <is>
          <t>515050</t>
        </is>
      </c>
      <c r="H6" s="22" t="inlineStr">
        <is>
          <t>通信ETF华夏</t>
        </is>
      </c>
      <c r="I6" s="23" t="n">
        <v>0.04658843374035766</v>
      </c>
    </row>
    <row r="7">
      <c r="A7" s="21" t="inlineStr">
        <is>
          <t>563020</t>
        </is>
      </c>
      <c r="B7" s="22" t="inlineStr">
        <is>
          <t>红利低波ETF易方达</t>
        </is>
      </c>
      <c r="C7" s="23" t="n">
        <v>0.02742255413669229</v>
      </c>
      <c r="D7" s="21" t="inlineStr">
        <is>
          <t>551520</t>
        </is>
      </c>
      <c r="E7" s="22" t="inlineStr">
        <is>
          <t>科创债ETF汇添富</t>
        </is>
      </c>
      <c r="F7" s="24" t="n">
        <v>12.724294</v>
      </c>
      <c r="G7" s="21" t="inlineStr">
        <is>
          <t>511150</t>
        </is>
      </c>
      <c r="H7" s="22" t="inlineStr">
        <is>
          <t>科创债ETF永赢</t>
        </is>
      </c>
      <c r="I7" s="23" t="n">
        <v>0.04634291774931339</v>
      </c>
    </row>
    <row r="8">
      <c r="A8" s="21" t="inlineStr">
        <is>
          <t>551510</t>
        </is>
      </c>
      <c r="B8" s="22" t="inlineStr">
        <is>
          <t>科创债ETF华泰柏瑞</t>
        </is>
      </c>
      <c r="C8" s="23" t="n">
        <v>0.02605945954309624</v>
      </c>
      <c r="D8" s="21" t="inlineStr">
        <is>
          <t>588200</t>
        </is>
      </c>
      <c r="E8" s="22" t="inlineStr">
        <is>
          <t>科创芯片ETF嘉实</t>
        </is>
      </c>
      <c r="F8" s="24" t="n">
        <v>11.679383</v>
      </c>
      <c r="G8" s="21" t="inlineStr">
        <is>
          <t>159995</t>
        </is>
      </c>
      <c r="H8" s="22" t="inlineStr">
        <is>
          <t>芯片ETF华夏</t>
        </is>
      </c>
      <c r="I8" s="23" t="n">
        <v>0.03922468848106929</v>
      </c>
    </row>
    <row r="9">
      <c r="A9" s="21" t="inlineStr">
        <is>
          <t>551580</t>
        </is>
      </c>
      <c r="B9" s="22" t="inlineStr">
        <is>
          <t>科创债ETF泰康</t>
        </is>
      </c>
      <c r="C9" s="23" t="n">
        <v>0.02421529830726963</v>
      </c>
      <c r="D9" s="21" t="inlineStr">
        <is>
          <t>159995</t>
        </is>
      </c>
      <c r="E9" s="22" t="inlineStr">
        <is>
          <t>芯片ETF华夏</t>
        </is>
      </c>
      <c r="F9" s="24" t="n">
        <v>10.294854</v>
      </c>
      <c r="G9" s="21" t="inlineStr">
        <is>
          <t>588080</t>
        </is>
      </c>
      <c r="H9" s="22" t="inlineStr">
        <is>
          <t>科创50ETF易方达</t>
        </is>
      </c>
      <c r="I9" s="23" t="n">
        <v>0.03709498057880063</v>
      </c>
    </row>
    <row r="10">
      <c r="A10" s="21" t="inlineStr">
        <is>
          <t>515050</t>
        </is>
      </c>
      <c r="B10" s="22" t="inlineStr">
        <is>
          <t>通信ETF华夏</t>
        </is>
      </c>
      <c r="C10" s="23" t="n">
        <v>0.02019626239835333</v>
      </c>
      <c r="D10" s="21" t="inlineStr">
        <is>
          <t>515050</t>
        </is>
      </c>
      <c r="E10" s="22" t="inlineStr">
        <is>
          <t>通信ETF华夏</t>
        </is>
      </c>
      <c r="F10" s="24" t="n">
        <v>9.083843</v>
      </c>
      <c r="G10" s="21" t="inlineStr">
        <is>
          <t>515880</t>
        </is>
      </c>
      <c r="H10" s="22" t="inlineStr">
        <is>
          <t>通信ETF国泰</t>
        </is>
      </c>
      <c r="I10" s="23" t="n">
        <v>0.0369233550563997</v>
      </c>
    </row>
    <row r="11">
      <c r="A11" s="21" t="inlineStr">
        <is>
          <t>159397</t>
        </is>
      </c>
      <c r="B11" s="22" t="inlineStr">
        <is>
          <t>信用债ETF广发</t>
        </is>
      </c>
      <c r="C11" s="23" t="n">
        <v>0.02010758945548179</v>
      </c>
      <c r="D11" s="21" t="inlineStr">
        <is>
          <t>159915</t>
        </is>
      </c>
      <c r="E11" s="22" t="inlineStr">
        <is>
          <t>创业板ETF易方达</t>
        </is>
      </c>
      <c r="F11" s="24" t="n">
        <v>6.766875</v>
      </c>
      <c r="G11" s="21" t="inlineStr">
        <is>
          <t>159781</t>
        </is>
      </c>
      <c r="H11" s="22" t="inlineStr">
        <is>
          <t>科创创业ETF易方达</t>
        </is>
      </c>
      <c r="I11" s="23" t="n">
        <v>0.03008154232185765</v>
      </c>
    </row>
    <row r="12">
      <c r="A12" s="21" t="inlineStr">
        <is>
          <t>515080</t>
        </is>
      </c>
      <c r="B12" s="22" t="inlineStr">
        <is>
          <t>中证红利ETF招商</t>
        </is>
      </c>
      <c r="C12" s="23" t="n">
        <v>0.01922521341297698</v>
      </c>
      <c r="D12" s="21" t="inlineStr">
        <is>
          <t>512480</t>
        </is>
      </c>
      <c r="E12" s="22" t="inlineStr">
        <is>
          <t>半导体ETF国联安</t>
        </is>
      </c>
      <c r="F12" s="24" t="n">
        <v>5.321203</v>
      </c>
      <c r="G12" s="21" t="inlineStr">
        <is>
          <t>513310</t>
        </is>
      </c>
      <c r="H12" s="22" t="inlineStr">
        <is>
          <t>中韩半导体ETF华泰柏瑞</t>
        </is>
      </c>
      <c r="I12" s="23" t="n">
        <v>0.0288429112970411</v>
      </c>
    </row>
    <row r="13">
      <c r="A13" s="21" t="inlineStr">
        <is>
          <t>511190</t>
        </is>
      </c>
      <c r="B13" s="22" t="inlineStr">
        <is>
          <t>信用债ETF海富通</t>
        </is>
      </c>
      <c r="C13" s="23" t="n">
        <v>0.01861026965434808</v>
      </c>
      <c r="D13" s="21" t="inlineStr">
        <is>
          <t>588000</t>
        </is>
      </c>
      <c r="E13" s="22" t="inlineStr">
        <is>
          <t>科创50ETF华夏</t>
        </is>
      </c>
      <c r="F13" s="24" t="n">
        <v>5.180711</v>
      </c>
      <c r="G13" s="21" t="inlineStr">
        <is>
          <t>512480</t>
        </is>
      </c>
      <c r="H13" s="22" t="inlineStr">
        <is>
          <t>半导体ETF国联安</t>
        </is>
      </c>
      <c r="I13" s="23" t="n">
        <v>0.02668792076257877</v>
      </c>
    </row>
    <row r="14">
      <c r="A14" s="21" t="inlineStr">
        <is>
          <t>159112</t>
        </is>
      </c>
      <c r="B14" s="22" t="inlineStr">
        <is>
          <t>科创债ETF银华</t>
        </is>
      </c>
      <c r="C14" s="23" t="n">
        <v>0.01278293808417761</v>
      </c>
      <c r="D14" s="21" t="inlineStr">
        <is>
          <t>511150</t>
        </is>
      </c>
      <c r="E14" s="22" t="inlineStr">
        <is>
          <t>科创债ETF永赢</t>
        </is>
      </c>
      <c r="F14" s="24" t="n">
        <v>5.061698</v>
      </c>
      <c r="G14" s="21" t="inlineStr">
        <is>
          <t>560860</t>
        </is>
      </c>
      <c r="H14" s="22" t="inlineStr">
        <is>
          <t>工业有色ETF万家</t>
        </is>
      </c>
      <c r="I14" s="23" t="n">
        <v>0.02396795514813999</v>
      </c>
    </row>
    <row r="15">
      <c r="A15" s="21" t="inlineStr">
        <is>
          <t>511090</t>
        </is>
      </c>
      <c r="B15" s="22" t="inlineStr">
        <is>
          <t>30年国债ETF鹏扬</t>
        </is>
      </c>
      <c r="C15" s="23" t="n">
        <v>0.01204541000309682</v>
      </c>
      <c r="D15" s="21" t="inlineStr">
        <is>
          <t>159949</t>
        </is>
      </c>
      <c r="E15" s="22" t="inlineStr">
        <is>
          <t>创业板50ETF华安</t>
        </is>
      </c>
      <c r="F15" s="24" t="n">
        <v>4.640695</v>
      </c>
      <c r="G15" s="21" t="inlineStr">
        <is>
          <t>588200</t>
        </is>
      </c>
      <c r="H15" s="22" t="inlineStr">
        <is>
          <t>科创芯片ETF嘉实</t>
        </is>
      </c>
      <c r="I15" s="23" t="n">
        <v>0.02384567975787761</v>
      </c>
    </row>
    <row r="16">
      <c r="A16" s="21" t="inlineStr">
        <is>
          <t>515450</t>
        </is>
      </c>
      <c r="B16" s="22" t="inlineStr">
        <is>
          <t>红利低波50ETF南方</t>
        </is>
      </c>
      <c r="C16" s="23" t="n">
        <v>0.009011447862680308</v>
      </c>
      <c r="D16" s="21" t="inlineStr">
        <is>
          <t>159781</t>
        </is>
      </c>
      <c r="E16" s="22" t="inlineStr">
        <is>
          <t>科创创业ETF易方达</t>
        </is>
      </c>
      <c r="F16" s="24" t="n">
        <v>4.498623</v>
      </c>
      <c r="G16" s="21" t="inlineStr">
        <is>
          <t>512760</t>
        </is>
      </c>
      <c r="H16" s="22" t="inlineStr">
        <is>
          <t>芯片ETF国泰</t>
        </is>
      </c>
      <c r="I16" s="23" t="n">
        <v>0.02366524611203813</v>
      </c>
    </row>
    <row r="17">
      <c r="A17" s="21" t="inlineStr">
        <is>
          <t>515180</t>
        </is>
      </c>
      <c r="B17" s="22" t="inlineStr">
        <is>
          <t>红利ETF易方达</t>
        </is>
      </c>
      <c r="C17" s="23" t="n">
        <v>0.007922249131751966</v>
      </c>
      <c r="D17" s="21" t="inlineStr">
        <is>
          <t>513120</t>
        </is>
      </c>
      <c r="E17" s="22" t="inlineStr">
        <is>
          <t>港股创新药ETF广发</t>
        </is>
      </c>
      <c r="F17" s="24" t="n">
        <v>4.183826</v>
      </c>
      <c r="G17" s="21" t="inlineStr">
        <is>
          <t>512100</t>
        </is>
      </c>
      <c r="H17" s="22" t="inlineStr">
        <is>
          <t>中证1000ETF南方</t>
        </is>
      </c>
      <c r="I17" s="23" t="n">
        <v>0.02351477038311374</v>
      </c>
    </row>
    <row r="18">
      <c r="A18" s="21" t="inlineStr">
        <is>
          <t>511180</t>
        </is>
      </c>
      <c r="B18" s="22" t="inlineStr">
        <is>
          <t>可转债ETF海富通</t>
        </is>
      </c>
      <c r="C18" s="23" t="n">
        <v>0.007156603016308725</v>
      </c>
      <c r="D18" s="21" t="inlineStr">
        <is>
          <t>513310</t>
        </is>
      </c>
      <c r="E18" s="22" t="inlineStr">
        <is>
          <t>中韩半导体ETF华泰柏瑞</t>
        </is>
      </c>
      <c r="F18" s="24" t="n">
        <v>4.052076</v>
      </c>
      <c r="G18" s="21" t="inlineStr">
        <is>
          <t>159397</t>
        </is>
      </c>
      <c r="H18" s="22" t="inlineStr">
        <is>
          <t>信用债ETF广发</t>
        </is>
      </c>
      <c r="I18" s="23" t="n">
        <v>0.02028139562096935</v>
      </c>
    </row>
    <row r="19">
      <c r="A19" s="21" t="inlineStr">
        <is>
          <t>511150</t>
        </is>
      </c>
      <c r="B19" s="22" t="inlineStr">
        <is>
          <t>科创债ETF永赢</t>
        </is>
      </c>
      <c r="C19" s="23" t="n">
        <v>0.007130703114067184</v>
      </c>
      <c r="D19" s="21" t="inlineStr">
        <is>
          <t>159338</t>
        </is>
      </c>
      <c r="E19" s="22" t="inlineStr">
        <is>
          <t>中证A500ETF国泰</t>
        </is>
      </c>
      <c r="F19" s="24" t="n">
        <v>3.764305</v>
      </c>
      <c r="G19" s="21" t="inlineStr">
        <is>
          <t>513120</t>
        </is>
      </c>
      <c r="H19" s="22" t="inlineStr">
        <is>
          <t>港股创新药ETF广发</t>
        </is>
      </c>
      <c r="I19" s="23" t="n">
        <v>0.01950718811729337</v>
      </c>
    </row>
    <row r="20">
      <c r="A20" s="21" t="inlineStr">
        <is>
          <t>159200</t>
        </is>
      </c>
      <c r="B20" s="22" t="inlineStr">
        <is>
          <t>科创债ETF富国</t>
        </is>
      </c>
      <c r="C20" s="23" t="n">
        <v>0.006750440595686929</v>
      </c>
      <c r="D20" s="21" t="inlineStr">
        <is>
          <t>159206</t>
        </is>
      </c>
      <c r="E20" s="22" t="inlineStr">
        <is>
          <t>卫星ETF永赢</t>
        </is>
      </c>
      <c r="F20" s="24" t="n">
        <v>3.168507</v>
      </c>
      <c r="G20" s="21" t="inlineStr">
        <is>
          <t>159949</t>
        </is>
      </c>
      <c r="H20" s="22" t="inlineStr">
        <is>
          <t>创业板50ETF华安</t>
        </is>
      </c>
      <c r="I20" s="23" t="n">
        <v>0.01945347216326155</v>
      </c>
    </row>
    <row r="21">
      <c r="A21" s="21" t="inlineStr">
        <is>
          <t>511520</t>
        </is>
      </c>
      <c r="B21" s="22" t="inlineStr">
        <is>
          <t>政金债ETF富国</t>
        </is>
      </c>
      <c r="C21" s="23" t="n">
        <v>0.005807259946021518</v>
      </c>
      <c r="D21" s="21" t="inlineStr">
        <is>
          <t>511030</t>
        </is>
      </c>
      <c r="E21" s="22" t="inlineStr">
        <is>
          <t>公司债ETF平安</t>
        </is>
      </c>
      <c r="F21" s="24" t="n">
        <v>3.120013</v>
      </c>
      <c r="G21" s="21" t="inlineStr">
        <is>
          <t>588170</t>
        </is>
      </c>
      <c r="H21" s="22" t="inlineStr">
        <is>
          <t>科创半导体ETF华夏</t>
        </is>
      </c>
      <c r="I21" s="23" t="n">
        <v>0.0192562710014474</v>
      </c>
    </row>
    <row r="22">
      <c r="A22" s="21" t="inlineStr">
        <is>
          <t>159949</t>
        </is>
      </c>
      <c r="B22" s="22" t="inlineStr">
        <is>
          <t>创业板50ETF华安</t>
        </is>
      </c>
      <c r="C22" s="23" t="n">
        <v>0.005576462614175762</v>
      </c>
      <c r="D22" s="21" t="inlineStr">
        <is>
          <t>159112</t>
        </is>
      </c>
      <c r="E22" s="22" t="inlineStr">
        <is>
          <t>科创债ETF银华</t>
        </is>
      </c>
      <c r="F22" s="24" t="n">
        <v>3.107142</v>
      </c>
      <c r="G22" s="21" t="inlineStr">
        <is>
          <t>159206</t>
        </is>
      </c>
      <c r="H22" s="22" t="inlineStr">
        <is>
          <t>卫星ETF永赢</t>
        </is>
      </c>
      <c r="I22" s="23" t="n">
        <v>0.01829416421030694</v>
      </c>
    </row>
    <row r="23">
      <c r="A23" s="21" t="inlineStr">
        <is>
          <t>512890</t>
        </is>
      </c>
      <c r="B23" s="22" t="inlineStr">
        <is>
          <t>红利低波ETF华泰柏瑞</t>
        </is>
      </c>
      <c r="C23" s="23" t="n">
        <v>0.005205081808925735</v>
      </c>
      <c r="D23" s="21" t="inlineStr">
        <is>
          <t>159352</t>
        </is>
      </c>
      <c r="E23" s="22" t="inlineStr">
        <is>
          <t>A500ETF南方</t>
        </is>
      </c>
      <c r="F23" s="24" t="n">
        <v>2.843699</v>
      </c>
      <c r="G23" s="21" t="inlineStr">
        <is>
          <t>159338</t>
        </is>
      </c>
      <c r="H23" s="22" t="inlineStr">
        <is>
          <t>中证A500ETF国泰</t>
        </is>
      </c>
      <c r="I23" s="23" t="n">
        <v>0.01588835819337734</v>
      </c>
    </row>
    <row r="26" ht="15" customHeight="1">
      <c r="A26" s="19" t="inlineStr">
        <is>
          <t>份额变化百分比排名（减少前20）</t>
        </is>
      </c>
      <c r="D26" s="19" t="inlineStr">
        <is>
          <t>市值减少最多排名（前20）</t>
        </is>
      </c>
      <c r="G26" s="19" t="inlineStr">
        <is>
          <t>市值减少百分比排名（前20）</t>
        </is>
      </c>
    </row>
    <row r="27">
      <c r="A27" s="20" t="inlineStr">
        <is>
          <t>代码</t>
        </is>
      </c>
      <c r="B27" s="20" t="inlineStr">
        <is>
          <t>名称</t>
        </is>
      </c>
      <c r="C27" s="20" t="inlineStr">
        <is>
          <t>份额变化百分比</t>
        </is>
      </c>
      <c r="D27" s="20" t="inlineStr">
        <is>
          <t>代码</t>
        </is>
      </c>
      <c r="E27" s="20" t="inlineStr">
        <is>
          <t>名称</t>
        </is>
      </c>
      <c r="F27" s="20" t="inlineStr">
        <is>
          <t>减少值（亿）</t>
        </is>
      </c>
      <c r="G27" s="20" t="inlineStr">
        <is>
          <t>代码</t>
        </is>
      </c>
      <c r="H27" s="20" t="inlineStr">
        <is>
          <t>名称</t>
        </is>
      </c>
      <c r="I27" s="20" t="inlineStr">
        <is>
          <t>百分比</t>
        </is>
      </c>
    </row>
    <row r="28">
      <c r="A28" s="25" t="inlineStr">
        <is>
          <t>159870</t>
        </is>
      </c>
      <c r="B28" s="26" t="inlineStr">
        <is>
          <t>化工ETF鹏华</t>
        </is>
      </c>
      <c r="C28" s="27" t="n">
        <v>-0.05049984571455877</v>
      </c>
      <c r="D28" s="25" t="inlineStr">
        <is>
          <t>510310</t>
        </is>
      </c>
      <c r="E28" s="26" t="inlineStr">
        <is>
          <t>沪深300ETF易方达</t>
        </is>
      </c>
      <c r="F28" s="28" t="n">
        <v>-46.401302</v>
      </c>
      <c r="G28" s="25" t="inlineStr">
        <is>
          <t>510050</t>
        </is>
      </c>
      <c r="H28" s="26" t="inlineStr">
        <is>
          <t>上证50ETF华夏</t>
        </is>
      </c>
      <c r="I28" s="27" t="n">
        <v>-0.06788011801244531</v>
      </c>
    </row>
    <row r="29">
      <c r="A29" s="25" t="inlineStr">
        <is>
          <t>159919</t>
        </is>
      </c>
      <c r="B29" s="26" t="inlineStr">
        <is>
          <t>沪深300ETF嘉实</t>
        </is>
      </c>
      <c r="C29" s="27" t="n">
        <v>-0.0433569324996191</v>
      </c>
      <c r="D29" s="25" t="inlineStr">
        <is>
          <t>510300</t>
        </is>
      </c>
      <c r="E29" s="26" t="inlineStr">
        <is>
          <t>沪深300ETF华泰柏瑞</t>
        </is>
      </c>
      <c r="F29" s="28" t="n">
        <v>-37.000494</v>
      </c>
      <c r="G29" s="25" t="inlineStr">
        <is>
          <t>159870</t>
        </is>
      </c>
      <c r="H29" s="26" t="inlineStr">
        <is>
          <t>化工ETF鹏华</t>
        </is>
      </c>
      <c r="I29" s="27" t="n">
        <v>-0.05038915617179571</v>
      </c>
    </row>
    <row r="30">
      <c r="A30" s="25" t="inlineStr">
        <is>
          <t>512800</t>
        </is>
      </c>
      <c r="B30" s="26" t="inlineStr">
        <is>
          <t>银行ETF华宝</t>
        </is>
      </c>
      <c r="C30" s="27" t="n">
        <v>-0.03677041946833545</v>
      </c>
      <c r="D30" s="25" t="inlineStr">
        <is>
          <t>159919</t>
        </is>
      </c>
      <c r="E30" s="26" t="inlineStr">
        <is>
          <t>沪深300ETF嘉实</t>
        </is>
      </c>
      <c r="F30" s="28" t="n">
        <v>-19.289962</v>
      </c>
      <c r="G30" s="25" t="inlineStr">
        <is>
          <t>513750</t>
        </is>
      </c>
      <c r="H30" s="26" t="inlineStr">
        <is>
          <t>港股通非银ETF广发</t>
        </is>
      </c>
      <c r="I30" s="27" t="n">
        <v>-0.04942490370346576</v>
      </c>
    </row>
    <row r="31">
      <c r="A31" s="25" t="inlineStr">
        <is>
          <t>510310</t>
        </is>
      </c>
      <c r="B31" s="26" t="inlineStr">
        <is>
          <t>沪深300ETF易方达</t>
        </is>
      </c>
      <c r="C31" s="27" t="n">
        <v>-0.0261546860812377</v>
      </c>
      <c r="D31" s="25" t="inlineStr">
        <is>
          <t>512880</t>
        </is>
      </c>
      <c r="E31" s="26" t="inlineStr">
        <is>
          <t>证券ETF国泰</t>
        </is>
      </c>
      <c r="F31" s="28" t="n">
        <v>-19.16174</v>
      </c>
      <c r="G31" s="25" t="inlineStr">
        <is>
          <t>510310</t>
        </is>
      </c>
      <c r="H31" s="26" t="inlineStr">
        <is>
          <t>沪深300ETF易方达</t>
        </is>
      </c>
      <c r="I31" s="27" t="n">
        <v>-0.04694659368064313</v>
      </c>
    </row>
    <row r="32">
      <c r="A32" s="25" t="inlineStr">
        <is>
          <t>588000</t>
        </is>
      </c>
      <c r="B32" s="26" t="inlineStr">
        <is>
          <t>科创50ETF华夏</t>
        </is>
      </c>
      <c r="C32" s="27" t="n">
        <v>-0.02609698684189924</v>
      </c>
      <c r="D32" s="25" t="inlineStr">
        <is>
          <t>510050</t>
        </is>
      </c>
      <c r="E32" s="26" t="inlineStr">
        <is>
          <t>上证50ETF华夏</t>
        </is>
      </c>
      <c r="F32" s="28" t="n">
        <v>-17.048399</v>
      </c>
      <c r="G32" s="25" t="inlineStr">
        <is>
          <t>512070</t>
        </is>
      </c>
      <c r="H32" s="26" t="inlineStr">
        <is>
          <t>证券保险ETF易方达</t>
        </is>
      </c>
      <c r="I32" s="27" t="n">
        <v>-0.0446877567196344</v>
      </c>
    </row>
    <row r="33">
      <c r="A33" s="25" t="inlineStr">
        <is>
          <t>513630</t>
        </is>
      </c>
      <c r="B33" s="26" t="inlineStr">
        <is>
          <t>港股低波红利ETF摩根</t>
        </is>
      </c>
      <c r="C33" s="27" t="n">
        <v>-0.02302460674259491</v>
      </c>
      <c r="D33" s="25" t="inlineStr">
        <is>
          <t>512000</t>
        </is>
      </c>
      <c r="E33" s="26" t="inlineStr">
        <is>
          <t>券商ETF华宝</t>
        </is>
      </c>
      <c r="F33" s="28" t="n">
        <v>-13.964015</v>
      </c>
      <c r="G33" s="25" t="inlineStr">
        <is>
          <t>513630</t>
        </is>
      </c>
      <c r="H33" s="26" t="inlineStr">
        <is>
          <t>港股低波红利ETF摩根</t>
        </is>
      </c>
      <c r="I33" s="27" t="n">
        <v>-0.044449557801569</v>
      </c>
    </row>
    <row r="34">
      <c r="A34" s="25" t="inlineStr">
        <is>
          <t>510330</t>
        </is>
      </c>
      <c r="B34" s="26" t="inlineStr">
        <is>
          <t>沪深300ETF华夏</t>
        </is>
      </c>
      <c r="C34" s="27" t="n">
        <v>-0.02138814156091887</v>
      </c>
      <c r="D34" s="25" t="inlineStr">
        <is>
          <t>511380</t>
        </is>
      </c>
      <c r="E34" s="26" t="inlineStr">
        <is>
          <t>可转债ETF博时</t>
        </is>
      </c>
      <c r="F34" s="28" t="n">
        <v>-13.588643</v>
      </c>
      <c r="G34" s="25" t="inlineStr">
        <is>
          <t>513090</t>
        </is>
      </c>
      <c r="H34" s="26" t="inlineStr">
        <is>
          <t>香港证券ETF易方达</t>
        </is>
      </c>
      <c r="I34" s="27" t="n">
        <v>-0.04022355756344189</v>
      </c>
    </row>
    <row r="35">
      <c r="A35" s="25" t="inlineStr">
        <is>
          <t>512050</t>
        </is>
      </c>
      <c r="B35" s="26" t="inlineStr">
        <is>
          <t>A500ETF华夏</t>
        </is>
      </c>
      <c r="C35" s="27" t="n">
        <v>-0.0211163626879446</v>
      </c>
      <c r="D35" s="25" t="inlineStr">
        <is>
          <t>510330</t>
        </is>
      </c>
      <c r="E35" s="26" t="inlineStr">
        <is>
          <t>沪深300ETF华夏</t>
        </is>
      </c>
      <c r="F35" s="28" t="n">
        <v>-11.032414</v>
      </c>
      <c r="G35" s="25" t="inlineStr">
        <is>
          <t>512000</t>
        </is>
      </c>
      <c r="H35" s="26" t="inlineStr">
        <is>
          <t>券商ETF华宝</t>
        </is>
      </c>
      <c r="I35" s="27" t="n">
        <v>-0.03714601819918314</v>
      </c>
    </row>
    <row r="36">
      <c r="A36" s="25" t="inlineStr">
        <is>
          <t>588080</t>
        </is>
      </c>
      <c r="B36" s="26" t="inlineStr">
        <is>
          <t>科创50ETF易方达</t>
        </is>
      </c>
      <c r="C36" s="27" t="n">
        <v>-0.02054624802910116</v>
      </c>
      <c r="D36" s="25" t="inlineStr">
        <is>
          <t>159870</t>
        </is>
      </c>
      <c r="E36" s="26" t="inlineStr">
        <is>
          <t>化工ETF鹏华</t>
        </is>
      </c>
      <c r="F36" s="28" t="n">
        <v>-8.837372</v>
      </c>
      <c r="G36" s="25" t="inlineStr">
        <is>
          <t>159919</t>
        </is>
      </c>
      <c r="H36" s="26" t="inlineStr">
        <is>
          <t>沪深300ETF嘉实</t>
        </is>
      </c>
      <c r="I36" s="27" t="n">
        <v>-0.03410994371961368</v>
      </c>
    </row>
    <row r="37">
      <c r="A37" s="25" t="inlineStr">
        <is>
          <t>510300</t>
        </is>
      </c>
      <c r="B37" s="26" t="inlineStr">
        <is>
          <t>沪深300ETF华泰柏瑞</t>
        </is>
      </c>
      <c r="C37" s="27" t="n">
        <v>-0.02050410053024978</v>
      </c>
      <c r="D37" s="25" t="inlineStr">
        <is>
          <t>159792</t>
        </is>
      </c>
      <c r="E37" s="26" t="inlineStr">
        <is>
          <t>港股通互联网ETF富国</t>
        </is>
      </c>
      <c r="F37" s="28" t="n">
        <v>-8.719097</v>
      </c>
      <c r="G37" s="25" t="inlineStr">
        <is>
          <t>512880</t>
        </is>
      </c>
      <c r="H37" s="26" t="inlineStr">
        <is>
          <t>证券ETF国泰</t>
        </is>
      </c>
      <c r="I37" s="27" t="n">
        <v>-0.03372175525557264</v>
      </c>
    </row>
    <row r="38">
      <c r="A38" s="25" t="inlineStr">
        <is>
          <t>512400</t>
        </is>
      </c>
      <c r="B38" s="26" t="inlineStr">
        <is>
          <t>有色金属ETF南方</t>
        </is>
      </c>
      <c r="C38" s="27" t="n">
        <v>-0.01998184442075612</v>
      </c>
      <c r="D38" s="25" t="inlineStr">
        <is>
          <t>513180</t>
        </is>
      </c>
      <c r="E38" s="26" t="inlineStr">
        <is>
          <t>恒生科技ETF华夏</t>
        </is>
      </c>
      <c r="F38" s="28" t="n">
        <v>-8.308824</v>
      </c>
      <c r="G38" s="25" t="inlineStr">
        <is>
          <t>515220</t>
        </is>
      </c>
      <c r="H38" s="26" t="inlineStr">
        <is>
          <t>煤炭ETF国泰</t>
        </is>
      </c>
      <c r="I38" s="27" t="n">
        <v>-0.03047396581142062</v>
      </c>
    </row>
    <row r="39">
      <c r="A39" s="25" t="inlineStr">
        <is>
          <t>159995</t>
        </is>
      </c>
      <c r="B39" s="26" t="inlineStr">
        <is>
          <t>芯片ETF华夏</t>
        </is>
      </c>
      <c r="C39" s="27" t="n">
        <v>-0.01990028005250254</v>
      </c>
      <c r="D39" s="25" t="inlineStr">
        <is>
          <t>513050</t>
        </is>
      </c>
      <c r="E39" s="26" t="inlineStr">
        <is>
          <t>中概互联网ETF易方达</t>
        </is>
      </c>
      <c r="F39" s="28" t="n">
        <v>-8.278608999999999</v>
      </c>
      <c r="G39" s="25" t="inlineStr">
        <is>
          <t>510300</t>
        </is>
      </c>
      <c r="H39" s="26" t="inlineStr">
        <is>
          <t>沪深300ETF华泰柏瑞</t>
        </is>
      </c>
      <c r="I39" s="27" t="n">
        <v>-0.02668073908317909</v>
      </c>
    </row>
    <row r="40">
      <c r="A40" s="25" t="inlineStr">
        <is>
          <t>512760</t>
        </is>
      </c>
      <c r="B40" s="26" t="inlineStr">
        <is>
          <t>芯片ETF国泰</t>
        </is>
      </c>
      <c r="C40" s="27" t="n">
        <v>-0.01955336442002262</v>
      </c>
      <c r="D40" s="25" t="inlineStr">
        <is>
          <t>513750</t>
        </is>
      </c>
      <c r="E40" s="26" t="inlineStr">
        <is>
          <t>港股通非银ETF广发</t>
        </is>
      </c>
      <c r="F40" s="28" t="n">
        <v>-8.197849</v>
      </c>
      <c r="G40" s="25" t="inlineStr">
        <is>
          <t>513980</t>
        </is>
      </c>
      <c r="H40" s="26" t="inlineStr">
        <is>
          <t>港股科技ETF景顺</t>
        </is>
      </c>
      <c r="I40" s="27" t="n">
        <v>-0.02630366967814331</v>
      </c>
    </row>
    <row r="41">
      <c r="A41" s="25" t="inlineStr">
        <is>
          <t>159819</t>
        </is>
      </c>
      <c r="B41" s="26" t="inlineStr">
        <is>
          <t>人工智能ETF易方达</t>
        </is>
      </c>
      <c r="C41" s="27" t="n">
        <v>-0.01552846350676616</v>
      </c>
      <c r="D41" s="25" t="inlineStr">
        <is>
          <t>513090</t>
        </is>
      </c>
      <c r="E41" s="26" t="inlineStr">
        <is>
          <t>香港证券ETF易方达</t>
        </is>
      </c>
      <c r="F41" s="28" t="n">
        <v>-7.889668</v>
      </c>
      <c r="G41" s="25" t="inlineStr">
        <is>
          <t>513330</t>
        </is>
      </c>
      <c r="H41" s="26" t="inlineStr">
        <is>
          <t>恒生互联网ETF华夏</t>
        </is>
      </c>
      <c r="I41" s="27" t="n">
        <v>-0.0238726819067029</v>
      </c>
    </row>
    <row r="42">
      <c r="A42" s="25" t="inlineStr">
        <is>
          <t>159792</t>
        </is>
      </c>
      <c r="B42" s="26" t="inlineStr">
        <is>
          <t>港股通互联网ETF富国</t>
        </is>
      </c>
      <c r="C42" s="27" t="n">
        <v>-0.01433016744017926</v>
      </c>
      <c r="D42" s="25" t="inlineStr">
        <is>
          <t>513330</t>
        </is>
      </c>
      <c r="E42" s="26" t="inlineStr">
        <is>
          <t>恒生互联网ETF华夏</t>
        </is>
      </c>
      <c r="F42" s="28" t="n">
        <v>-6.594254</v>
      </c>
      <c r="G42" s="25" t="inlineStr">
        <is>
          <t>513050</t>
        </is>
      </c>
      <c r="H42" s="26" t="inlineStr">
        <is>
          <t>中概互联网ETF易方达</t>
        </is>
      </c>
      <c r="I42" s="27" t="n">
        <v>-0.02367424473690735</v>
      </c>
    </row>
    <row r="43">
      <c r="A43" s="25" t="inlineStr">
        <is>
          <t>159992</t>
        </is>
      </c>
      <c r="B43" s="26" t="inlineStr">
        <is>
          <t>创新药ETF银华</t>
        </is>
      </c>
      <c r="C43" s="27" t="n">
        <v>-0.01377899113525486</v>
      </c>
      <c r="D43" s="25" t="inlineStr">
        <is>
          <t>159941</t>
        </is>
      </c>
      <c r="E43" s="26" t="inlineStr">
        <is>
          <t>纳指ETF广发</t>
        </is>
      </c>
      <c r="F43" s="28" t="n">
        <v>-6.520289</v>
      </c>
      <c r="G43" s="25" t="inlineStr">
        <is>
          <t>159509</t>
        </is>
      </c>
      <c r="H43" s="26" t="inlineStr">
        <is>
          <t>纳指科技ETF景顺</t>
        </is>
      </c>
      <c r="I43" s="27" t="n">
        <v>-0.02315334538649749</v>
      </c>
    </row>
    <row r="44">
      <c r="A44" s="25" t="inlineStr">
        <is>
          <t>159201</t>
        </is>
      </c>
      <c r="B44" s="26" t="inlineStr">
        <is>
          <t>自由现金流ETF华夏</t>
        </is>
      </c>
      <c r="C44" s="27" t="n">
        <v>-0.01242161657214294</v>
      </c>
      <c r="D44" s="25" t="inlineStr">
        <is>
          <t>513130</t>
        </is>
      </c>
      <c r="E44" s="26" t="inlineStr">
        <is>
          <t>恒生科技ETF华泰柏瑞</t>
        </is>
      </c>
      <c r="F44" s="28" t="n">
        <v>-6.112291</v>
      </c>
      <c r="G44" s="25" t="inlineStr">
        <is>
          <t>512800</t>
        </is>
      </c>
      <c r="H44" s="26" t="inlineStr">
        <is>
          <t>银行ETF华宝</t>
        </is>
      </c>
      <c r="I44" s="27" t="n">
        <v>-0.02218182316449231</v>
      </c>
    </row>
    <row r="45">
      <c r="A45" s="25" t="inlineStr">
        <is>
          <t>159326</t>
        </is>
      </c>
      <c r="B45" s="26" t="inlineStr">
        <is>
          <t>电网设备ETF华夏</t>
        </is>
      </c>
      <c r="C45" s="27" t="n">
        <v>-0.01222002768368832</v>
      </c>
      <c r="D45" s="25" t="inlineStr">
        <is>
          <t>513630</t>
        </is>
      </c>
      <c r="E45" s="26" t="inlineStr">
        <is>
          <t>港股低波红利ETF摩根</t>
        </is>
      </c>
      <c r="F45" s="28" t="n">
        <v>-6.097346</v>
      </c>
      <c r="G45" s="25" t="inlineStr">
        <is>
          <t>512690</t>
        </is>
      </c>
      <c r="H45" s="26" t="inlineStr">
        <is>
          <t>酒ETF鹏华</t>
        </is>
      </c>
      <c r="I45" s="27" t="n">
        <v>-0.02184272920434977</v>
      </c>
    </row>
    <row r="46">
      <c r="A46" s="25" t="inlineStr">
        <is>
          <t>515220</t>
        </is>
      </c>
      <c r="B46" s="26" t="inlineStr">
        <is>
          <t>煤炭ETF国泰</t>
        </is>
      </c>
      <c r="C46" s="27" t="n">
        <v>-0.01174149391796531</v>
      </c>
      <c r="D46" s="25" t="inlineStr">
        <is>
          <t>512070</t>
        </is>
      </c>
      <c r="E46" s="26" t="inlineStr">
        <is>
          <t>证券保险ETF易方达</t>
        </is>
      </c>
      <c r="F46" s="28" t="n">
        <v>-6.018819</v>
      </c>
      <c r="G46" s="25" t="inlineStr">
        <is>
          <t>511380</t>
        </is>
      </c>
      <c r="H46" s="26" t="inlineStr">
        <is>
          <t>可转债ETF博时</t>
        </is>
      </c>
      <c r="I46" s="27" t="n">
        <v>-0.02155907288410659</v>
      </c>
    </row>
    <row r="47">
      <c r="A47" s="25" t="inlineStr">
        <is>
          <t>511130</t>
        </is>
      </c>
      <c r="B47" s="26" t="inlineStr">
        <is>
          <t>30年国债ETF博时</t>
        </is>
      </c>
      <c r="C47" s="27" t="n">
        <v>-0.01049855515785983</v>
      </c>
      <c r="D47" s="25" t="inlineStr">
        <is>
          <t>518880</t>
        </is>
      </c>
      <c r="E47" s="26" t="inlineStr">
        <is>
          <t>黄金ETF华安</t>
        </is>
      </c>
      <c r="F47" s="28" t="n">
        <v>-5.947479</v>
      </c>
      <c r="G47" s="25" t="inlineStr">
        <is>
          <t>159792</t>
        </is>
      </c>
      <c r="H47" s="26" t="inlineStr">
        <is>
          <t>港股通互联网ETF富国</t>
        </is>
      </c>
      <c r="I47" s="27" t="n">
        <v>-0.02118089844892954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tabSelected="1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18" t="inlineStr">
        <is>
          <t>2026-06-19</t>
        </is>
      </c>
    </row>
    <row r="2" ht="12" customFormat="1" customHeight="1" s="1">
      <c r="A2" s="19" t="inlineStr">
        <is>
          <t>份额变化百分比排名（增加前20）</t>
        </is>
      </c>
      <c r="D2" s="19" t="inlineStr">
        <is>
          <t>市值增长最多排名（前20）</t>
        </is>
      </c>
      <c r="G2" s="19" t="inlineStr">
        <is>
          <t>市值增长百分比排名（前20）</t>
        </is>
      </c>
    </row>
    <row r="3">
      <c r="A3" s="20" t="inlineStr">
        <is>
          <t>代码</t>
        </is>
      </c>
      <c r="B3" s="20" t="inlineStr">
        <is>
          <t>名称</t>
        </is>
      </c>
      <c r="C3" s="20" t="inlineStr">
        <is>
          <t>份额变化百分比</t>
        </is>
      </c>
      <c r="D3" s="20" t="inlineStr">
        <is>
          <t>代码</t>
        </is>
      </c>
      <c r="E3" s="20" t="inlineStr">
        <is>
          <t>名称</t>
        </is>
      </c>
      <c r="F3" s="20" t="inlineStr">
        <is>
          <t>增长值（亿）</t>
        </is>
      </c>
      <c r="G3" s="20" t="inlineStr">
        <is>
          <t>代码</t>
        </is>
      </c>
      <c r="H3" s="20" t="inlineStr">
        <is>
          <t>名称</t>
        </is>
      </c>
      <c r="I3" s="20" t="inlineStr">
        <is>
          <t>百分比</t>
        </is>
      </c>
    </row>
    <row r="4">
      <c r="A4" s="21" t="inlineStr">
        <is>
          <t>159175</t>
        </is>
      </c>
      <c r="B4" s="22" t="inlineStr">
        <is>
          <t>电池ETF易方达</t>
        </is>
      </c>
      <c r="C4" s="23" t="n">
        <v>0.2847500382244071</v>
      </c>
      <c r="D4" s="21" t="inlineStr">
        <is>
          <t>159558</t>
        </is>
      </c>
      <c r="E4" s="22" t="inlineStr">
        <is>
          <t>半导体设备ETF易方达</t>
        </is>
      </c>
      <c r="F4" s="24" t="n">
        <v>9.949104</v>
      </c>
      <c r="G4" s="21" t="inlineStr">
        <is>
          <t>511020</t>
        </is>
      </c>
      <c r="H4" s="22" t="inlineStr">
        <is>
          <t>国债ETF平安</t>
        </is>
      </c>
      <c r="I4" s="23" t="n">
        <v>0.3422962801289051</v>
      </c>
    </row>
    <row r="5">
      <c r="A5" s="21" t="inlineStr">
        <is>
          <t>510720</t>
        </is>
      </c>
      <c r="B5" s="22" t="inlineStr">
        <is>
          <t>红利国企ETF国泰</t>
        </is>
      </c>
      <c r="C5" s="23" t="n">
        <v>0.2018181594751026</v>
      </c>
      <c r="D5" s="21" t="inlineStr">
        <is>
          <t>511270</t>
        </is>
      </c>
      <c r="E5" s="22" t="inlineStr">
        <is>
          <t>10年地方债ETF海富通</t>
        </is>
      </c>
      <c r="F5" s="24" t="n">
        <v>7.463702</v>
      </c>
      <c r="G5" s="21" t="inlineStr">
        <is>
          <t>159175</t>
        </is>
      </c>
      <c r="H5" s="22" t="inlineStr">
        <is>
          <t>电池ETF易方达</t>
        </is>
      </c>
      <c r="I5" s="23" t="n">
        <v>0.2803325723726871</v>
      </c>
    </row>
    <row r="6">
      <c r="A6" s="21" t="inlineStr">
        <is>
          <t>511020</t>
        </is>
      </c>
      <c r="B6" s="22" t="inlineStr">
        <is>
          <t>国债ETF平安</t>
        </is>
      </c>
      <c r="C6" s="23" t="n">
        <v>0.1898123324396783</v>
      </c>
      <c r="D6" s="21" t="inlineStr">
        <is>
          <t>511020</t>
        </is>
      </c>
      <c r="E6" s="22" t="inlineStr">
        <is>
          <t>国债ETF平安</t>
        </is>
      </c>
      <c r="F6" s="24" t="n">
        <v>6.983629</v>
      </c>
      <c r="G6" s="21" t="inlineStr">
        <is>
          <t>588010</t>
        </is>
      </c>
      <c r="H6" s="22" t="inlineStr">
        <is>
          <t>科创新材料ETF博时</t>
        </is>
      </c>
      <c r="I6" s="23" t="n">
        <v>0.2106292842818456</v>
      </c>
    </row>
    <row r="7">
      <c r="A7" s="21" t="inlineStr">
        <is>
          <t>159140</t>
        </is>
      </c>
      <c r="B7" s="22" t="inlineStr">
        <is>
          <t>科创创业人工智能ETF易方达</t>
        </is>
      </c>
      <c r="C7" s="23" t="n">
        <v>0.1714595154621534</v>
      </c>
      <c r="D7" s="21" t="inlineStr">
        <is>
          <t>159259</t>
        </is>
      </c>
      <c r="E7" s="22" t="inlineStr">
        <is>
          <t>成长ETF易方达</t>
        </is>
      </c>
      <c r="F7" s="24" t="n">
        <v>4.281316</v>
      </c>
      <c r="G7" s="21" t="inlineStr">
        <is>
          <t>159140</t>
        </is>
      </c>
      <c r="H7" s="22" t="inlineStr">
        <is>
          <t>科创创业人工智能ETF易方达</t>
        </is>
      </c>
      <c r="I7" s="23" t="n">
        <v>0.2047886205971031</v>
      </c>
    </row>
    <row r="8">
      <c r="A8" s="21" t="inlineStr">
        <is>
          <t>589020</t>
        </is>
      </c>
      <c r="B8" s="22" t="inlineStr">
        <is>
          <t>科创半导体设备ETF鹏华</t>
        </is>
      </c>
      <c r="C8" s="23" t="n">
        <v>0.1508654727864617</v>
      </c>
      <c r="D8" s="21" t="inlineStr">
        <is>
          <t>159732</t>
        </is>
      </c>
      <c r="E8" s="22" t="inlineStr">
        <is>
          <t>消费电子ETF华夏</t>
        </is>
      </c>
      <c r="F8" s="24" t="n">
        <v>4.135346</v>
      </c>
      <c r="G8" s="21" t="inlineStr">
        <is>
          <t>159325</t>
        </is>
      </c>
      <c r="H8" s="22" t="inlineStr">
        <is>
          <t>半导体ETF南方</t>
        </is>
      </c>
      <c r="I8" s="23" t="n">
        <v>0.1744186088073577</v>
      </c>
    </row>
    <row r="9">
      <c r="A9" s="21" t="inlineStr">
        <is>
          <t>588160</t>
        </is>
      </c>
      <c r="B9" s="22" t="inlineStr">
        <is>
          <t>科创新材料ETF南方</t>
        </is>
      </c>
      <c r="C9" s="23" t="n">
        <v>0.1321120310022899</v>
      </c>
      <c r="D9" s="21" t="inlineStr">
        <is>
          <t>515070</t>
        </is>
      </c>
      <c r="E9" s="22" t="inlineStr">
        <is>
          <t>人工智能ETF华夏</t>
        </is>
      </c>
      <c r="F9" s="24" t="n">
        <v>3.805163</v>
      </c>
      <c r="G9" s="21" t="inlineStr">
        <is>
          <t>562910</t>
        </is>
      </c>
      <c r="H9" s="22" t="inlineStr">
        <is>
          <t>高端制造ETF易方达</t>
        </is>
      </c>
      <c r="I9" s="23" t="n">
        <v>0.1634621655231658</v>
      </c>
    </row>
    <row r="10">
      <c r="A10" s="21" t="inlineStr">
        <is>
          <t>159775</t>
        </is>
      </c>
      <c r="B10" s="22" t="inlineStr">
        <is>
          <t>电池ETF建信</t>
        </is>
      </c>
      <c r="C10" s="23" t="n">
        <v>0.1229953092198559</v>
      </c>
      <c r="D10" s="21" t="inlineStr">
        <is>
          <t>560010</t>
        </is>
      </c>
      <c r="E10" s="22" t="inlineStr">
        <is>
          <t>中证1000ETF广发</t>
        </is>
      </c>
      <c r="F10" s="24" t="n">
        <v>3.621853</v>
      </c>
      <c r="G10" s="21" t="inlineStr">
        <is>
          <t>588160</t>
        </is>
      </c>
      <c r="H10" s="22" t="inlineStr">
        <is>
          <t>科创新材料ETF南方</t>
        </is>
      </c>
      <c r="I10" s="23" t="n">
        <v>0.1464143802653678</v>
      </c>
    </row>
    <row r="11">
      <c r="A11" s="21" t="inlineStr">
        <is>
          <t>165512</t>
        </is>
      </c>
      <c r="B11" s="22" t="inlineStr">
        <is>
          <t>中信保诚机遇LOF</t>
        </is>
      </c>
      <c r="C11" s="23" t="n">
        <v>0.1146629885057471</v>
      </c>
      <c r="D11" s="21" t="inlineStr">
        <is>
          <t>159113</t>
        </is>
      </c>
      <c r="E11" s="22" t="inlineStr">
        <is>
          <t>科创债ETF大成</t>
        </is>
      </c>
      <c r="F11" s="24" t="n">
        <v>3.073158</v>
      </c>
      <c r="G11" s="21" t="inlineStr">
        <is>
          <t>159327</t>
        </is>
      </c>
      <c r="H11" s="22" t="inlineStr">
        <is>
          <t>半导体设备ETF万家</t>
        </is>
      </c>
      <c r="I11" s="23" t="n">
        <v>0.141797973463088</v>
      </c>
    </row>
    <row r="12">
      <c r="A12" s="21" t="inlineStr">
        <is>
          <t>561310</t>
        </is>
      </c>
      <c r="B12" s="22" t="inlineStr">
        <is>
          <t>消电ETF国泰</t>
        </is>
      </c>
      <c r="C12" s="23" t="n">
        <v>0.1054946909796765</v>
      </c>
      <c r="D12" s="21" t="inlineStr">
        <is>
          <t>159967</t>
        </is>
      </c>
      <c r="E12" s="22" t="inlineStr">
        <is>
          <t>创业板成长ETF华夏</t>
        </is>
      </c>
      <c r="F12" s="24" t="n">
        <v>3.02093</v>
      </c>
      <c r="G12" s="21" t="inlineStr">
        <is>
          <t>588850</t>
        </is>
      </c>
      <c r="H12" s="22" t="inlineStr">
        <is>
          <t>科创机械ETF嘉实</t>
        </is>
      </c>
      <c r="I12" s="23" t="n">
        <v>0.1254724841095859</v>
      </c>
    </row>
    <row r="13">
      <c r="A13" s="21" t="inlineStr">
        <is>
          <t>159325</t>
        </is>
      </c>
      <c r="B13" s="22" t="inlineStr">
        <is>
          <t>半导体ETF南方</t>
        </is>
      </c>
      <c r="C13" s="23" t="n">
        <v>0.1009401973744243</v>
      </c>
      <c r="D13" s="21" t="inlineStr">
        <is>
          <t>515980</t>
        </is>
      </c>
      <c r="E13" s="22" t="inlineStr">
        <is>
          <t>人工智能ETF华富</t>
        </is>
      </c>
      <c r="F13" s="24" t="n">
        <v>2.888597</v>
      </c>
      <c r="G13" s="21" t="inlineStr">
        <is>
          <t>159775</t>
        </is>
      </c>
      <c r="H13" s="22" t="inlineStr">
        <is>
          <t>电池ETF建信</t>
        </is>
      </c>
      <c r="I13" s="23" t="n">
        <v>0.1218043376721806</v>
      </c>
    </row>
    <row r="14">
      <c r="A14" s="21" t="inlineStr">
        <is>
          <t>560450</t>
        </is>
      </c>
      <c r="B14" s="22" t="inlineStr">
        <is>
          <t>电力ETF天弘</t>
        </is>
      </c>
      <c r="C14" s="23" t="n">
        <v>0.09579578428879468</v>
      </c>
      <c r="D14" s="21" t="inlineStr">
        <is>
          <t>588220</t>
        </is>
      </c>
      <c r="E14" s="22" t="inlineStr">
        <is>
          <t>科创100ETF鹏华</t>
        </is>
      </c>
      <c r="F14" s="24" t="n">
        <v>2.595557</v>
      </c>
      <c r="G14" s="21" t="inlineStr">
        <is>
          <t>159558</t>
        </is>
      </c>
      <c r="H14" s="22" t="inlineStr">
        <is>
          <t>半导体设备ETF易方达</t>
        </is>
      </c>
      <c r="I14" s="23" t="n">
        <v>0.1195559802918912</v>
      </c>
    </row>
    <row r="15">
      <c r="A15" s="21" t="inlineStr">
        <is>
          <t>162607</t>
        </is>
      </c>
      <c r="B15" s="22" t="inlineStr">
        <is>
          <t>景顺资源LOF</t>
        </is>
      </c>
      <c r="C15" s="23" t="n">
        <v>0.09268301010539974</v>
      </c>
      <c r="D15" s="21" t="inlineStr">
        <is>
          <t>515120</t>
        </is>
      </c>
      <c r="E15" s="22" t="inlineStr">
        <is>
          <t>创新药ETF广发</t>
        </is>
      </c>
      <c r="F15" s="24" t="n">
        <v>2.553779</v>
      </c>
      <c r="G15" s="21" t="inlineStr">
        <is>
          <t>159546</t>
        </is>
      </c>
      <c r="H15" s="22" t="inlineStr">
        <is>
          <t>集成电路ETF国泰</t>
        </is>
      </c>
      <c r="I15" s="23" t="n">
        <v>0.1188078570331105</v>
      </c>
    </row>
    <row r="16">
      <c r="A16" s="21" t="inlineStr">
        <is>
          <t>588070</t>
        </is>
      </c>
      <c r="B16" s="22" t="inlineStr">
        <is>
          <t>科创成长ETF万家</t>
        </is>
      </c>
      <c r="C16" s="23" t="n">
        <v>0.08913847662343451</v>
      </c>
      <c r="D16" s="21" t="inlineStr">
        <is>
          <t>588050</t>
        </is>
      </c>
      <c r="E16" s="22" t="inlineStr">
        <is>
          <t>科创50ETF工银</t>
        </is>
      </c>
      <c r="F16" s="24" t="n">
        <v>2.354931</v>
      </c>
      <c r="G16" s="21" t="inlineStr">
        <is>
          <t>159153</t>
        </is>
      </c>
      <c r="H16" s="22" t="inlineStr">
        <is>
          <t>消费电子ETF鹏华</t>
        </is>
      </c>
      <c r="I16" s="23" t="n">
        <v>0.1179536643876598</v>
      </c>
    </row>
    <row r="17">
      <c r="A17" s="21" t="inlineStr">
        <is>
          <t>588710</t>
        </is>
      </c>
      <c r="B17" s="22" t="inlineStr">
        <is>
          <t>科创半导体设备ETF华泰柏瑞</t>
        </is>
      </c>
      <c r="C17" s="23" t="n">
        <v>0.08393796221519913</v>
      </c>
      <c r="D17" s="21" t="inlineStr">
        <is>
          <t>159922</t>
        </is>
      </c>
      <c r="E17" s="22" t="inlineStr">
        <is>
          <t>中证500ETF嘉实</t>
        </is>
      </c>
      <c r="F17" s="24" t="n">
        <v>2.334656</v>
      </c>
      <c r="G17" s="21" t="inlineStr">
        <is>
          <t>588410</t>
        </is>
      </c>
      <c r="H17" s="22" t="inlineStr">
        <is>
          <t>科创创业人工智能ETF鹏华</t>
        </is>
      </c>
      <c r="I17" s="23" t="n">
        <v>0.1166528673227011</v>
      </c>
    </row>
    <row r="18">
      <c r="A18" s="21" t="inlineStr">
        <is>
          <t>560010</t>
        </is>
      </c>
      <c r="B18" s="22" t="inlineStr">
        <is>
          <t>中证1000ETF广发</t>
        </is>
      </c>
      <c r="C18" s="23" t="n">
        <v>0.08277630098351368</v>
      </c>
      <c r="D18" s="21" t="inlineStr">
        <is>
          <t>159952</t>
        </is>
      </c>
      <c r="E18" s="22" t="inlineStr">
        <is>
          <t>创业板ETF广发</t>
        </is>
      </c>
      <c r="F18" s="24" t="n">
        <v>2.26581</v>
      </c>
      <c r="G18" s="21" t="inlineStr">
        <is>
          <t>588320</t>
        </is>
      </c>
      <c r="H18" s="22" t="inlineStr">
        <is>
          <t>双创50增强ETF广发</t>
        </is>
      </c>
      <c r="I18" s="23" t="n">
        <v>0.1161282830196752</v>
      </c>
    </row>
    <row r="19">
      <c r="A19" s="21" t="inlineStr">
        <is>
          <t>561300</t>
        </is>
      </c>
      <c r="B19" s="22" t="inlineStr">
        <is>
          <t>沪深300增强ETF国泰</t>
        </is>
      </c>
      <c r="C19" s="23" t="n">
        <v>0.07715057220007715</v>
      </c>
      <c r="D19" s="21" t="inlineStr">
        <is>
          <t>159801</t>
        </is>
      </c>
      <c r="E19" s="22" t="inlineStr">
        <is>
          <t>芯片ETF广发</t>
        </is>
      </c>
      <c r="F19" s="24" t="n">
        <v>2.11159</v>
      </c>
      <c r="G19" s="21" t="inlineStr">
        <is>
          <t>560010</t>
        </is>
      </c>
      <c r="H19" s="22" t="inlineStr">
        <is>
          <t>中证1000ETF广发</t>
        </is>
      </c>
      <c r="I19" s="23" t="n">
        <v>0.1118638185884381</v>
      </c>
    </row>
    <row r="20">
      <c r="A20" s="21" t="inlineStr">
        <is>
          <t>560270</t>
        </is>
      </c>
      <c r="B20" s="22" t="inlineStr">
        <is>
          <t>电力ETF工银</t>
        </is>
      </c>
      <c r="C20" s="23" t="n">
        <v>0.07642126178450594</v>
      </c>
      <c r="D20" s="21" t="inlineStr">
        <is>
          <t>159783</t>
        </is>
      </c>
      <c r="E20" s="22" t="inlineStr">
        <is>
          <t>科创创业50ETF华夏</t>
        </is>
      </c>
      <c r="F20" s="24" t="n">
        <v>2.031619</v>
      </c>
      <c r="G20" s="21" t="inlineStr">
        <is>
          <t>165512</t>
        </is>
      </c>
      <c r="H20" s="22" t="inlineStr">
        <is>
          <t>中信保诚机遇LOF</t>
        </is>
      </c>
      <c r="I20" s="23" t="n">
        <v>0.1099881093935791</v>
      </c>
    </row>
    <row r="21">
      <c r="A21" s="21" t="inlineStr">
        <is>
          <t>588850</t>
        </is>
      </c>
      <c r="B21" s="22" t="inlineStr">
        <is>
          <t>科创机械ETF嘉实</t>
        </is>
      </c>
      <c r="C21" s="23" t="n">
        <v>0.07248215127024971</v>
      </c>
      <c r="D21" s="21" t="inlineStr">
        <is>
          <t>516150</t>
        </is>
      </c>
      <c r="E21" s="22" t="inlineStr">
        <is>
          <t>稀土ETF嘉实</t>
        </is>
      </c>
      <c r="F21" s="24" t="n">
        <v>1.99362</v>
      </c>
      <c r="G21" s="21" t="inlineStr">
        <is>
          <t>561600</t>
        </is>
      </c>
      <c r="H21" s="22" t="inlineStr">
        <is>
          <t>消费电子ETF平安</t>
        </is>
      </c>
      <c r="I21" s="23" t="n">
        <v>0.1037861164260052</v>
      </c>
    </row>
    <row r="22">
      <c r="A22" s="21" t="inlineStr">
        <is>
          <t>160125</t>
        </is>
      </c>
      <c r="B22" s="22" t="inlineStr">
        <is>
          <t>南方香港LOF</t>
        </is>
      </c>
      <c r="C22" s="23" t="n">
        <v>0.07022159140879275</v>
      </c>
      <c r="D22" s="21" t="inlineStr">
        <is>
          <t>159972</t>
        </is>
      </c>
      <c r="E22" s="22" t="inlineStr">
        <is>
          <t>5年地方债ETF鹏华</t>
        </is>
      </c>
      <c r="F22" s="24" t="n">
        <v>1.887193</v>
      </c>
      <c r="G22" s="21" t="inlineStr">
        <is>
          <t>159178</t>
        </is>
      </c>
      <c r="H22" s="22" t="inlineStr">
        <is>
          <t>消费电子ETF汇添富</t>
        </is>
      </c>
      <c r="I22" s="23" t="n">
        <v>0.09817701286520825</v>
      </c>
    </row>
    <row r="23">
      <c r="A23" s="21" t="inlineStr">
        <is>
          <t>159715</t>
        </is>
      </c>
      <c r="B23" s="22" t="inlineStr">
        <is>
          <t>稀土ETF易方达</t>
        </is>
      </c>
      <c r="C23" s="23" t="n">
        <v>0.06982394163791526</v>
      </c>
      <c r="D23" s="21" t="inlineStr">
        <is>
          <t>159813</t>
        </is>
      </c>
      <c r="E23" s="22" t="inlineStr">
        <is>
          <t>半导体ETF鹏华</t>
        </is>
      </c>
      <c r="F23" s="24" t="n">
        <v>1.847778</v>
      </c>
      <c r="G23" s="21" t="inlineStr">
        <is>
          <t>159732</t>
        </is>
      </c>
      <c r="H23" s="22" t="inlineStr">
        <is>
          <t>消费电子ETF华夏</t>
        </is>
      </c>
      <c r="I23" s="23" t="n">
        <v>0.09238943847627332</v>
      </c>
    </row>
    <row r="26" ht="15" customHeight="1">
      <c r="A26" s="19" t="inlineStr">
        <is>
          <t>份额变化百分比排名（减少前20）</t>
        </is>
      </c>
      <c r="D26" s="19" t="inlineStr">
        <is>
          <t>市值减少最多排名（前20）</t>
        </is>
      </c>
      <c r="G26" s="19" t="inlineStr">
        <is>
          <t>市值减少百分比排名（前20）</t>
        </is>
      </c>
    </row>
    <row r="27">
      <c r="A27" s="20" t="inlineStr">
        <is>
          <t>代码</t>
        </is>
      </c>
      <c r="B27" s="20" t="inlineStr">
        <is>
          <t>名称</t>
        </is>
      </c>
      <c r="C27" s="20" t="inlineStr">
        <is>
          <t>份额变化百分比</t>
        </is>
      </c>
      <c r="D27" s="20" t="inlineStr">
        <is>
          <t>代码</t>
        </is>
      </c>
      <c r="E27" s="20" t="inlineStr">
        <is>
          <t>名称</t>
        </is>
      </c>
      <c r="F27" s="20" t="inlineStr">
        <is>
          <t>减少值（亿）</t>
        </is>
      </c>
      <c r="G27" s="20" t="inlineStr">
        <is>
          <t>代码</t>
        </is>
      </c>
      <c r="H27" s="20" t="inlineStr">
        <is>
          <t>名称</t>
        </is>
      </c>
      <c r="I27" s="20" t="inlineStr">
        <is>
          <t>百分比</t>
        </is>
      </c>
    </row>
    <row r="28">
      <c r="A28" s="25" t="inlineStr">
        <is>
          <t>510570</t>
        </is>
      </c>
      <c r="B28" s="26" t="inlineStr">
        <is>
          <t>中证500ETF兴业</t>
        </is>
      </c>
      <c r="C28" s="27" t="n">
        <v>-0.4389757817061233</v>
      </c>
      <c r="D28" s="25" t="inlineStr">
        <is>
          <t>159611</t>
        </is>
      </c>
      <c r="E28" s="26" t="inlineStr">
        <is>
          <t>电力ETF广发</t>
        </is>
      </c>
      <c r="F28" s="28" t="n">
        <v>-7.170759</v>
      </c>
      <c r="G28" s="25" t="inlineStr">
        <is>
          <t>561060</t>
        </is>
      </c>
      <c r="H28" s="26" t="inlineStr">
        <is>
          <t>国企红利ETF华安</t>
        </is>
      </c>
      <c r="I28" s="27" t="n">
        <v>-0.3424784197550464</v>
      </c>
    </row>
    <row r="29">
      <c r="A29" s="25" t="inlineStr">
        <is>
          <t>562880</t>
        </is>
      </c>
      <c r="B29" s="26" t="inlineStr">
        <is>
          <t>电池ETF嘉实</t>
        </is>
      </c>
      <c r="C29" s="27" t="n">
        <v>-0.2299399237024859</v>
      </c>
      <c r="D29" s="25" t="inlineStr">
        <is>
          <t>512200</t>
        </is>
      </c>
      <c r="E29" s="26" t="inlineStr">
        <is>
          <t>房地产ETF南方</t>
        </is>
      </c>
      <c r="F29" s="28" t="n">
        <v>-3.424874</v>
      </c>
      <c r="G29" s="25" t="inlineStr">
        <is>
          <t>588520</t>
        </is>
      </c>
      <c r="H29" s="26" t="inlineStr">
        <is>
          <t>科创增强ETF永赢</t>
        </is>
      </c>
      <c r="I29" s="27" t="n">
        <v>-0.214501266989173</v>
      </c>
    </row>
    <row r="30">
      <c r="A30" s="25" t="inlineStr">
        <is>
          <t>588470</t>
        </is>
      </c>
      <c r="B30" s="26" t="inlineStr">
        <is>
          <t>科创创业人工智能ETF华安</t>
        </is>
      </c>
      <c r="C30" s="27" t="n">
        <v>-0.2039203195916933</v>
      </c>
      <c r="D30" s="25" t="inlineStr">
        <is>
          <t>513920</t>
        </is>
      </c>
      <c r="E30" s="26" t="inlineStr">
        <is>
          <t>港股通央企红利ETF华安</t>
        </is>
      </c>
      <c r="F30" s="28" t="n">
        <v>-3.176838</v>
      </c>
      <c r="G30" s="25" t="inlineStr">
        <is>
          <t>164606</t>
        </is>
      </c>
      <c r="H30" s="26" t="inlineStr">
        <is>
          <t>信用增利LOF</t>
        </is>
      </c>
      <c r="I30" s="27" t="n">
        <v>-0.1840386253905141</v>
      </c>
    </row>
    <row r="31">
      <c r="A31" s="25" t="inlineStr">
        <is>
          <t>589330</t>
        </is>
      </c>
      <c r="B31" s="26" t="inlineStr">
        <is>
          <t>科创200ETF东财</t>
        </is>
      </c>
      <c r="C31" s="27" t="n">
        <v>-0.1924285769265308</v>
      </c>
      <c r="D31" s="25" t="inlineStr">
        <is>
          <t>516020</t>
        </is>
      </c>
      <c r="E31" s="26" t="inlineStr">
        <is>
          <t>化工ETF华宝</t>
        </is>
      </c>
      <c r="F31" s="28" t="n">
        <v>-2.983629</v>
      </c>
      <c r="G31" s="25" t="inlineStr">
        <is>
          <t>159575</t>
        </is>
      </c>
      <c r="H31" s="26" t="inlineStr">
        <is>
          <t>创业板200ETF银华</t>
        </is>
      </c>
      <c r="I31" s="27" t="n">
        <v>-0.1686044623428924</v>
      </c>
    </row>
    <row r="32">
      <c r="A32" s="25" t="inlineStr">
        <is>
          <t>164606</t>
        </is>
      </c>
      <c r="B32" s="26" t="inlineStr">
        <is>
          <t>信用增利LOF</t>
        </is>
      </c>
      <c r="C32" s="27" t="n">
        <v>-0.184214791975048</v>
      </c>
      <c r="D32" s="25" t="inlineStr">
        <is>
          <t>513770</t>
        </is>
      </c>
      <c r="E32" s="26" t="inlineStr">
        <is>
          <t>港股互联网ETF华宝</t>
        </is>
      </c>
      <c r="F32" s="28" t="n">
        <v>-2.936972</v>
      </c>
      <c r="G32" s="25" t="inlineStr">
        <is>
          <t>159052</t>
        </is>
      </c>
      <c r="H32" s="26" t="inlineStr">
        <is>
          <t>新能源电池ETF嘉实</t>
        </is>
      </c>
      <c r="I32" s="27" t="n">
        <v>-0.1604335879382986</v>
      </c>
    </row>
    <row r="33">
      <c r="A33" s="25" t="inlineStr">
        <is>
          <t>159575</t>
        </is>
      </c>
      <c r="B33" s="26" t="inlineStr">
        <is>
          <t>创业板200ETF银华</t>
        </is>
      </c>
      <c r="C33" s="27" t="n">
        <v>-0.1752783090901522</v>
      </c>
      <c r="D33" s="25" t="inlineStr">
        <is>
          <t>512900</t>
        </is>
      </c>
      <c r="E33" s="26" t="inlineStr">
        <is>
          <t>证券ETF南方</t>
        </is>
      </c>
      <c r="F33" s="28" t="n">
        <v>-2.586307</v>
      </c>
      <c r="G33" s="25" t="inlineStr">
        <is>
          <t>159521</t>
        </is>
      </c>
      <c r="H33" s="26" t="inlineStr">
        <is>
          <t>国证2000ETF平安</t>
        </is>
      </c>
      <c r="I33" s="27" t="n">
        <v>-0.1601527993315029</v>
      </c>
    </row>
    <row r="34">
      <c r="A34" s="25" t="inlineStr">
        <is>
          <t>588480</t>
        </is>
      </c>
      <c r="B34" s="26" t="inlineStr">
        <is>
          <t>科创创业人工智能ETF中金</t>
        </is>
      </c>
      <c r="C34" s="27" t="n">
        <v>-0.171147156603927</v>
      </c>
      <c r="D34" s="25" t="inlineStr">
        <is>
          <t>159796</t>
        </is>
      </c>
      <c r="E34" s="26" t="inlineStr">
        <is>
          <t>电池ETF汇添富</t>
        </is>
      </c>
      <c r="F34" s="28" t="n">
        <v>-2.425083</v>
      </c>
      <c r="G34" s="25" t="inlineStr">
        <is>
          <t>159945</t>
        </is>
      </c>
      <c r="H34" s="26" t="inlineStr">
        <is>
          <t>能源ETF广发</t>
        </is>
      </c>
      <c r="I34" s="27" t="n">
        <v>-0.1378004246944171</v>
      </c>
    </row>
    <row r="35">
      <c r="A35" s="25" t="inlineStr">
        <is>
          <t>159052</t>
        </is>
      </c>
      <c r="B35" s="26" t="inlineStr">
        <is>
          <t>新能源电池ETF嘉实</t>
        </is>
      </c>
      <c r="C35" s="27" t="n">
        <v>-0.1650567624263941</v>
      </c>
      <c r="D35" s="25" t="inlineStr">
        <is>
          <t>513040</t>
        </is>
      </c>
      <c r="E35" s="26" t="inlineStr">
        <is>
          <t>港股通互联网ETF易方达</t>
        </is>
      </c>
      <c r="F35" s="28" t="n">
        <v>-2.373949</v>
      </c>
      <c r="G35" s="25" t="inlineStr">
        <is>
          <t>561900</t>
        </is>
      </c>
      <c r="H35" s="26" t="inlineStr">
        <is>
          <t>沪深300ESGETF招商</t>
        </is>
      </c>
      <c r="I35" s="27" t="n">
        <v>-0.1105225217353314</v>
      </c>
    </row>
    <row r="36">
      <c r="A36" s="25" t="inlineStr">
        <is>
          <t>159521</t>
        </is>
      </c>
      <c r="B36" s="26" t="inlineStr">
        <is>
          <t>国证2000ETF平安</t>
        </is>
      </c>
      <c r="C36" s="27" t="n">
        <v>-0.1641637621081035</v>
      </c>
      <c r="D36" s="25" t="inlineStr">
        <is>
          <t>551300</t>
        </is>
      </c>
      <c r="E36" s="26" t="inlineStr">
        <is>
          <t>科创债ETF摩根</t>
        </is>
      </c>
      <c r="F36" s="28" t="n">
        <v>-2.001436</v>
      </c>
      <c r="G36" s="25" t="inlineStr">
        <is>
          <t>159048</t>
        </is>
      </c>
      <c r="H36" s="26" t="inlineStr">
        <is>
          <t>机器人ETF大成</t>
        </is>
      </c>
      <c r="I36" s="27" t="n">
        <v>-0.1068175827896749</v>
      </c>
    </row>
    <row r="37">
      <c r="A37" s="25" t="inlineStr">
        <is>
          <t>560870</t>
        </is>
      </c>
      <c r="B37" s="26" t="inlineStr">
        <is>
          <t>工业有色ETF中银</t>
        </is>
      </c>
      <c r="C37" s="27" t="n">
        <v>-0.1493024521570472</v>
      </c>
      <c r="D37" s="25" t="inlineStr">
        <is>
          <t>510230</t>
        </is>
      </c>
      <c r="E37" s="26" t="inlineStr">
        <is>
          <t>金融ETF国泰</t>
        </is>
      </c>
      <c r="F37" s="28" t="n">
        <v>-1.979979</v>
      </c>
      <c r="G37" s="25" t="inlineStr">
        <is>
          <t>589320</t>
        </is>
      </c>
      <c r="H37" s="26" t="inlineStr">
        <is>
          <t>科创200ETF嘉实</t>
        </is>
      </c>
      <c r="I37" s="27" t="n">
        <v>-0.1059820249464929</v>
      </c>
    </row>
    <row r="38">
      <c r="A38" s="25" t="inlineStr">
        <is>
          <t>588510</t>
        </is>
      </c>
      <c r="B38" s="26" t="inlineStr">
        <is>
          <t>科创创业人工智能ETF华夏</t>
        </is>
      </c>
      <c r="C38" s="27" t="n">
        <v>-0.1382588031972348</v>
      </c>
      <c r="D38" s="25" t="inlineStr">
        <is>
          <t>513690</t>
        </is>
      </c>
      <c r="E38" s="26" t="inlineStr">
        <is>
          <t>港股红利ETF博时</t>
        </is>
      </c>
      <c r="F38" s="28" t="n">
        <v>-1.808995</v>
      </c>
      <c r="G38" s="25" t="inlineStr">
        <is>
          <t>159011</t>
        </is>
      </c>
      <c r="H38" s="26" t="inlineStr">
        <is>
          <t>养殖ETF华安</t>
        </is>
      </c>
      <c r="I38" s="27" t="n">
        <v>-0.1021863853584473</v>
      </c>
    </row>
    <row r="39">
      <c r="A39" s="25" t="inlineStr">
        <is>
          <t>560990</t>
        </is>
      </c>
      <c r="B39" s="26" t="inlineStr">
        <is>
          <t>科技先锋ETF中金</t>
        </is>
      </c>
      <c r="C39" s="27" t="n">
        <v>-0.1316907111956858</v>
      </c>
      <c r="D39" s="25" t="inlineStr">
        <is>
          <t>159659</t>
        </is>
      </c>
      <c r="E39" s="26" t="inlineStr">
        <is>
          <t>纳斯达克100ETF招商</t>
        </is>
      </c>
      <c r="F39" s="28" t="n">
        <v>-1.771403</v>
      </c>
      <c r="G39" s="25" t="inlineStr">
        <is>
          <t>589330</t>
        </is>
      </c>
      <c r="H39" s="26" t="inlineStr">
        <is>
          <t>科创200ETF东财</t>
        </is>
      </c>
      <c r="I39" s="27" t="n">
        <v>-0.09400434805057271</v>
      </c>
    </row>
    <row r="40">
      <c r="A40" s="25" t="inlineStr">
        <is>
          <t>589250</t>
        </is>
      </c>
      <c r="B40" s="26" t="inlineStr">
        <is>
          <t>科创芯片设计ETF浦银</t>
        </is>
      </c>
      <c r="C40" s="27" t="n">
        <v>-0.1267802723557201</v>
      </c>
      <c r="D40" s="25" t="inlineStr">
        <is>
          <t>159869</t>
        </is>
      </c>
      <c r="E40" s="26" t="inlineStr">
        <is>
          <t>游戏ETF华夏</t>
        </is>
      </c>
      <c r="F40" s="28" t="n">
        <v>-1.63782</v>
      </c>
      <c r="G40" s="25" t="inlineStr">
        <is>
          <t>159533</t>
        </is>
      </c>
      <c r="H40" s="26" t="inlineStr">
        <is>
          <t>中证2000ETF博时</t>
        </is>
      </c>
      <c r="I40" s="27" t="n">
        <v>-0.09347716253467944</v>
      </c>
    </row>
    <row r="41">
      <c r="A41" s="25" t="inlineStr">
        <is>
          <t>159945</t>
        </is>
      </c>
      <c r="B41" s="26" t="inlineStr">
        <is>
          <t>能源ETF广发</t>
        </is>
      </c>
      <c r="C41" s="27" t="n">
        <v>-0.1264664944032822</v>
      </c>
      <c r="D41" s="25" t="inlineStr">
        <is>
          <t>516120</t>
        </is>
      </c>
      <c r="E41" s="26" t="inlineStr">
        <is>
          <t>化工ETF富国</t>
        </is>
      </c>
      <c r="F41" s="28" t="n">
        <v>-1.4957</v>
      </c>
      <c r="G41" s="25" t="inlineStr">
        <is>
          <t>166016</t>
        </is>
      </c>
      <c r="H41" s="26" t="inlineStr">
        <is>
          <t>中欧纯债LOF</t>
        </is>
      </c>
      <c r="I41" s="27" t="n">
        <v>-0.0926327794585861</v>
      </c>
    </row>
    <row r="42">
      <c r="A42" s="25" t="inlineStr">
        <is>
          <t>530880</t>
        </is>
      </c>
      <c r="B42" s="26" t="inlineStr">
        <is>
          <t>红利国企ETF银河</t>
        </is>
      </c>
      <c r="C42" s="27" t="n">
        <v>-0.1164123504549036</v>
      </c>
      <c r="D42" s="25" t="inlineStr">
        <is>
          <t>515290</t>
        </is>
      </c>
      <c r="E42" s="26" t="inlineStr">
        <is>
          <t>银行ETF天弘</t>
        </is>
      </c>
      <c r="F42" s="28" t="n">
        <v>-1.46223</v>
      </c>
      <c r="G42" s="25" t="inlineStr">
        <is>
          <t>159291</t>
        </is>
      </c>
      <c r="H42" s="26" t="inlineStr">
        <is>
          <t>创业板综增强ETF招商</t>
        </is>
      </c>
      <c r="I42" s="27" t="n">
        <v>-0.09131657949889545</v>
      </c>
    </row>
    <row r="43">
      <c r="A43" s="25" t="inlineStr">
        <is>
          <t>159012</t>
        </is>
      </c>
      <c r="B43" s="26" t="inlineStr">
        <is>
          <t>科创创业50ETF鹏华</t>
        </is>
      </c>
      <c r="C43" s="27" t="n">
        <v>-0.1035897914240267</v>
      </c>
      <c r="D43" s="25" t="inlineStr">
        <is>
          <t>562550</t>
        </is>
      </c>
      <c r="E43" s="26" t="inlineStr">
        <is>
          <t>绿电ETF华夏</t>
        </is>
      </c>
      <c r="F43" s="28" t="n">
        <v>-1.339986</v>
      </c>
      <c r="G43" s="25" t="inlineStr">
        <is>
          <t>516750</t>
        </is>
      </c>
      <c r="H43" s="26" t="inlineStr">
        <is>
          <t>建材ETF富国</t>
        </is>
      </c>
      <c r="I43" s="27" t="n">
        <v>-0.08802863551845913</v>
      </c>
    </row>
    <row r="44">
      <c r="A44" s="25" t="inlineStr">
        <is>
          <t>159291</t>
        </is>
      </c>
      <c r="B44" s="26" t="inlineStr">
        <is>
          <t>创业板综增强ETF招商</t>
        </is>
      </c>
      <c r="C44" s="27" t="n">
        <v>-0.1027887196369831</v>
      </c>
      <c r="D44" s="25" t="inlineStr">
        <is>
          <t>561560</t>
        </is>
      </c>
      <c r="E44" s="26" t="inlineStr">
        <is>
          <t>电力ETF华泰柏瑞</t>
        </is>
      </c>
      <c r="F44" s="28" t="n">
        <v>-1.32468</v>
      </c>
      <c r="G44" s="25" t="inlineStr">
        <is>
          <t>512200</t>
        </is>
      </c>
      <c r="H44" s="26" t="inlineStr">
        <is>
          <t>房地产ETF南方</t>
        </is>
      </c>
      <c r="I44" s="27" t="n">
        <v>-0.08400058412598874</v>
      </c>
    </row>
    <row r="45">
      <c r="A45" s="25" t="inlineStr">
        <is>
          <t>589320</t>
        </is>
      </c>
      <c r="B45" s="26" t="inlineStr">
        <is>
          <t>科创200ETF嘉实</t>
        </is>
      </c>
      <c r="C45" s="27" t="n">
        <v>-0.1014233070759661</v>
      </c>
      <c r="D45" s="25" t="inlineStr">
        <is>
          <t>159513</t>
        </is>
      </c>
      <c r="E45" s="26" t="inlineStr">
        <is>
          <t>纳斯达克100ETF大成</t>
        </is>
      </c>
      <c r="F45" s="28" t="n">
        <v>-1.279086</v>
      </c>
      <c r="G45" s="25" t="inlineStr">
        <is>
          <t>159543</t>
        </is>
      </c>
      <c r="H45" s="26" t="inlineStr">
        <is>
          <t>国证2000ETF工银</t>
        </is>
      </c>
      <c r="I45" s="27" t="n">
        <v>-0.08392069614670686</v>
      </c>
    </row>
    <row r="46">
      <c r="A46" s="25" t="inlineStr">
        <is>
          <t>159048</t>
        </is>
      </c>
      <c r="B46" s="26" t="inlineStr">
        <is>
          <t>机器人ETF大成</t>
        </is>
      </c>
      <c r="C46" s="27" t="n">
        <v>-0.09959966065798016</v>
      </c>
      <c r="D46" s="25" t="inlineStr">
        <is>
          <t>513160</t>
        </is>
      </c>
      <c r="E46" s="26" t="inlineStr">
        <is>
          <t>港股科技ETF银华</t>
        </is>
      </c>
      <c r="F46" s="28" t="n">
        <v>-1.224214</v>
      </c>
      <c r="G46" s="25" t="inlineStr">
        <is>
          <t>561170</t>
        </is>
      </c>
      <c r="H46" s="26" t="inlineStr">
        <is>
          <t>绿色电力ETF富国</t>
        </is>
      </c>
      <c r="I46" s="27" t="n">
        <v>-0.08204529014067084</v>
      </c>
    </row>
    <row r="47">
      <c r="A47" s="25" t="inlineStr">
        <is>
          <t>520770</t>
        </is>
      </c>
      <c r="B47" s="26" t="inlineStr">
        <is>
          <t>恒指港股通ETF建信</t>
        </is>
      </c>
      <c r="C47" s="27" t="n">
        <v>-0.09905941107991399</v>
      </c>
      <c r="D47" s="25" t="inlineStr">
        <is>
          <t>159545</t>
        </is>
      </c>
      <c r="E47" s="26" t="inlineStr">
        <is>
          <t>恒生红利低波ETF易方达</t>
        </is>
      </c>
      <c r="F47" s="28" t="n">
        <v>-1.174119</v>
      </c>
      <c r="G47" s="25" t="inlineStr">
        <is>
          <t>159578</t>
        </is>
      </c>
      <c r="H47" s="26" t="inlineStr">
        <is>
          <t>深证主板50ETF南方</t>
        </is>
      </c>
      <c r="I47" s="27" t="n">
        <v>-0.08134167052647831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2026-06-18T19:50:40Z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
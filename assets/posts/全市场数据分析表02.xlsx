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全市场ETF数据" sheetId="1" state="visible" r:id="rId1"/>
    <sheet name="全部排行榜" sheetId="2" state="visible" r:id="rId2"/>
    <sheet name="大市值排行榜" sheetId="3" state="visible" r:id="rId3"/>
    <sheet name="小市值排行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8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Calibri"/>
      <charset val="134"/>
      <b val="1"/>
      <sz val="12"/>
    </font>
    <font>
      <name val="Calibri"/>
      <charset val="134"/>
      <b val="1"/>
      <color rgb="FFFFFFFF"/>
      <sz val="11"/>
    </font>
    <font>
      <name val="Calibri"/>
      <charset val="134"/>
      <b val="1"/>
      <color rgb="FFFFFFFF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indent="1"/>
    </xf>
    <xf numFmtId="10" fontId="0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indent="1"/>
    </xf>
    <xf numFmtId="10" fontId="0" fillId="5" borderId="0" applyAlignment="1" pivotButton="0" quotePrefix="0" xfId="0">
      <alignment horizontal="right" vertical="center"/>
    </xf>
    <xf numFmtId="164" fontId="0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6" fillId="37" borderId="0" applyAlignment="1" pivotButton="0" quotePrefix="0" xfId="0">
      <alignment horizontal="center" vertical="center"/>
    </xf>
    <xf numFmtId="0" fontId="27" fillId="38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left" vertical="center" indent="1"/>
    </xf>
    <xf numFmtId="10" fontId="0" fillId="39" borderId="0" applyAlignment="1" pivotButton="0" quotePrefix="0" xfId="0">
      <alignment horizontal="right" vertical="center"/>
    </xf>
    <xf numFmtId="164" fontId="0" fillId="39" borderId="0" applyAlignment="1" pivotButton="0" quotePrefix="0" xfId="0">
      <alignment horizontal="right" vertical="center"/>
    </xf>
    <xf numFmtId="0" fontId="0" fillId="40" borderId="0" applyAlignment="1" pivotButton="0" quotePrefix="0" xfId="0">
      <alignment horizontal="center" vertical="center"/>
    </xf>
    <xf numFmtId="0" fontId="0" fillId="40" borderId="0" applyAlignment="1" pivotButton="0" quotePrefix="0" xfId="0">
      <alignment horizontal="left" vertical="center" indent="1"/>
    </xf>
    <xf numFmtId="10" fontId="0" fillId="40" borderId="0" applyAlignment="1" pivotButton="0" quotePrefix="0" xfId="0">
      <alignment horizontal="right" vertical="center"/>
    </xf>
    <xf numFmtId="164" fontId="0" fillId="40" borderId="0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1"/>
  <sheetViews>
    <sheetView tabSelected="1" workbookViewId="0">
      <pane ySplit="1" topLeftCell="A2" activePane="bottomLeft" state="frozen"/>
      <selection activeCell="A1" sqref="A1"/>
      <selection pane="bottomLeft" activeCell="M9" sqref="M9"/>
    </sheetView>
  </sheetViews>
  <sheetFormatPr baseColWidth="8" defaultColWidth="9" defaultRowHeight="13.5"/>
  <cols>
    <col width="15.625" customWidth="1" min="1" max="10"/>
    <col width="20.625" customWidth="1" style="4" min="11" max="12"/>
    <col width="20.625" customWidth="1" min="13" max="13"/>
  </cols>
  <sheetData>
    <row r="1" customFormat="1" s="16">
      <c r="A1" s="16" t="inlineStr">
        <is>
          <t>日期</t>
        </is>
      </c>
      <c r="B1" s="16" t="inlineStr">
        <is>
          <t>代码</t>
        </is>
      </c>
      <c r="C1" s="16" t="inlineStr">
        <is>
          <t>名称</t>
        </is>
      </c>
      <c r="D1" s="16" t="inlineStr">
        <is>
          <t>当日份额(万份)</t>
        </is>
      </c>
      <c r="E1" s="16" t="inlineStr">
        <is>
          <t>昨日份额(万份)</t>
        </is>
      </c>
      <c r="F1" s="16" t="inlineStr">
        <is>
          <t>当日净值</t>
        </is>
      </c>
      <c r="G1" s="16" t="inlineStr">
        <is>
          <t>当日净份额(万份)</t>
        </is>
      </c>
      <c r="H1" s="16" t="inlineStr">
        <is>
          <t>当日市值(亿)</t>
        </is>
      </c>
      <c r="I1" s="16" t="inlineStr">
        <is>
          <t>昨日市值（亿）</t>
        </is>
      </c>
      <c r="J1" s="16" t="inlineStr">
        <is>
          <t>当日市值变化(亿)</t>
        </is>
      </c>
      <c r="K1" s="17" t="inlineStr">
        <is>
          <t>市值变化百分比</t>
        </is>
      </c>
      <c r="L1" s="17" t="inlineStr">
        <is>
          <t>份额变化百分比</t>
        </is>
      </c>
      <c r="M1" s="16" t="inlineStr">
        <is>
          <t>今日净流入资金（亿）</t>
        </is>
      </c>
    </row>
    <row r="2">
      <c r="A2" t="inlineStr">
        <is>
          <t>2026-10-30</t>
        </is>
      </c>
      <c r="B2" t="inlineStr">
        <is>
          <t>159001</t>
        </is>
      </c>
      <c r="C2" t="inlineStr">
        <is>
          <t>货币ETF易方达</t>
        </is>
      </c>
      <c r="D2" t="n">
        <v>3725.5696</v>
      </c>
      <c r="E2" t="n">
        <v>3832.2181</v>
      </c>
      <c r="F2" t="n">
        <v>100</v>
      </c>
      <c r="G2" t="n">
        <v>-106.6485</v>
      </c>
      <c r="H2" t="n">
        <v>37.255696</v>
      </c>
      <c r="I2" t="n">
        <v>38.322181</v>
      </c>
      <c r="J2" t="n">
        <v>-1.066485</v>
      </c>
      <c r="K2" s="4">
        <f>IFERROR(J2/I2,"")</f>
        <v/>
      </c>
      <c r="L2" s="4">
        <f>IFERROR((D2-E2)/E2,"")</f>
        <v/>
      </c>
      <c r="M2" s="19">
        <f>IFERROR(F2*G2/10000,"")</f>
        <v/>
      </c>
    </row>
    <row r="3">
      <c r="A3" t="inlineStr">
        <is>
          <t>2026-10-30</t>
        </is>
      </c>
      <c r="B3" t="inlineStr">
        <is>
          <t>159003</t>
        </is>
      </c>
      <c r="C3" t="inlineStr">
        <is>
          <t>招商快线ETF</t>
        </is>
      </c>
      <c r="D3" t="n">
        <v>221.179</v>
      </c>
      <c r="E3" t="n">
        <v>222.55</v>
      </c>
      <c r="F3" t="n">
        <v>100</v>
      </c>
      <c r="G3" t="n">
        <v>-1.371</v>
      </c>
      <c r="H3" t="n">
        <v>2.21179</v>
      </c>
      <c r="I3" t="n">
        <v>2.2255</v>
      </c>
      <c r="J3" t="n">
        <v>-0.01371</v>
      </c>
      <c r="K3" s="4">
        <f>IFERROR(J3/I3,"")</f>
        <v/>
      </c>
      <c r="L3" s="4">
        <f>IFERROR((D3-E3)/E3,"")</f>
        <v/>
      </c>
      <c r="M3" s="19">
        <f>IFERROR(F3*G3/10000,"")</f>
        <v/>
      </c>
    </row>
    <row r="4">
      <c r="A4" t="inlineStr">
        <is>
          <t>2026-10-30</t>
        </is>
      </c>
      <c r="B4" t="inlineStr">
        <is>
          <t>159005</t>
        </is>
      </c>
      <c r="C4" t="inlineStr">
        <is>
          <t>快钱ETF汇添富</t>
        </is>
      </c>
      <c r="D4" t="n">
        <v>119.2454</v>
      </c>
      <c r="E4" t="n">
        <v>120.1683</v>
      </c>
      <c r="F4" t="n">
        <v>100</v>
      </c>
      <c r="G4" t="n">
        <v>-0.9229000000000001</v>
      </c>
      <c r="H4" t="n">
        <v>1.192454</v>
      </c>
      <c r="I4" t="n">
        <v>1.201683</v>
      </c>
      <c r="J4" t="n">
        <v>-0.009228999999999999</v>
      </c>
      <c r="K4" s="4">
        <f>IFERROR(J4/I4,"")</f>
        <v/>
      </c>
      <c r="L4" s="4">
        <f>IFERROR((D4-E4)/E4,"")</f>
        <v/>
      </c>
      <c r="M4" s="19">
        <f>IFERROR(F4*G4/10000,"")</f>
        <v/>
      </c>
    </row>
    <row r="5">
      <c r="A5" t="inlineStr">
        <is>
          <t>2026-10-30</t>
        </is>
      </c>
      <c r="B5" t="inlineStr">
        <is>
          <t>159007</t>
        </is>
      </c>
      <c r="C5" t="inlineStr">
        <is>
          <t>养殖ETF华泰柏瑞</t>
        </is>
      </c>
      <c r="D5" t="n">
        <v>16960.3274</v>
      </c>
      <c r="E5" t="n">
        <v>16960.3274</v>
      </c>
      <c r="F5" t="n">
        <v>0.8619</v>
      </c>
      <c r="G5" t="n">
        <v>0</v>
      </c>
      <c r="H5" t="n">
        <v>1.461811</v>
      </c>
      <c r="I5" t="n">
        <v>1.475379</v>
      </c>
      <c r="J5" t="n">
        <v>-0.013568</v>
      </c>
      <c r="K5" s="4">
        <f>IFERROR(J5/I5,"")</f>
        <v/>
      </c>
      <c r="L5" s="4">
        <f>IFERROR((D5-E5)/E5,"")</f>
        <v/>
      </c>
      <c r="M5" s="19">
        <f>IFERROR(F5*G5/10000,"")</f>
        <v/>
      </c>
    </row>
    <row r="6">
      <c r="A6" t="inlineStr">
        <is>
          <t>2026-10-30</t>
        </is>
      </c>
      <c r="B6" t="inlineStr">
        <is>
          <t>159008</t>
        </is>
      </c>
      <c r="C6" t="inlineStr">
        <is>
          <t>证券ETF景顺</t>
        </is>
      </c>
      <c r="D6" t="n">
        <v>12828.4531</v>
      </c>
      <c r="E6" t="n">
        <v>12828.4531</v>
      </c>
      <c r="F6" t="n">
        <v>0.9267</v>
      </c>
      <c r="G6" t="n">
        <v>0</v>
      </c>
      <c r="H6" t="n">
        <v>1.188813</v>
      </c>
      <c r="I6" t="n">
        <v>1.199589</v>
      </c>
      <c r="J6" t="n">
        <v>-0.010776</v>
      </c>
      <c r="K6" s="4">
        <f>IFERROR(J6/I6,"")</f>
        <v/>
      </c>
      <c r="L6" s="4">
        <f>IFERROR((D6-E6)/E6,"")</f>
        <v/>
      </c>
      <c r="M6" s="19">
        <f>IFERROR(F6*G6/10000,"")</f>
        <v/>
      </c>
    </row>
    <row r="7">
      <c r="A7" t="inlineStr">
        <is>
          <t>2026-10-30</t>
        </is>
      </c>
      <c r="B7" t="inlineStr">
        <is>
          <t>159009</t>
        </is>
      </c>
      <c r="C7" t="inlineStr">
        <is>
          <t>创业板新能源ETF易方达</t>
        </is>
      </c>
      <c r="D7" t="n">
        <v>20339.2703</v>
      </c>
      <c r="E7" t="n">
        <v>20539.2703</v>
      </c>
      <c r="F7" t="n">
        <v>0.6785</v>
      </c>
      <c r="G7" t="n">
        <v>-200</v>
      </c>
      <c r="H7" t="n">
        <v>1.380019</v>
      </c>
      <c r="I7" t="n">
        <v>1.368121</v>
      </c>
      <c r="J7" t="n">
        <v>0.011898</v>
      </c>
      <c r="K7" s="4">
        <f>IFERROR(J7/I7,"")</f>
        <v/>
      </c>
      <c r="L7" s="4">
        <f>IFERROR((D7-E7)/E7,"")</f>
        <v/>
      </c>
      <c r="M7" s="19">
        <f>IFERROR(F7*G7/10000,"")</f>
        <v/>
      </c>
    </row>
    <row r="8">
      <c r="A8" t="inlineStr">
        <is>
          <t>2026-10-30</t>
        </is>
      </c>
      <c r="B8" t="inlineStr">
        <is>
          <t>159010</t>
        </is>
      </c>
      <c r="C8" t="inlineStr">
        <is>
          <t>港股通科技ETF博时</t>
        </is>
      </c>
      <c r="D8" t="n">
        <v>21209.7611</v>
      </c>
      <c r="E8" t="n">
        <v>21209.7611</v>
      </c>
      <c r="F8" t="n">
        <v>0.7565</v>
      </c>
      <c r="G8" t="n">
        <v>0</v>
      </c>
      <c r="H8" t="n">
        <v>1.604518</v>
      </c>
      <c r="I8" t="n">
        <v>1.576946</v>
      </c>
      <c r="J8" t="n">
        <v>0.027572</v>
      </c>
      <c r="K8" s="4">
        <f>IFERROR(J8/I8,"")</f>
        <v/>
      </c>
      <c r="L8" s="4">
        <f>IFERROR((D8-E8)/E8,"")</f>
        <v/>
      </c>
      <c r="M8" s="19">
        <f>IFERROR(F8*G8/10000,"")</f>
        <v/>
      </c>
    </row>
    <row r="9">
      <c r="A9" t="inlineStr">
        <is>
          <t>2026-10-30</t>
        </is>
      </c>
      <c r="B9" t="inlineStr">
        <is>
          <t>159011</t>
        </is>
      </c>
      <c r="C9" t="inlineStr">
        <is>
          <t>养殖ETF华安</t>
        </is>
      </c>
      <c r="D9" t="n">
        <v>2550.5168</v>
      </c>
      <c r="E9" t="n">
        <v>2550.5168</v>
      </c>
      <c r="F9" t="n">
        <v>1.0301</v>
      </c>
      <c r="G9" t="n">
        <v>0</v>
      </c>
      <c r="H9" t="n">
        <v>0.262729</v>
      </c>
      <c r="I9" t="n">
        <v>0.265075</v>
      </c>
      <c r="J9" t="n">
        <v>-0.002346</v>
      </c>
      <c r="K9" s="4">
        <f>IFERROR(J9/I9,"")</f>
        <v/>
      </c>
      <c r="L9" s="4">
        <f>IFERROR((D9-E9)/E9,"")</f>
        <v/>
      </c>
      <c r="M9" s="19">
        <f>IFERROR(F9*G9/10000,"")</f>
        <v/>
      </c>
    </row>
    <row r="10">
      <c r="A10" t="inlineStr">
        <is>
          <t>2026-10-30</t>
        </is>
      </c>
      <c r="B10" t="inlineStr">
        <is>
          <t>159012</t>
        </is>
      </c>
      <c r="C10" t="inlineStr">
        <is>
          <t>科创创业50ETF鹏华</t>
        </is>
      </c>
      <c r="D10" t="n">
        <v>16488.1148</v>
      </c>
      <c r="E10" t="n">
        <v>15888.1148</v>
      </c>
      <c r="F10" t="n">
        <v>0.6626</v>
      </c>
      <c r="G10" t="n">
        <v>600</v>
      </c>
      <c r="H10" t="n">
        <v>1.092502</v>
      </c>
      <c r="I10" t="n">
        <v>1.016522</v>
      </c>
      <c r="J10" t="n">
        <v>0.07598000000000001</v>
      </c>
      <c r="K10" s="4">
        <f>IFERROR(J10/I10,"")</f>
        <v/>
      </c>
      <c r="L10" s="4">
        <f>IFERROR((D10-E10)/E10,"")</f>
        <v/>
      </c>
      <c r="M10" s="19">
        <f>IFERROR(F10*G10/10000,"")</f>
        <v/>
      </c>
    </row>
    <row r="11">
      <c r="A11" t="inlineStr">
        <is>
          <t>2026-10-30</t>
        </is>
      </c>
      <c r="B11" t="inlineStr">
        <is>
          <t>159013</t>
        </is>
      </c>
      <c r="C11" t="inlineStr">
        <is>
          <t>工业互联网ETF大成</t>
        </is>
      </c>
      <c r="D11" t="n">
        <v>4357.8881</v>
      </c>
      <c r="E11" t="n">
        <v>4257.8881</v>
      </c>
      <c r="F11" t="n">
        <v>0.8471</v>
      </c>
      <c r="G11" t="n">
        <v>100</v>
      </c>
      <c r="H11" t="n">
        <v>0.369157</v>
      </c>
      <c r="I11" t="n">
        <v>0.350978</v>
      </c>
      <c r="J11" t="n">
        <v>0.018179</v>
      </c>
      <c r="K11" s="4">
        <f>IFERROR(J11/I11,"")</f>
        <v/>
      </c>
      <c r="L11" s="4">
        <f>IFERROR((D11-E11)/E11,"")</f>
        <v/>
      </c>
      <c r="M11" s="19">
        <f>IFERROR(F11*G11/10000,"")</f>
        <v/>
      </c>
    </row>
    <row r="12">
      <c r="A12" t="inlineStr">
        <is>
          <t>2026-10-30</t>
        </is>
      </c>
      <c r="B12" t="inlineStr">
        <is>
          <t>159015</t>
        </is>
      </c>
      <c r="C12" t="inlineStr">
        <is>
          <t>恒生港股通科技ETF国联</t>
        </is>
      </c>
      <c r="D12" t="n">
        <v>11035.2934</v>
      </c>
      <c r="E12" t="n">
        <v>11035.2934</v>
      </c>
      <c r="F12" t="n">
        <v>0.7494</v>
      </c>
      <c r="G12" t="n">
        <v>0</v>
      </c>
      <c r="H12" t="n">
        <v>0.826985</v>
      </c>
      <c r="I12" t="n">
        <v>0.81286</v>
      </c>
      <c r="J12" t="n">
        <v>0.014125</v>
      </c>
      <c r="K12" s="4">
        <f>IFERROR(J12/I12,"")</f>
        <v/>
      </c>
      <c r="L12" s="4">
        <f>IFERROR((D12-E12)/E12,"")</f>
        <v/>
      </c>
      <c r="M12" s="19">
        <f>IFERROR(F12*G12/10000,"")</f>
        <v/>
      </c>
    </row>
    <row r="13">
      <c r="A13" t="inlineStr">
        <is>
          <t>2026-10-30</t>
        </is>
      </c>
      <c r="B13" t="inlineStr">
        <is>
          <t>159016</t>
        </is>
      </c>
      <c r="C13" t="inlineStr">
        <is>
          <t>证券ETF广发</t>
        </is>
      </c>
      <c r="D13" t="n">
        <v>34154.0154</v>
      </c>
      <c r="E13" t="n">
        <v>34154.0154</v>
      </c>
      <c r="F13" t="n">
        <v>0.9258</v>
      </c>
      <c r="G13" t="n">
        <v>0</v>
      </c>
      <c r="H13" t="n">
        <v>3.161979</v>
      </c>
      <c r="I13" t="n">
        <v>3.192717</v>
      </c>
      <c r="J13" t="n">
        <v>-0.030738</v>
      </c>
      <c r="K13" s="4">
        <f>IFERROR(J13/I13,"")</f>
        <v/>
      </c>
      <c r="L13" s="4">
        <f>IFERROR((D13-E13)/E13,"")</f>
        <v/>
      </c>
      <c r="M13" s="19">
        <f>IFERROR(F13*G13/10000,"")</f>
        <v/>
      </c>
    </row>
    <row r="14">
      <c r="A14" t="inlineStr">
        <is>
          <t>2026-10-30</t>
        </is>
      </c>
      <c r="B14" t="inlineStr">
        <is>
          <t>159017</t>
        </is>
      </c>
      <c r="C14" t="inlineStr">
        <is>
          <t>石油ETF工银</t>
        </is>
      </c>
      <c r="D14" t="n">
        <v>14825.6813</v>
      </c>
      <c r="E14" t="n">
        <v>14825.6813</v>
      </c>
      <c r="F14" t="n">
        <v>0.9121</v>
      </c>
      <c r="G14" t="n">
        <v>0</v>
      </c>
      <c r="H14" t="n">
        <v>1.35225</v>
      </c>
      <c r="I14" t="n">
        <v>1.344541</v>
      </c>
      <c r="J14" t="n">
        <v>0.007709</v>
      </c>
      <c r="K14" s="4">
        <f>IFERROR(J14/I14,"")</f>
        <v/>
      </c>
      <c r="L14" s="4">
        <f>IFERROR((D14-E14)/E14,"")</f>
        <v/>
      </c>
      <c r="M14" s="19">
        <f>IFERROR(F14*G14/10000,"")</f>
        <v/>
      </c>
    </row>
    <row r="15">
      <c r="A15" t="inlineStr">
        <is>
          <t>2026-10-30</t>
        </is>
      </c>
      <c r="B15" t="inlineStr">
        <is>
          <t>159018</t>
        </is>
      </c>
      <c r="C15" t="inlineStr">
        <is>
          <t>石油ETF广发</t>
        </is>
      </c>
      <c r="D15" t="n">
        <v>2490.4203</v>
      </c>
      <c r="E15" t="n">
        <v>2490.4203</v>
      </c>
      <c r="F15" t="n">
        <v>0.8959</v>
      </c>
      <c r="G15" t="n">
        <v>0</v>
      </c>
      <c r="H15" t="n">
        <v>0.223117</v>
      </c>
      <c r="I15" t="n">
        <v>0.221847</v>
      </c>
      <c r="J15" t="n">
        <v>0.00127</v>
      </c>
      <c r="K15" s="4">
        <f>IFERROR(J15/I15,"")</f>
        <v/>
      </c>
      <c r="L15" s="4">
        <f>IFERROR((D15-E15)/E15,"")</f>
        <v/>
      </c>
      <c r="M15" s="19">
        <f>IFERROR(F15*G15/10000,"")</f>
        <v/>
      </c>
    </row>
    <row r="16">
      <c r="A16" t="inlineStr">
        <is>
          <t>2026-10-30</t>
        </is>
      </c>
      <c r="B16" t="inlineStr">
        <is>
          <t>159019</t>
        </is>
      </c>
      <c r="C16" t="inlineStr">
        <is>
          <t>石油ETF华宝</t>
        </is>
      </c>
      <c r="D16" t="n">
        <v>3732.7711</v>
      </c>
      <c r="E16" t="n">
        <v>3732.7711</v>
      </c>
      <c r="F16" t="n">
        <v>0.9139</v>
      </c>
      <c r="G16" t="n">
        <v>0</v>
      </c>
      <c r="H16" t="n">
        <v>0.341138</v>
      </c>
      <c r="I16" t="n">
        <v>0.339272</v>
      </c>
      <c r="J16" t="n">
        <v>0.001866</v>
      </c>
      <c r="K16" s="4">
        <f>IFERROR(J16/I16,"")</f>
        <v/>
      </c>
      <c r="L16" s="4">
        <f>IFERROR((D16-E16)/E16,"")</f>
        <v/>
      </c>
      <c r="M16" s="19">
        <f>IFERROR(F16*G16/10000,"")</f>
        <v/>
      </c>
    </row>
    <row r="17">
      <c r="A17" t="inlineStr">
        <is>
          <t>2026-10-30</t>
        </is>
      </c>
      <c r="B17" t="inlineStr">
        <is>
          <t>159020</t>
        </is>
      </c>
      <c r="C17" t="inlineStr">
        <is>
          <t>养殖ETF易方达</t>
        </is>
      </c>
      <c r="D17" t="n">
        <v>11256.7082</v>
      </c>
      <c r="E17" t="n">
        <v>11156.7082</v>
      </c>
      <c r="F17" t="n">
        <v>0.8925</v>
      </c>
      <c r="G17" t="n">
        <v>100</v>
      </c>
      <c r="H17" t="n">
        <v>1.004661</v>
      </c>
      <c r="I17" t="n">
        <v>1.004885</v>
      </c>
      <c r="J17" t="n">
        <v>-0.000224</v>
      </c>
      <c r="K17" s="4">
        <f>IFERROR(J17/I17,"")</f>
        <v/>
      </c>
      <c r="L17" s="4">
        <f>IFERROR((D17-E17)/E17,"")</f>
        <v/>
      </c>
      <c r="M17" s="19">
        <f>IFERROR(F17*G17/10000,"")</f>
        <v/>
      </c>
    </row>
    <row r="18">
      <c r="A18" t="inlineStr">
        <is>
          <t>2026-10-30</t>
        </is>
      </c>
      <c r="B18" t="inlineStr">
        <is>
          <t>159021</t>
        </is>
      </c>
      <c r="C18" t="inlineStr">
        <is>
          <t>大盘价值ETF华夏</t>
        </is>
      </c>
      <c r="D18" t="n">
        <v>5590.7712</v>
      </c>
      <c r="E18" t="n">
        <v>5590.7712</v>
      </c>
      <c r="F18" t="n">
        <v>1.0328</v>
      </c>
      <c r="G18" t="n">
        <v>0</v>
      </c>
      <c r="H18" t="n">
        <v>0.577415</v>
      </c>
      <c r="I18" t="n">
        <v>0.579595</v>
      </c>
      <c r="J18" t="n">
        <v>-0.00218</v>
      </c>
      <c r="K18" s="4">
        <f>IFERROR(J18/I18,"")</f>
        <v/>
      </c>
      <c r="L18" s="4">
        <f>IFERROR((D18-E18)/E18,"")</f>
        <v/>
      </c>
      <c r="M18" s="19">
        <f>IFERROR(F18*G18/10000,"")</f>
        <v/>
      </c>
    </row>
    <row r="19">
      <c r="A19" t="inlineStr">
        <is>
          <t>2026-10-30</t>
        </is>
      </c>
      <c r="B19" t="inlineStr">
        <is>
          <t>159022</t>
        </is>
      </c>
      <c r="C19" t="inlineStr">
        <is>
          <t>科创创业人工智能ETF富国</t>
        </is>
      </c>
      <c r="D19" t="n">
        <v>18663.0967</v>
      </c>
      <c r="E19" t="n">
        <v>18663.0967</v>
      </c>
      <c r="F19" t="n">
        <v>0.8388</v>
      </c>
      <c r="G19" t="n">
        <v>0</v>
      </c>
      <c r="H19" t="n">
        <v>1.565461</v>
      </c>
      <c r="I19" t="n">
        <v>1.508165</v>
      </c>
      <c r="J19" t="n">
        <v>0.057296</v>
      </c>
      <c r="K19" s="4">
        <f>IFERROR(J19/I19,"")</f>
        <v/>
      </c>
      <c r="L19" s="4">
        <f>IFERROR((D19-E19)/E19,"")</f>
        <v/>
      </c>
      <c r="M19" s="19">
        <f>IFERROR(F19*G19/10000,"")</f>
        <v/>
      </c>
    </row>
    <row r="20">
      <c r="A20" t="inlineStr">
        <is>
          <t>2026-10-30</t>
        </is>
      </c>
      <c r="B20" t="inlineStr">
        <is>
          <t>159023</t>
        </is>
      </c>
      <c r="C20" t="inlineStr">
        <is>
          <t>养殖ETF万家</t>
        </is>
      </c>
      <c r="D20" t="n">
        <v>3777.7943</v>
      </c>
      <c r="E20" t="n">
        <v>3777.7943</v>
      </c>
      <c r="F20" t="n">
        <v>1.0355</v>
      </c>
      <c r="G20" t="n">
        <v>0</v>
      </c>
      <c r="H20" t="n">
        <v>0.391191</v>
      </c>
      <c r="I20" t="n">
        <v>0.39478</v>
      </c>
      <c r="J20" t="n">
        <v>-0.003589</v>
      </c>
      <c r="K20" s="4">
        <f>IFERROR(J20/I20,"")</f>
        <v/>
      </c>
      <c r="L20" s="4">
        <f>IFERROR((D20-E20)/E20,"")</f>
        <v/>
      </c>
      <c r="M20" s="19">
        <f>IFERROR(F20*G20/10000,"")</f>
        <v/>
      </c>
    </row>
    <row r="21">
      <c r="A21" t="inlineStr">
        <is>
          <t>2026-10-30</t>
        </is>
      </c>
      <c r="B21" t="inlineStr">
        <is>
          <t>159026</t>
        </is>
      </c>
      <c r="C21" t="inlineStr">
        <is>
          <t>石油ETF南方</t>
        </is>
      </c>
      <c r="D21" t="n">
        <v>4151.3446</v>
      </c>
      <c r="E21" t="n">
        <v>4151.3446</v>
      </c>
      <c r="F21" t="n">
        <v>0.9144</v>
      </c>
      <c r="G21" t="n">
        <v>0</v>
      </c>
      <c r="H21" t="n">
        <v>0.379599</v>
      </c>
      <c r="I21" t="n">
        <v>0.37744</v>
      </c>
      <c r="J21" t="n">
        <v>0.002159</v>
      </c>
      <c r="K21" s="4">
        <f>IFERROR(J21/I21,"")</f>
        <v/>
      </c>
      <c r="L21" s="4">
        <f>IFERROR((D21-E21)/E21,"")</f>
        <v/>
      </c>
      <c r="M21" s="19">
        <f>IFERROR(F21*G21/10000,"")</f>
        <v/>
      </c>
    </row>
    <row r="22">
      <c r="A22" t="inlineStr">
        <is>
          <t>2026-10-30</t>
        </is>
      </c>
      <c r="B22" t="inlineStr">
        <is>
          <t>159027</t>
        </is>
      </c>
      <c r="C22" t="inlineStr">
        <is>
          <t>畜牧养殖ETF大成</t>
        </is>
      </c>
      <c r="D22" t="n">
        <v>10147.2283</v>
      </c>
      <c r="E22" t="n">
        <v>10147.2283</v>
      </c>
      <c r="F22" t="n">
        <v>0.8853</v>
      </c>
      <c r="G22" t="n">
        <v>0</v>
      </c>
      <c r="H22" t="n">
        <v>0.898334</v>
      </c>
      <c r="I22" t="n">
        <v>0.9065530000000001</v>
      </c>
      <c r="J22" t="n">
        <v>-0.008219000000000001</v>
      </c>
      <c r="K22" s="4">
        <f>IFERROR(J22/I22,"")</f>
        <v/>
      </c>
      <c r="L22" s="4">
        <f>IFERROR((D22-E22)/E22,"")</f>
        <v/>
      </c>
      <c r="M22" s="19">
        <f>IFERROR(F22*G22/10000,"")</f>
        <v/>
      </c>
    </row>
    <row r="23">
      <c r="A23" t="inlineStr">
        <is>
          <t>2026-10-30</t>
        </is>
      </c>
      <c r="B23" t="inlineStr">
        <is>
          <t>159028</t>
        </is>
      </c>
      <c r="C23" t="inlineStr">
        <is>
          <t>港股汽车ETF天弘</t>
        </is>
      </c>
      <c r="D23" t="n">
        <v>13544.9016</v>
      </c>
      <c r="E23" t="n">
        <v>13544.9016</v>
      </c>
      <c r="F23" t="n">
        <v>0.6289</v>
      </c>
      <c r="G23" t="n">
        <v>0</v>
      </c>
      <c r="H23" t="n">
        <v>0.851839</v>
      </c>
      <c r="I23" t="n">
        <v>0.831792</v>
      </c>
      <c r="J23" t="n">
        <v>0.020047</v>
      </c>
      <c r="K23" s="4">
        <f>IFERROR(J23/I23,"")</f>
        <v/>
      </c>
      <c r="L23" s="4">
        <f>IFERROR((D23-E23)/E23,"")</f>
        <v/>
      </c>
      <c r="M23" s="19">
        <f>IFERROR(F23*G23/10000,"")</f>
        <v/>
      </c>
    </row>
    <row r="24">
      <c r="A24" t="inlineStr">
        <is>
          <t>2026-10-30</t>
        </is>
      </c>
      <c r="B24" t="inlineStr">
        <is>
          <t>159029</t>
        </is>
      </c>
      <c r="C24" t="inlineStr">
        <is>
          <t>有色ETF广发</t>
        </is>
      </c>
      <c r="D24" t="n">
        <v>32312.7717</v>
      </c>
      <c r="E24" t="n">
        <v>32312.7717</v>
      </c>
      <c r="F24" t="n">
        <v>0.732</v>
      </c>
      <c r="G24" t="n">
        <v>0</v>
      </c>
      <c r="H24" t="n">
        <v>2.365295</v>
      </c>
      <c r="I24" t="n">
        <v>2.363033</v>
      </c>
      <c r="J24" t="n">
        <v>0.002262</v>
      </c>
      <c r="K24" s="4">
        <f>IFERROR(J24/I24,"")</f>
        <v/>
      </c>
      <c r="L24" s="4">
        <f>IFERROR((D24-E24)/E24,"")</f>
        <v/>
      </c>
      <c r="M24" s="19">
        <f>IFERROR(F24*G24/10000,"")</f>
        <v/>
      </c>
    </row>
    <row r="25">
      <c r="A25" t="inlineStr">
        <is>
          <t>2026-10-30</t>
        </is>
      </c>
      <c r="B25" t="inlineStr">
        <is>
          <t>159030</t>
        </is>
      </c>
      <c r="C25" t="inlineStr">
        <is>
          <t>粮食ETF华夏</t>
        </is>
      </c>
      <c r="D25" t="n">
        <v>42696.8176</v>
      </c>
      <c r="E25" t="n">
        <v>42896.8176</v>
      </c>
      <c r="F25" t="n">
        <v>0.7671</v>
      </c>
      <c r="G25" t="n">
        <v>-200</v>
      </c>
      <c r="H25" t="n">
        <v>3.275273</v>
      </c>
      <c r="I25" t="n">
        <v>3.301768</v>
      </c>
      <c r="J25" t="n">
        <v>-0.026495</v>
      </c>
      <c r="K25" s="4">
        <f>IFERROR(J25/I25,"")</f>
        <v/>
      </c>
      <c r="L25" s="4">
        <f>IFERROR((D25-E25)/E25,"")</f>
        <v/>
      </c>
      <c r="M25" s="19">
        <f>IFERROR(F25*G25/10000,"")</f>
        <v/>
      </c>
    </row>
    <row r="26">
      <c r="A26" t="inlineStr">
        <is>
          <t>2026-10-30</t>
        </is>
      </c>
      <c r="B26" t="inlineStr">
        <is>
          <t>159031</t>
        </is>
      </c>
      <c r="C26" t="inlineStr">
        <is>
          <t>粮食ETF博时</t>
        </is>
      </c>
      <c r="D26" t="n">
        <v>48602.8624</v>
      </c>
      <c r="E26" t="n">
        <v>48752.8624</v>
      </c>
      <c r="F26" t="n">
        <v>0.8498</v>
      </c>
      <c r="G26" t="n">
        <v>-150</v>
      </c>
      <c r="H26" t="n">
        <v>4.130271</v>
      </c>
      <c r="I26" t="n">
        <v>4.157157</v>
      </c>
      <c r="J26" t="n">
        <v>-0.026886</v>
      </c>
      <c r="K26" s="4">
        <f>IFERROR(J26/I26,"")</f>
        <v/>
      </c>
      <c r="L26" s="4">
        <f>IFERROR((D26-E26)/E26,"")</f>
        <v/>
      </c>
      <c r="M26" s="19">
        <f>IFERROR(F26*G26/10000,"")</f>
        <v/>
      </c>
    </row>
    <row r="27">
      <c r="A27" t="inlineStr">
        <is>
          <t>2026-10-30</t>
        </is>
      </c>
      <c r="B27" t="inlineStr">
        <is>
          <t>159032</t>
        </is>
      </c>
      <c r="C27" t="inlineStr">
        <is>
          <t>工业有色ETF易方达</t>
        </is>
      </c>
      <c r="D27" t="n">
        <v>26284.5019</v>
      </c>
      <c r="E27" t="n">
        <v>26684.5019</v>
      </c>
      <c r="F27" t="n">
        <v>0.7331</v>
      </c>
      <c r="G27" t="n">
        <v>-400</v>
      </c>
      <c r="H27" t="n">
        <v>1.926917</v>
      </c>
      <c r="I27" t="n">
        <v>1.954373</v>
      </c>
      <c r="J27" t="n">
        <v>-0.027456</v>
      </c>
      <c r="K27" s="4">
        <f>IFERROR(J27/I27,"")</f>
        <v/>
      </c>
      <c r="L27" s="4">
        <f>IFERROR((D27-E27)/E27,"")</f>
        <v/>
      </c>
      <c r="M27" s="19">
        <f>IFERROR(F27*G27/10000,"")</f>
        <v/>
      </c>
    </row>
    <row r="28">
      <c r="A28" t="inlineStr">
        <is>
          <t>2026-10-30</t>
        </is>
      </c>
      <c r="B28" t="inlineStr">
        <is>
          <t>159033</t>
        </is>
      </c>
      <c r="C28" t="inlineStr">
        <is>
          <t>粮食ETF国泰</t>
        </is>
      </c>
      <c r="D28" t="n">
        <v>14132.3473</v>
      </c>
      <c r="E28" t="n">
        <v>14132.3473</v>
      </c>
      <c r="F28" t="n">
        <v>0.8694</v>
      </c>
      <c r="G28" t="n">
        <v>0</v>
      </c>
      <c r="H28" t="n">
        <v>1.228666</v>
      </c>
      <c r="I28" t="n">
        <v>1.232906</v>
      </c>
      <c r="J28" t="n">
        <v>-0.00424</v>
      </c>
      <c r="K28" s="4">
        <f>IFERROR(J28/I28,"")</f>
        <v/>
      </c>
      <c r="L28" s="4">
        <f>IFERROR((D28-E28)/E28,"")</f>
        <v/>
      </c>
      <c r="M28" s="19">
        <f>IFERROR(F28*G28/10000,"")</f>
        <v/>
      </c>
    </row>
    <row r="29">
      <c r="A29" t="inlineStr">
        <is>
          <t>2026-10-30</t>
        </is>
      </c>
      <c r="B29" t="inlineStr">
        <is>
          <t>159035</t>
        </is>
      </c>
      <c r="C29" t="inlineStr">
        <is>
          <t>软件ETF天弘</t>
        </is>
      </c>
      <c r="D29" t="n">
        <v>94785.97259999999</v>
      </c>
      <c r="E29" t="n">
        <v>94685.97259999999</v>
      </c>
      <c r="F29" t="n">
        <v>0.768</v>
      </c>
      <c r="G29" t="n">
        <v>100</v>
      </c>
      <c r="H29" t="n">
        <v>7.279563</v>
      </c>
      <c r="I29" t="n">
        <v>7.312598</v>
      </c>
      <c r="J29" t="n">
        <v>-0.033035</v>
      </c>
      <c r="K29" s="4">
        <f>IFERROR(J29/I29,"")</f>
        <v/>
      </c>
      <c r="L29" s="4">
        <f>IFERROR((D29-E29)/E29,"")</f>
        <v/>
      </c>
      <c r="M29" s="19">
        <f>IFERROR(F29*G29/10000,"")</f>
        <v/>
      </c>
    </row>
    <row r="30">
      <c r="A30" t="inlineStr">
        <is>
          <t>2026-10-30</t>
        </is>
      </c>
      <c r="B30" t="inlineStr">
        <is>
          <t>159036</t>
        </is>
      </c>
      <c r="C30" t="inlineStr">
        <is>
          <t>软件开发ETF华宝</t>
        </is>
      </c>
      <c r="D30" t="n">
        <v>27174.0164</v>
      </c>
      <c r="E30" t="n">
        <v>27274.0164</v>
      </c>
      <c r="F30" t="n">
        <v>0.8844</v>
      </c>
      <c r="G30" t="n">
        <v>-100</v>
      </c>
      <c r="H30" t="n">
        <v>2.40327</v>
      </c>
      <c r="I30" t="n">
        <v>2.414296</v>
      </c>
      <c r="J30" t="n">
        <v>-0.011026</v>
      </c>
      <c r="K30" s="4">
        <f>IFERROR(J30/I30,"")</f>
        <v/>
      </c>
      <c r="L30" s="4">
        <f>IFERROR((D30-E30)/E30,"")</f>
        <v/>
      </c>
      <c r="M30" s="19">
        <f>IFERROR(F30*G30/10000,"")</f>
        <v/>
      </c>
    </row>
    <row r="31">
      <c r="A31" t="inlineStr">
        <is>
          <t>2026-10-30</t>
        </is>
      </c>
      <c r="B31" t="inlineStr">
        <is>
          <t>159037</t>
        </is>
      </c>
      <c r="C31" t="inlineStr">
        <is>
          <t>价值ETF鹏华</t>
        </is>
      </c>
      <c r="D31" t="n">
        <v>7624.9832</v>
      </c>
      <c r="E31" t="n">
        <v>7424.9832</v>
      </c>
      <c r="F31" t="n">
        <v>0.9696</v>
      </c>
      <c r="G31" t="n">
        <v>200</v>
      </c>
      <c r="H31" t="n">
        <v>0.739318</v>
      </c>
      <c r="I31" t="n">
        <v>0.719481</v>
      </c>
      <c r="J31" t="n">
        <v>0.019837</v>
      </c>
      <c r="K31" s="4">
        <f>IFERROR(J31/I31,"")</f>
        <v/>
      </c>
      <c r="L31" s="4">
        <f>IFERROR((D31-E31)/E31,"")</f>
        <v/>
      </c>
      <c r="M31" s="19">
        <f>IFERROR(F31*G31/10000,"")</f>
        <v/>
      </c>
    </row>
    <row r="32">
      <c r="A32" t="inlineStr">
        <is>
          <t>2026-10-30</t>
        </is>
      </c>
      <c r="B32" t="inlineStr">
        <is>
          <t>159038</t>
        </is>
      </c>
      <c r="C32" t="inlineStr">
        <is>
          <t>粮食ETF易方达</t>
        </is>
      </c>
      <c r="D32" t="n">
        <v>22002.6939</v>
      </c>
      <c r="E32" t="n">
        <v>22102.6939</v>
      </c>
      <c r="F32" t="n">
        <v>0.8248</v>
      </c>
      <c r="G32" t="n">
        <v>-100</v>
      </c>
      <c r="H32" t="n">
        <v>1.814782</v>
      </c>
      <c r="I32" t="n">
        <v>1.828998</v>
      </c>
      <c r="J32" t="n">
        <v>-0.014216</v>
      </c>
      <c r="K32" s="4">
        <f>IFERROR(J32/I32,"")</f>
        <v/>
      </c>
      <c r="L32" s="4">
        <f>IFERROR((D32-E32)/E32,"")</f>
        <v/>
      </c>
      <c r="M32" s="19">
        <f>IFERROR(F32*G32/10000,"")</f>
        <v/>
      </c>
    </row>
    <row r="33">
      <c r="A33" t="inlineStr">
        <is>
          <t>2026-10-30</t>
        </is>
      </c>
      <c r="B33" t="inlineStr">
        <is>
          <t>159041</t>
        </is>
      </c>
      <c r="C33" t="inlineStr">
        <is>
          <t>农业ETF鹏华</t>
        </is>
      </c>
      <c r="D33" t="n">
        <v>2847.1832</v>
      </c>
      <c r="E33" t="n">
        <v>2947.1832</v>
      </c>
      <c r="F33" t="n">
        <v>0.9656</v>
      </c>
      <c r="G33" t="n">
        <v>-100</v>
      </c>
      <c r="H33" t="n">
        <v>0.274924</v>
      </c>
      <c r="I33" t="n">
        <v>0.286731</v>
      </c>
      <c r="J33" t="n">
        <v>-0.011807</v>
      </c>
      <c r="K33" s="4">
        <f>IFERROR(J33/I33,"")</f>
        <v/>
      </c>
      <c r="L33" s="4">
        <f>IFERROR((D33-E33)/E33,"")</f>
        <v/>
      </c>
      <c r="M33" s="19">
        <f>IFERROR(F33*G33/10000,"")</f>
        <v/>
      </c>
    </row>
    <row r="34">
      <c r="A34" t="inlineStr">
        <is>
          <t>2026-10-30</t>
        </is>
      </c>
      <c r="B34" t="inlineStr">
        <is>
          <t>159042</t>
        </is>
      </c>
      <c r="C34" t="inlineStr">
        <is>
          <t>价值ETF汇添富</t>
        </is>
      </c>
      <c r="D34" t="n">
        <v>10180.1105</v>
      </c>
      <c r="E34" t="n">
        <v>10180.1105</v>
      </c>
      <c r="F34" t="n">
        <v>0.9706</v>
      </c>
      <c r="G34" t="n">
        <v>0</v>
      </c>
      <c r="H34" t="n">
        <v>0.988082</v>
      </c>
      <c r="I34" t="n">
        <v>0.987471</v>
      </c>
      <c r="J34" t="n">
        <v>0.000611</v>
      </c>
      <c r="K34" s="4">
        <f>IFERROR(J34/I34,"")</f>
        <v/>
      </c>
      <c r="L34" s="4">
        <f>IFERROR((D34-E34)/E34,"")</f>
        <v/>
      </c>
      <c r="M34" s="19">
        <f>IFERROR(F34*G34/10000,"")</f>
        <v/>
      </c>
    </row>
    <row r="35">
      <c r="A35" t="inlineStr">
        <is>
          <t>2026-10-30</t>
        </is>
      </c>
      <c r="B35" t="inlineStr">
        <is>
          <t>159046</t>
        </is>
      </c>
      <c r="C35" t="inlineStr">
        <is>
          <t>绿电ETF天弘</t>
        </is>
      </c>
      <c r="D35" t="n">
        <v>122597.6854</v>
      </c>
      <c r="E35" t="n">
        <v>121747.6854</v>
      </c>
      <c r="F35" t="n">
        <v>0.9038</v>
      </c>
      <c r="G35" t="n">
        <v>850</v>
      </c>
      <c r="H35" t="n">
        <v>11.080379</v>
      </c>
      <c r="I35" t="n">
        <v>10.945117</v>
      </c>
      <c r="J35" t="n">
        <v>0.135262</v>
      </c>
      <c r="K35" s="4">
        <f>IFERROR(J35/I35,"")</f>
        <v/>
      </c>
      <c r="L35" s="4">
        <f>IFERROR((D35-E35)/E35,"")</f>
        <v/>
      </c>
      <c r="M35" s="19">
        <f>IFERROR(F35*G35/10000,"")</f>
        <v/>
      </c>
    </row>
    <row r="36">
      <c r="A36" t="inlineStr">
        <is>
          <t>2026-10-30</t>
        </is>
      </c>
      <c r="B36" t="inlineStr">
        <is>
          <t>159048</t>
        </is>
      </c>
      <c r="C36" t="inlineStr">
        <is>
          <t>机器人ETF大成</t>
        </is>
      </c>
      <c r="D36" t="n">
        <v>22080.3897</v>
      </c>
      <c r="E36" t="n">
        <v>21580.3897</v>
      </c>
      <c r="F36" t="n">
        <v>0.86</v>
      </c>
      <c r="G36" t="n">
        <v>500</v>
      </c>
      <c r="H36" t="n">
        <v>1.898914</v>
      </c>
      <c r="I36" t="n">
        <v>1.766139</v>
      </c>
      <c r="J36" t="n">
        <v>0.132775</v>
      </c>
      <c r="K36" s="4">
        <f>IFERROR(J36/I36,"")</f>
        <v/>
      </c>
      <c r="L36" s="4">
        <f>IFERROR((D36-E36)/E36,"")</f>
        <v/>
      </c>
      <c r="M36" s="19">
        <f>IFERROR(F36*G36/10000,"")</f>
        <v/>
      </c>
    </row>
    <row r="37">
      <c r="A37" t="inlineStr">
        <is>
          <t>2026-10-30</t>
        </is>
      </c>
      <c r="B37" t="inlineStr">
        <is>
          <t>159050</t>
        </is>
      </c>
      <c r="C37" t="inlineStr">
        <is>
          <t>机器人ETF广发</t>
        </is>
      </c>
      <c r="D37" t="n">
        <v>73470.3612</v>
      </c>
      <c r="E37" t="n">
        <v>71070.3612</v>
      </c>
      <c r="F37" t="n">
        <v>0.8514</v>
      </c>
      <c r="G37" t="n">
        <v>2400</v>
      </c>
      <c r="H37" t="n">
        <v>6.255267</v>
      </c>
      <c r="I37" t="n">
        <v>5.758121</v>
      </c>
      <c r="J37" t="n">
        <v>0.497146</v>
      </c>
      <c r="K37" s="4">
        <f>IFERROR(J37/I37,"")</f>
        <v/>
      </c>
      <c r="L37" s="4">
        <f>IFERROR((D37-E37)/E37,"")</f>
        <v/>
      </c>
      <c r="M37" s="19">
        <f>IFERROR(F37*G37/10000,"")</f>
        <v/>
      </c>
    </row>
    <row r="38">
      <c r="A38" t="inlineStr">
        <is>
          <t>2026-10-30</t>
        </is>
      </c>
      <c r="B38" t="inlineStr">
        <is>
          <t>159051</t>
        </is>
      </c>
      <c r="C38" t="inlineStr">
        <is>
          <t>医疗器械ETF易方达</t>
        </is>
      </c>
      <c r="D38" t="n">
        <v>7011.7894</v>
      </c>
      <c r="E38" t="n">
        <v>7011.7894</v>
      </c>
      <c r="F38" t="n">
        <v>1.0252</v>
      </c>
      <c r="G38" t="n">
        <v>0</v>
      </c>
      <c r="H38" t="n">
        <v>0.718849</v>
      </c>
      <c r="I38" t="n">
        <v>0.713239</v>
      </c>
      <c r="J38" t="n">
        <v>0.00561</v>
      </c>
      <c r="K38" s="4">
        <f>IFERROR(J38/I38,"")</f>
        <v/>
      </c>
      <c r="L38" s="4">
        <f>IFERROR((D38-E38)/E38,"")</f>
        <v/>
      </c>
      <c r="M38" s="19">
        <f>IFERROR(F38*G38/10000,"")</f>
        <v/>
      </c>
    </row>
    <row r="39">
      <c r="A39" t="inlineStr">
        <is>
          <t>2026-10-30</t>
        </is>
      </c>
      <c r="B39" t="inlineStr">
        <is>
          <t>159052</t>
        </is>
      </c>
      <c r="C39" t="inlineStr">
        <is>
          <t>储能电池ETF嘉实</t>
        </is>
      </c>
      <c r="D39" t="n">
        <v>20292.6092</v>
      </c>
      <c r="E39" t="n">
        <v>20392.6092</v>
      </c>
      <c r="F39" t="n">
        <v>0.6653</v>
      </c>
      <c r="G39" t="n">
        <v>-100</v>
      </c>
      <c r="H39" t="n">
        <v>1.350067</v>
      </c>
      <c r="I39" t="n">
        <v>1.333677</v>
      </c>
      <c r="J39" t="n">
        <v>0.01639</v>
      </c>
      <c r="K39" s="4">
        <f>IFERROR(J39/I39,"")</f>
        <v/>
      </c>
      <c r="L39" s="4">
        <f>IFERROR((D39-E39)/E39,"")</f>
        <v/>
      </c>
      <c r="M39" s="19">
        <f>IFERROR(F39*G39/10000,"")</f>
        <v/>
      </c>
    </row>
    <row r="40">
      <c r="A40" t="inlineStr">
        <is>
          <t>2026-10-30</t>
        </is>
      </c>
      <c r="B40" t="inlineStr">
        <is>
          <t>159053</t>
        </is>
      </c>
      <c r="C40" t="inlineStr">
        <is>
          <t>稀有金属ETF华夏</t>
        </is>
      </c>
      <c r="D40" t="n">
        <v>16419.8132</v>
      </c>
      <c r="E40" t="n">
        <v>16519.8132</v>
      </c>
      <c r="F40" t="n">
        <v>0.7019</v>
      </c>
      <c r="G40" t="n">
        <v>-100</v>
      </c>
      <c r="H40" t="n">
        <v>1.152507</v>
      </c>
      <c r="I40" t="n">
        <v>1.14664</v>
      </c>
      <c r="J40" t="n">
        <v>0.005867</v>
      </c>
      <c r="K40" s="4">
        <f>IFERROR(J40/I40,"")</f>
        <v/>
      </c>
      <c r="L40" s="4">
        <f>IFERROR((D40-E40)/E40,"")</f>
        <v/>
      </c>
      <c r="M40" s="19">
        <f>IFERROR(F40*G40/10000,"")</f>
        <v/>
      </c>
    </row>
    <row r="41">
      <c r="A41" t="inlineStr">
        <is>
          <t>2026-10-30</t>
        </is>
      </c>
      <c r="B41" t="inlineStr">
        <is>
          <t>159055</t>
        </is>
      </c>
      <c r="C41" t="inlineStr">
        <is>
          <t>稀有金属ETF富国</t>
        </is>
      </c>
      <c r="D41" t="n">
        <v>12929.3952</v>
      </c>
      <c r="E41" t="n">
        <v>12929.3952</v>
      </c>
      <c r="F41" t="n">
        <v>0.7106</v>
      </c>
      <c r="G41" t="n">
        <v>0</v>
      </c>
      <c r="H41" t="n">
        <v>0.918763</v>
      </c>
      <c r="I41" t="n">
        <v>0.9085490000000001</v>
      </c>
      <c r="J41" t="n">
        <v>0.010214</v>
      </c>
      <c r="K41" s="4">
        <f>IFERROR(J41/I41,"")</f>
        <v/>
      </c>
      <c r="L41" s="4">
        <f>IFERROR((D41-E41)/E41,"")</f>
        <v/>
      </c>
      <c r="M41" s="19">
        <f>IFERROR(F41*G41/10000,"")</f>
        <v/>
      </c>
    </row>
    <row r="42">
      <c r="A42" t="inlineStr">
        <is>
          <t>2026-10-30</t>
        </is>
      </c>
      <c r="B42" t="inlineStr">
        <is>
          <t>159056</t>
        </is>
      </c>
      <c r="C42" t="inlineStr">
        <is>
          <t>医疗器械ETF富国</t>
        </is>
      </c>
      <c r="D42" t="n">
        <v>4893.4358</v>
      </c>
      <c r="E42" t="n">
        <v>4893.4358</v>
      </c>
      <c r="F42" t="n">
        <v>1.0214</v>
      </c>
      <c r="G42" t="n">
        <v>0</v>
      </c>
      <c r="H42" t="n">
        <v>0.499816</v>
      </c>
      <c r="I42" t="n">
        <v>0.495754</v>
      </c>
      <c r="J42" t="n">
        <v>0.004062</v>
      </c>
      <c r="K42" s="4">
        <f>IFERROR(J42/I42,"")</f>
        <v/>
      </c>
      <c r="L42" s="4">
        <f>IFERROR((D42-E42)/E42,"")</f>
        <v/>
      </c>
      <c r="M42" s="19">
        <f>IFERROR(F42*G42/10000,"")</f>
        <v/>
      </c>
    </row>
    <row r="43">
      <c r="A43" t="inlineStr">
        <is>
          <t>2026-10-30</t>
        </is>
      </c>
      <c r="B43" t="inlineStr">
        <is>
          <t>159057</t>
        </is>
      </c>
      <c r="C43" t="inlineStr">
        <is>
          <t>医疗器械ETF鹏华</t>
        </is>
      </c>
      <c r="D43" t="n">
        <v>1871.5334</v>
      </c>
      <c r="E43" t="n">
        <v>1871.5334</v>
      </c>
      <c r="F43" t="n">
        <v>1.0061</v>
      </c>
      <c r="G43" t="n">
        <v>0</v>
      </c>
      <c r="H43" t="n">
        <v>0.188295</v>
      </c>
      <c r="I43" t="n">
        <v>0.18691</v>
      </c>
      <c r="J43" t="n">
        <v>0.001385</v>
      </c>
      <c r="K43" s="4">
        <f>IFERROR(J43/I43,"")</f>
        <v/>
      </c>
      <c r="L43" s="4">
        <f>IFERROR((D43-E43)/E43,"")</f>
        <v/>
      </c>
      <c r="M43" s="19">
        <f>IFERROR(F43*G43/10000,"")</f>
        <v/>
      </c>
    </row>
    <row r="44">
      <c r="A44" t="inlineStr">
        <is>
          <t>2026-10-30</t>
        </is>
      </c>
      <c r="B44" t="inlineStr">
        <is>
          <t>159060</t>
        </is>
      </c>
      <c r="C44" t="inlineStr">
        <is>
          <t>粮食ETF浦银</t>
        </is>
      </c>
      <c r="D44" t="n">
        <v>1348.3423</v>
      </c>
      <c r="E44" t="n">
        <v>1348.3423</v>
      </c>
      <c r="F44" t="n">
        <v>0.8931</v>
      </c>
      <c r="G44" t="n">
        <v>0</v>
      </c>
      <c r="H44" t="n">
        <v>0.12042</v>
      </c>
      <c r="I44" t="n">
        <v>0.120852</v>
      </c>
      <c r="J44" t="n">
        <v>-0.000432</v>
      </c>
      <c r="K44" s="4">
        <f>IFERROR(J44/I44,"")</f>
        <v/>
      </c>
      <c r="L44" s="4">
        <f>IFERROR((D44-E44)/E44,"")</f>
        <v/>
      </c>
      <c r="M44" s="19">
        <f>IFERROR(F44*G44/10000,"")</f>
        <v/>
      </c>
    </row>
    <row r="45">
      <c r="A45" t="inlineStr">
        <is>
          <t>2026-10-30</t>
        </is>
      </c>
      <c r="B45" t="inlineStr">
        <is>
          <t>159063</t>
        </is>
      </c>
      <c r="C45" t="inlineStr">
        <is>
          <t>粮食ETF南方</t>
        </is>
      </c>
      <c r="D45" t="n">
        <v>6048.6647</v>
      </c>
      <c r="E45" t="n">
        <v>6048.6647</v>
      </c>
      <c r="F45" t="n">
        <v>0.9141</v>
      </c>
      <c r="G45" t="n">
        <v>0</v>
      </c>
      <c r="H45" t="n">
        <v>0.552908</v>
      </c>
      <c r="I45" t="n">
        <v>0.5547840000000001</v>
      </c>
      <c r="J45" t="n">
        <v>-0.001876</v>
      </c>
      <c r="K45" s="4">
        <f>IFERROR(J45/I45,"")</f>
        <v/>
      </c>
      <c r="L45" s="4">
        <f>IFERROR((D45-E45)/E45,"")</f>
        <v/>
      </c>
      <c r="M45" s="19">
        <f>IFERROR(F45*G45/10000,"")</f>
        <v/>
      </c>
    </row>
    <row r="46">
      <c r="A46" t="inlineStr">
        <is>
          <t>2026-10-30</t>
        </is>
      </c>
      <c r="B46" t="inlineStr">
        <is>
          <t>159100</t>
        </is>
      </c>
      <c r="C46" t="inlineStr">
        <is>
          <t>巴西ETF华夏</t>
        </is>
      </c>
      <c r="D46" t="n">
        <v>50504.6935</v>
      </c>
      <c r="E46" t="n">
        <v>50454.6935</v>
      </c>
      <c r="F46" t="n">
        <v>1.0518</v>
      </c>
      <c r="G46" t="n">
        <v>50</v>
      </c>
      <c r="H46" t="n">
        <v>5.312084</v>
      </c>
      <c r="I46" t="n">
        <v>5.130738</v>
      </c>
      <c r="J46" t="n">
        <v>0.181346</v>
      </c>
      <c r="K46" s="4">
        <f>IFERROR(J46/I46,"")</f>
        <v/>
      </c>
      <c r="L46" s="4">
        <f>IFERROR((D46-E46)/E46,"")</f>
        <v/>
      </c>
      <c r="M46" s="19">
        <f>IFERROR(F46*G46/10000,"")</f>
        <v/>
      </c>
    </row>
    <row r="47">
      <c r="A47" t="inlineStr">
        <is>
          <t>2026-10-30</t>
        </is>
      </c>
      <c r="B47" t="inlineStr">
        <is>
          <t>159101</t>
        </is>
      </c>
      <c r="C47" t="inlineStr">
        <is>
          <t>港股通科技ETF华夏</t>
        </is>
      </c>
      <c r="D47" t="n">
        <v>290331.1457</v>
      </c>
      <c r="E47" t="n">
        <v>290331.1457</v>
      </c>
      <c r="F47" t="n">
        <v>0.6327</v>
      </c>
      <c r="G47" t="n">
        <v>0</v>
      </c>
      <c r="H47" t="n">
        <v>18.369252</v>
      </c>
      <c r="I47" t="n">
        <v>18.119567</v>
      </c>
      <c r="J47" t="n">
        <v>0.249685</v>
      </c>
      <c r="K47" s="4">
        <f>IFERROR(J47/I47,"")</f>
        <v/>
      </c>
      <c r="L47" s="4">
        <f>IFERROR((D47-E47)/E47,"")</f>
        <v/>
      </c>
      <c r="M47" s="19">
        <f>IFERROR(F47*G47/10000,"")</f>
        <v/>
      </c>
    </row>
    <row r="48">
      <c r="A48" t="inlineStr">
        <is>
          <t>2026-10-30</t>
        </is>
      </c>
      <c r="B48" t="inlineStr">
        <is>
          <t>159102</t>
        </is>
      </c>
      <c r="C48" t="inlineStr">
        <is>
          <t>港股通生物科技ETF华安</t>
        </is>
      </c>
      <c r="D48" t="n">
        <v>56362.2004</v>
      </c>
      <c r="E48" t="n">
        <v>56412.2004</v>
      </c>
      <c r="F48" t="n">
        <v>0.7597</v>
      </c>
      <c r="G48" t="n">
        <v>-50</v>
      </c>
      <c r="H48" t="n">
        <v>4.281836</v>
      </c>
      <c r="I48" t="n">
        <v>4.206094</v>
      </c>
      <c r="J48" t="n">
        <v>0.075742</v>
      </c>
      <c r="K48" s="4">
        <f>IFERROR(J48/I48,"")</f>
        <v/>
      </c>
      <c r="L48" s="4">
        <f>IFERROR((D48-E48)/E48,"")</f>
        <v/>
      </c>
      <c r="M48" s="19">
        <f>IFERROR(F48*G48/10000,"")</f>
        <v/>
      </c>
    </row>
    <row r="49">
      <c r="A49" t="inlineStr">
        <is>
          <t>2026-10-30</t>
        </is>
      </c>
      <c r="B49" t="inlineStr">
        <is>
          <t>159103</t>
        </is>
      </c>
      <c r="C49" t="inlineStr">
        <is>
          <t>金融科技ETF汇添富</t>
        </is>
      </c>
      <c r="D49" t="n">
        <v>34340.6771</v>
      </c>
      <c r="E49" t="n">
        <v>34140.6771</v>
      </c>
      <c r="F49" t="n">
        <v>0.6042999999999999</v>
      </c>
      <c r="G49" t="n">
        <v>200</v>
      </c>
      <c r="H49" t="n">
        <v>2.075207</v>
      </c>
      <c r="I49" t="n">
        <v>2.058341</v>
      </c>
      <c r="J49" t="n">
        <v>0.016866</v>
      </c>
      <c r="K49" s="4">
        <f>IFERROR(J49/I49,"")</f>
        <v/>
      </c>
      <c r="L49" s="4">
        <f>IFERROR((D49-E49)/E49,"")</f>
        <v/>
      </c>
      <c r="M49" s="19">
        <f>IFERROR(F49*G49/10000,"")</f>
        <v/>
      </c>
    </row>
    <row r="50">
      <c r="A50" t="inlineStr">
        <is>
          <t>2026-10-30</t>
        </is>
      </c>
      <c r="B50" t="inlineStr">
        <is>
          <t>159105</t>
        </is>
      </c>
      <c r="C50" t="inlineStr">
        <is>
          <t>恒生生物科技ETF易方达</t>
        </is>
      </c>
      <c r="D50" t="n">
        <v>13627.2984</v>
      </c>
      <c r="E50" t="n">
        <v>13627.2984</v>
      </c>
      <c r="F50" t="n">
        <v>0.8614000000000001</v>
      </c>
      <c r="G50" t="n">
        <v>0</v>
      </c>
      <c r="H50" t="n">
        <v>1.173855</v>
      </c>
      <c r="I50" t="n">
        <v>1.151779</v>
      </c>
      <c r="J50" t="n">
        <v>0.022076</v>
      </c>
      <c r="K50" s="4">
        <f>IFERROR(J50/I50,"")</f>
        <v/>
      </c>
      <c r="L50" s="4">
        <f>IFERROR((D50-E50)/E50,"")</f>
        <v/>
      </c>
      <c r="M50" s="19">
        <f>IFERROR(F50*G50/10000,"")</f>
        <v/>
      </c>
    </row>
    <row r="51">
      <c r="A51" t="inlineStr">
        <is>
          <t>2026-10-30</t>
        </is>
      </c>
      <c r="B51" t="inlineStr">
        <is>
          <t>159106</t>
        </is>
      </c>
      <c r="C51" t="inlineStr">
        <is>
          <t>民企300ETF前海开源</t>
        </is>
      </c>
      <c r="D51" t="n">
        <v>4157.9488</v>
      </c>
      <c r="E51" t="n">
        <v>4157.9488</v>
      </c>
      <c r="F51" t="n">
        <v>0.8637</v>
      </c>
      <c r="G51" t="n">
        <v>0</v>
      </c>
      <c r="H51" t="n">
        <v>0.359122</v>
      </c>
      <c r="I51" t="n">
        <v>0.350681</v>
      </c>
      <c r="J51" t="n">
        <v>0.008441000000000001</v>
      </c>
      <c r="K51" s="4">
        <f>IFERROR(J51/I51,"")</f>
        <v/>
      </c>
      <c r="L51" s="4">
        <f>IFERROR((D51-E51)/E51,"")</f>
        <v/>
      </c>
      <c r="M51" s="19">
        <f>IFERROR(F51*G51/10000,"")</f>
        <v/>
      </c>
    </row>
    <row r="52">
      <c r="A52" t="inlineStr">
        <is>
          <t>2026-10-30</t>
        </is>
      </c>
      <c r="B52" t="inlineStr">
        <is>
          <t>159107</t>
        </is>
      </c>
      <c r="C52" t="inlineStr">
        <is>
          <t>创业板软件ETF富国</t>
        </is>
      </c>
      <c r="D52" t="n">
        <v>81682.3006</v>
      </c>
      <c r="E52" t="n">
        <v>80982.3006</v>
      </c>
      <c r="F52" t="n">
        <v>0.6976</v>
      </c>
      <c r="G52" t="n">
        <v>700</v>
      </c>
      <c r="H52" t="n">
        <v>5.698157</v>
      </c>
      <c r="I52" t="n">
        <v>5.576441</v>
      </c>
      <c r="J52" t="n">
        <v>0.121716</v>
      </c>
      <c r="K52" s="4">
        <f>IFERROR(J52/I52,"")</f>
        <v/>
      </c>
      <c r="L52" s="4">
        <f>IFERROR((D52-E52)/E52,"")</f>
        <v/>
      </c>
      <c r="M52" s="19">
        <f>IFERROR(F52*G52/10000,"")</f>
        <v/>
      </c>
    </row>
    <row r="53">
      <c r="A53" t="inlineStr">
        <is>
          <t>2026-10-30</t>
        </is>
      </c>
      <c r="B53" t="inlineStr">
        <is>
          <t>159108</t>
        </is>
      </c>
      <c r="C53" t="inlineStr">
        <is>
          <t>工业软件ETF博时</t>
        </is>
      </c>
      <c r="D53" t="n">
        <v>15573.8511</v>
      </c>
      <c r="E53" t="n">
        <v>15973.8511</v>
      </c>
      <c r="F53" t="n">
        <v>0.8989</v>
      </c>
      <c r="G53" t="n">
        <v>-400</v>
      </c>
      <c r="H53" t="n">
        <v>1.399933</v>
      </c>
      <c r="I53" t="n">
        <v>1.413207</v>
      </c>
      <c r="J53" t="n">
        <v>-0.013274</v>
      </c>
      <c r="K53" s="4">
        <f>IFERROR(J53/I53,"")</f>
        <v/>
      </c>
      <c r="L53" s="4">
        <f>IFERROR((D53-E53)/E53,"")</f>
        <v/>
      </c>
      <c r="M53" s="19">
        <f>IFERROR(F53*G53/10000,"")</f>
        <v/>
      </c>
    </row>
    <row r="54">
      <c r="A54" t="inlineStr">
        <is>
          <t>2026-10-30</t>
        </is>
      </c>
      <c r="B54" t="inlineStr">
        <is>
          <t>159109</t>
        </is>
      </c>
      <c r="C54" t="inlineStr">
        <is>
          <t>恒生50ETF景顺</t>
        </is>
      </c>
      <c r="D54" t="n">
        <v>53516.3854</v>
      </c>
      <c r="E54" t="n">
        <v>54316.3854</v>
      </c>
      <c r="F54" t="n">
        <v>0.747</v>
      </c>
      <c r="G54" t="n">
        <v>-800</v>
      </c>
      <c r="H54" t="n">
        <v>3.997674</v>
      </c>
      <c r="I54" t="n">
        <v>4.038966</v>
      </c>
      <c r="J54" t="n">
        <v>-0.041292</v>
      </c>
      <c r="K54" s="4">
        <f>IFERROR(J54/I54,"")</f>
        <v/>
      </c>
      <c r="L54" s="4">
        <f>IFERROR((D54-E54)/E54,"")</f>
        <v/>
      </c>
      <c r="M54" s="19">
        <f>IFERROR(F54*G54/10000,"")</f>
        <v/>
      </c>
    </row>
    <row r="55">
      <c r="A55" t="inlineStr">
        <is>
          <t>2026-10-30</t>
        </is>
      </c>
      <c r="B55" t="inlineStr">
        <is>
          <t>159110</t>
        </is>
      </c>
      <c r="C55" t="inlineStr">
        <is>
          <t>科创债ETF万家</t>
        </is>
      </c>
      <c r="D55" t="n">
        <v>2392.7093</v>
      </c>
      <c r="E55" t="n">
        <v>2392.7093</v>
      </c>
      <c r="F55" t="n">
        <v>102.0629</v>
      </c>
      <c r="G55" t="n">
        <v>0</v>
      </c>
      <c r="H55" t="n">
        <v>24.420685</v>
      </c>
      <c r="I55" t="n">
        <v>24.419967</v>
      </c>
      <c r="J55" t="n">
        <v>0.000718</v>
      </c>
      <c r="K55" s="4">
        <f>IFERROR(J55/I55,"")</f>
        <v/>
      </c>
      <c r="L55" s="4">
        <f>IFERROR((D55-E55)/E55,"")</f>
        <v/>
      </c>
      <c r="M55" s="19">
        <f>IFERROR(F55*G55/10000,"")</f>
        <v/>
      </c>
    </row>
    <row r="56">
      <c r="A56" t="inlineStr">
        <is>
          <t>2026-10-30</t>
        </is>
      </c>
      <c r="B56" t="inlineStr">
        <is>
          <t>159111</t>
        </is>
      </c>
      <c r="C56" t="inlineStr">
        <is>
          <t>科创债ETF天弘</t>
        </is>
      </c>
      <c r="D56" t="n">
        <v>15242.6676</v>
      </c>
      <c r="E56" t="n">
        <v>15240.6676</v>
      </c>
      <c r="F56" t="n">
        <v>103.1473</v>
      </c>
      <c r="G56" t="n">
        <v>2</v>
      </c>
      <c r="H56" t="n">
        <v>157.224001</v>
      </c>
      <c r="I56" t="n">
        <v>157.208706</v>
      </c>
      <c r="J56" t="n">
        <v>0.015295</v>
      </c>
      <c r="K56" s="4">
        <f>IFERROR(J56/I56,"")</f>
        <v/>
      </c>
      <c r="L56" s="4">
        <f>IFERROR((D56-E56)/E56,"")</f>
        <v/>
      </c>
      <c r="M56" s="19">
        <f>IFERROR(F56*G56/10000,"")</f>
        <v/>
      </c>
    </row>
    <row r="57">
      <c r="A57" t="inlineStr">
        <is>
          <t>2026-10-30</t>
        </is>
      </c>
      <c r="B57" t="inlineStr">
        <is>
          <t>159112</t>
        </is>
      </c>
      <c r="C57" t="inlineStr">
        <is>
          <t>科创债ETF银华</t>
        </is>
      </c>
      <c r="D57" t="n">
        <v>29098.783</v>
      </c>
      <c r="E57" t="n">
        <v>28998.783</v>
      </c>
      <c r="F57" t="n">
        <v>102.9997</v>
      </c>
      <c r="G57" t="n">
        <v>100</v>
      </c>
      <c r="H57" t="n">
        <v>299.716592</v>
      </c>
      <c r="I57" t="n">
        <v>298.679345</v>
      </c>
      <c r="J57" t="n">
        <v>1.037247</v>
      </c>
      <c r="K57" s="4">
        <f>IFERROR(J57/I57,"")</f>
        <v/>
      </c>
      <c r="L57" s="4">
        <f>IFERROR((D57-E57)/E57,"")</f>
        <v/>
      </c>
      <c r="M57" s="19">
        <f>IFERROR(F57*G57/10000,"")</f>
        <v/>
      </c>
    </row>
    <row r="58">
      <c r="A58" t="inlineStr">
        <is>
          <t>2026-10-30</t>
        </is>
      </c>
      <c r="B58" t="inlineStr">
        <is>
          <t>159113</t>
        </is>
      </c>
      <c r="C58" t="inlineStr">
        <is>
          <t>科创债ETF大成</t>
        </is>
      </c>
      <c r="D58" t="n">
        <v>10045.6237</v>
      </c>
      <c r="E58" t="n">
        <v>10045.6237</v>
      </c>
      <c r="F58" t="n">
        <v>102.9895</v>
      </c>
      <c r="G58" t="n">
        <v>0</v>
      </c>
      <c r="H58" t="n">
        <v>103.459376</v>
      </c>
      <c r="I58" t="n">
        <v>103.460481</v>
      </c>
      <c r="J58" t="n">
        <v>-0.001105</v>
      </c>
      <c r="K58" s="4">
        <f>IFERROR(J58/I58,"")</f>
        <v/>
      </c>
      <c r="L58" s="4">
        <f>IFERROR((D58-E58)/E58,"")</f>
        <v/>
      </c>
      <c r="M58" s="19">
        <f>IFERROR(F58*G58/10000,"")</f>
        <v/>
      </c>
    </row>
    <row r="59">
      <c r="A59" t="inlineStr">
        <is>
          <t>2026-10-30</t>
        </is>
      </c>
      <c r="B59" t="inlineStr">
        <is>
          <t>159115</t>
        </is>
      </c>
      <c r="C59" t="inlineStr">
        <is>
          <t>科创债ETF华安</t>
        </is>
      </c>
      <c r="D59" t="n">
        <v>5853.3487</v>
      </c>
      <c r="E59" t="n">
        <v>5853.3487</v>
      </c>
      <c r="F59" t="n">
        <v>102.9961</v>
      </c>
      <c r="G59" t="n">
        <v>0</v>
      </c>
      <c r="H59" t="n">
        <v>60.287209</v>
      </c>
      <c r="I59" t="n">
        <v>60.284516</v>
      </c>
      <c r="J59" t="n">
        <v>0.002693</v>
      </c>
      <c r="K59" s="4">
        <f>IFERROR(J59/I59,"")</f>
        <v/>
      </c>
      <c r="L59" s="4">
        <f>IFERROR((D59-E59)/E59,"")</f>
        <v/>
      </c>
      <c r="M59" s="19">
        <f>IFERROR(F59*G59/10000,"")</f>
        <v/>
      </c>
    </row>
    <row r="60">
      <c r="A60" t="inlineStr">
        <is>
          <t>2026-10-30</t>
        </is>
      </c>
      <c r="B60" t="inlineStr">
        <is>
          <t>159116</t>
        </is>
      </c>
      <c r="C60" t="inlineStr">
        <is>
          <t>科创债ETF工银</t>
        </is>
      </c>
      <c r="D60" t="n">
        <v>12919.2743</v>
      </c>
      <c r="E60" t="n">
        <v>12919.2743</v>
      </c>
      <c r="F60" t="n">
        <v>103.183</v>
      </c>
      <c r="G60" t="n">
        <v>0</v>
      </c>
      <c r="H60" t="n">
        <v>133.304948</v>
      </c>
      <c r="I60" t="n">
        <v>133.300426</v>
      </c>
      <c r="J60" t="n">
        <v>0.004522</v>
      </c>
      <c r="K60" s="4">
        <f>IFERROR(J60/I60,"")</f>
        <v/>
      </c>
      <c r="L60" s="4">
        <f>IFERROR((D60-E60)/E60,"")</f>
        <v/>
      </c>
      <c r="M60" s="19">
        <f>IFERROR(F60*G60/10000,"")</f>
        <v/>
      </c>
    </row>
    <row r="61">
      <c r="A61" t="inlineStr">
        <is>
          <t>2026-10-30</t>
        </is>
      </c>
      <c r="B61" t="inlineStr">
        <is>
          <t>159117</t>
        </is>
      </c>
      <c r="C61" t="inlineStr">
        <is>
          <t>港股通红利低波ETF鹏华</t>
        </is>
      </c>
      <c r="D61" t="n">
        <v>5640.1153</v>
      </c>
      <c r="E61" t="n">
        <v>5640.1153</v>
      </c>
      <c r="F61" t="n">
        <v>0.9848</v>
      </c>
      <c r="G61" t="n">
        <v>0</v>
      </c>
      <c r="H61" t="n">
        <v>0.555439</v>
      </c>
      <c r="I61" t="n">
        <v>0.559612</v>
      </c>
      <c r="J61" t="n">
        <v>-0.004173</v>
      </c>
      <c r="K61" s="4">
        <f>IFERROR(J61/I61,"")</f>
        <v/>
      </c>
      <c r="L61" s="4">
        <f>IFERROR((D61-E61)/E61,"")</f>
        <v/>
      </c>
      <c r="M61" s="19">
        <f>IFERROR(F61*G61/10000,"")</f>
        <v/>
      </c>
    </row>
    <row r="62">
      <c r="A62" t="inlineStr">
        <is>
          <t>2026-10-30</t>
        </is>
      </c>
      <c r="B62" t="inlineStr">
        <is>
          <t>159118</t>
        </is>
      </c>
      <c r="C62" t="inlineStr">
        <is>
          <t>港股通红利低波ETF华夏</t>
        </is>
      </c>
      <c r="D62" t="n">
        <v>6567.702</v>
      </c>
      <c r="E62" t="n">
        <v>6667.702</v>
      </c>
      <c r="F62" t="n">
        <v>0.9391</v>
      </c>
      <c r="G62" t="n">
        <v>-100</v>
      </c>
      <c r="H62" t="n">
        <v>0.616773</v>
      </c>
      <c r="I62" t="n">
        <v>0.631098</v>
      </c>
      <c r="J62" t="n">
        <v>-0.014325</v>
      </c>
      <c r="K62" s="4">
        <f>IFERROR(J62/I62,"")</f>
        <v/>
      </c>
      <c r="L62" s="4">
        <f>IFERROR((D62-E62)/E62,"")</f>
        <v/>
      </c>
      <c r="M62" s="19">
        <f>IFERROR(F62*G62/10000,"")</f>
        <v/>
      </c>
    </row>
    <row r="63">
      <c r="A63" t="inlineStr">
        <is>
          <t>2026-10-30</t>
        </is>
      </c>
      <c r="B63" t="inlineStr">
        <is>
          <t>159119</t>
        </is>
      </c>
      <c r="C63" t="inlineStr">
        <is>
          <t>800现金流ETF招商</t>
        </is>
      </c>
      <c r="D63" t="n">
        <v>14905.4229</v>
      </c>
      <c r="E63" t="n">
        <v>14905.4229</v>
      </c>
      <c r="F63" t="n">
        <v>0.9483</v>
      </c>
      <c r="G63" t="n">
        <v>0</v>
      </c>
      <c r="H63" t="n">
        <v>1.413481</v>
      </c>
      <c r="I63" t="n">
        <v>1.420487</v>
      </c>
      <c r="J63" t="n">
        <v>-0.007006</v>
      </c>
      <c r="K63" s="4">
        <f>IFERROR(J63/I63,"")</f>
        <v/>
      </c>
      <c r="L63" s="4">
        <f>IFERROR((D63-E63)/E63,"")</f>
        <v/>
      </c>
      <c r="M63" s="19">
        <f>IFERROR(F63*G63/10000,"")</f>
        <v/>
      </c>
    </row>
    <row r="64">
      <c r="A64" t="inlineStr">
        <is>
          <t>2026-10-30</t>
        </is>
      </c>
      <c r="B64" t="inlineStr">
        <is>
          <t>159120</t>
        </is>
      </c>
      <c r="C64" t="inlineStr">
        <is>
          <t>港股通科技ETF国联安</t>
        </is>
      </c>
      <c r="D64" t="n">
        <v>18702.4466</v>
      </c>
      <c r="E64" t="n">
        <v>18702.4466</v>
      </c>
      <c r="F64" t="n">
        <v>0.618</v>
      </c>
      <c r="G64" t="n">
        <v>0</v>
      </c>
      <c r="H64" t="n">
        <v>1.155811</v>
      </c>
      <c r="I64" t="n">
        <v>1.136735</v>
      </c>
      <c r="J64" t="n">
        <v>0.019076</v>
      </c>
      <c r="K64" s="4">
        <f>IFERROR(J64/I64,"")</f>
        <v/>
      </c>
      <c r="L64" s="4">
        <f>IFERROR((D64-E64)/E64,"")</f>
        <v/>
      </c>
      <c r="M64" s="19">
        <f>IFERROR(F64*G64/10000,"")</f>
        <v/>
      </c>
    </row>
    <row r="65">
      <c r="A65" t="inlineStr">
        <is>
          <t>2026-10-30</t>
        </is>
      </c>
      <c r="B65" t="inlineStr">
        <is>
          <t>159121</t>
        </is>
      </c>
      <c r="C65" t="inlineStr">
        <is>
          <t>港股通汽车ETF易方达</t>
        </is>
      </c>
      <c r="D65" t="n">
        <v>15648.1127</v>
      </c>
      <c r="E65" t="n">
        <v>15648.1127</v>
      </c>
      <c r="F65" t="n">
        <v>0.6084000000000001</v>
      </c>
      <c r="G65" t="n">
        <v>0</v>
      </c>
      <c r="H65" t="n">
        <v>0.952031</v>
      </c>
      <c r="I65" t="n">
        <v>0.9298110000000001</v>
      </c>
      <c r="J65" t="n">
        <v>0.02222</v>
      </c>
      <c r="K65" s="4">
        <f>IFERROR(J65/I65,"")</f>
        <v/>
      </c>
      <c r="L65" s="4">
        <f>IFERROR((D65-E65)/E65,"")</f>
        <v/>
      </c>
      <c r="M65" s="19">
        <f>IFERROR(F65*G65/10000,"")</f>
        <v/>
      </c>
    </row>
    <row r="66">
      <c r="A66" t="inlineStr">
        <is>
          <t>2026-10-30</t>
        </is>
      </c>
      <c r="B66" t="inlineStr">
        <is>
          <t>159122</t>
        </is>
      </c>
      <c r="C66" t="inlineStr">
        <is>
          <t>创业板新能源ETF富国</t>
        </is>
      </c>
      <c r="D66" t="n">
        <v>6916.0935</v>
      </c>
      <c r="E66" t="n">
        <v>7116.0935</v>
      </c>
      <c r="F66" t="n">
        <v>0.6936</v>
      </c>
      <c r="G66" t="n">
        <v>-200</v>
      </c>
      <c r="H66" t="n">
        <v>0.4797</v>
      </c>
      <c r="I66" t="n">
        <v>0.484535</v>
      </c>
      <c r="J66" t="n">
        <v>-0.004835</v>
      </c>
      <c r="K66" s="4">
        <f>IFERROR(J66/I66,"")</f>
        <v/>
      </c>
      <c r="L66" s="4">
        <f>IFERROR((D66-E66)/E66,"")</f>
        <v/>
      </c>
      <c r="M66" s="19">
        <f>IFERROR(F66*G66/10000,"")</f>
        <v/>
      </c>
    </row>
    <row r="67">
      <c r="A67" t="inlineStr">
        <is>
          <t>2026-10-30</t>
        </is>
      </c>
      <c r="B67" t="inlineStr">
        <is>
          <t>159123</t>
        </is>
      </c>
      <c r="C67" t="inlineStr">
        <is>
          <t>光伏ETF嘉实</t>
        </is>
      </c>
      <c r="D67" t="n">
        <v>40504.7026</v>
      </c>
      <c r="E67" t="n">
        <v>40604.7026</v>
      </c>
      <c r="F67" t="n">
        <v>0.7571</v>
      </c>
      <c r="G67" t="n">
        <v>-100</v>
      </c>
      <c r="H67" t="n">
        <v>3.066611</v>
      </c>
      <c r="I67" t="n">
        <v>3.050225</v>
      </c>
      <c r="J67" t="n">
        <v>0.016386</v>
      </c>
      <c r="K67" s="4">
        <f>IFERROR(J67/I67,"")</f>
        <v/>
      </c>
      <c r="L67" s="4">
        <f>IFERROR((D67-E67)/E67,"")</f>
        <v/>
      </c>
      <c r="M67" s="19">
        <f>IFERROR(F67*G67/10000,"")</f>
        <v/>
      </c>
    </row>
    <row r="68">
      <c r="A68" t="inlineStr">
        <is>
          <t>2026-10-30</t>
        </is>
      </c>
      <c r="B68" t="inlineStr">
        <is>
          <t>159125</t>
        </is>
      </c>
      <c r="C68" t="inlineStr">
        <is>
          <t>港股通科技ETF招商</t>
        </is>
      </c>
      <c r="D68" t="n">
        <v>84224.5883</v>
      </c>
      <c r="E68" t="n">
        <v>84224.5883</v>
      </c>
      <c r="F68" t="n">
        <v>0.6129</v>
      </c>
      <c r="G68" t="n">
        <v>0</v>
      </c>
      <c r="H68" t="n">
        <v>5.162125</v>
      </c>
      <c r="I68" t="n">
        <v>5.091376</v>
      </c>
      <c r="J68" t="n">
        <v>0.07074900000000001</v>
      </c>
      <c r="K68" s="4">
        <f>IFERROR(J68/I68,"")</f>
        <v/>
      </c>
      <c r="L68" s="4">
        <f>IFERROR((D68-E68)/E68,"")</f>
        <v/>
      </c>
      <c r="M68" s="19">
        <f>IFERROR(F68*G68/10000,"")</f>
        <v/>
      </c>
    </row>
    <row r="69">
      <c r="A69" t="inlineStr">
        <is>
          <t>2026-10-30</t>
        </is>
      </c>
      <c r="B69" t="inlineStr">
        <is>
          <t>159126</t>
        </is>
      </c>
      <c r="C69" t="inlineStr">
        <is>
          <t>港股通50ETF南方</t>
        </is>
      </c>
      <c r="D69" t="n">
        <v>22761.6546</v>
      </c>
      <c r="E69" t="n">
        <v>22761.6546</v>
      </c>
      <c r="F69" t="n">
        <v>0.8673</v>
      </c>
      <c r="G69" t="n">
        <v>0</v>
      </c>
      <c r="H69" t="n">
        <v>1.974118</v>
      </c>
      <c r="I69" t="n">
        <v>1.967973</v>
      </c>
      <c r="J69" t="n">
        <v>0.006145</v>
      </c>
      <c r="K69" s="4">
        <f>IFERROR(J69/I69,"")</f>
        <v/>
      </c>
      <c r="L69" s="4">
        <f>IFERROR((D69-E69)/E69,"")</f>
        <v/>
      </c>
      <c r="M69" s="19">
        <f>IFERROR(F69*G69/10000,"")</f>
        <v/>
      </c>
    </row>
    <row r="70">
      <c r="A70" t="inlineStr">
        <is>
          <t>2026-10-30</t>
        </is>
      </c>
      <c r="B70" t="inlineStr">
        <is>
          <t>159127</t>
        </is>
      </c>
      <c r="C70" t="inlineStr">
        <is>
          <t>港股通红利ETF南方</t>
        </is>
      </c>
      <c r="D70" t="n">
        <v>16134.4268</v>
      </c>
      <c r="E70" t="n">
        <v>16134.4268</v>
      </c>
      <c r="F70" t="n">
        <v>0.926</v>
      </c>
      <c r="G70" t="n">
        <v>0</v>
      </c>
      <c r="H70" t="n">
        <v>1.494048</v>
      </c>
      <c r="I70" t="n">
        <v>1.495177</v>
      </c>
      <c r="J70" t="n">
        <v>-0.001129</v>
      </c>
      <c r="K70" s="4">
        <f>IFERROR(J70/I70,"")</f>
        <v/>
      </c>
      <c r="L70" s="4">
        <f>IFERROR((D70-E70)/E70,"")</f>
        <v/>
      </c>
      <c r="M70" s="19">
        <f>IFERROR(F70*G70/10000,"")</f>
        <v/>
      </c>
    </row>
    <row r="71">
      <c r="A71" t="inlineStr">
        <is>
          <t>2026-10-30</t>
        </is>
      </c>
      <c r="B71" t="inlineStr">
        <is>
          <t>159128</t>
        </is>
      </c>
      <c r="C71" t="inlineStr">
        <is>
          <t>港股科技ETF天弘</t>
        </is>
      </c>
      <c r="D71" t="n">
        <v>188576.0841</v>
      </c>
      <c r="E71" t="n">
        <v>188576.0841</v>
      </c>
      <c r="F71" t="n">
        <v>0.6194</v>
      </c>
      <c r="G71" t="n">
        <v>0</v>
      </c>
      <c r="H71" t="n">
        <v>11.680403</v>
      </c>
      <c r="I71" t="n">
        <v>11.518227</v>
      </c>
      <c r="J71" t="n">
        <v>0.162176</v>
      </c>
      <c r="K71" s="4">
        <f>IFERROR(J71/I71,"")</f>
        <v/>
      </c>
      <c r="L71" s="4">
        <f>IFERROR((D71-E71)/E71,"")</f>
        <v/>
      </c>
      <c r="M71" s="19">
        <f>IFERROR(F71*G71/10000,"")</f>
        <v/>
      </c>
    </row>
    <row r="72">
      <c r="A72" t="inlineStr">
        <is>
          <t>2026-10-30</t>
        </is>
      </c>
      <c r="B72" t="inlineStr">
        <is>
          <t>159129</t>
        </is>
      </c>
      <c r="C72" t="inlineStr">
        <is>
          <t>化工ETF嘉实</t>
        </is>
      </c>
      <c r="D72" t="n">
        <v>108990.6595</v>
      </c>
      <c r="E72" t="n">
        <v>109490.6595</v>
      </c>
      <c r="F72" t="n">
        <v>0.9125</v>
      </c>
      <c r="G72" t="n">
        <v>-500</v>
      </c>
      <c r="H72" t="n">
        <v>9.945398000000001</v>
      </c>
      <c r="I72" t="n">
        <v>9.917664</v>
      </c>
      <c r="J72" t="n">
        <v>0.027734</v>
      </c>
      <c r="K72" s="4">
        <f>IFERROR(J72/I72,"")</f>
        <v/>
      </c>
      <c r="L72" s="4">
        <f>IFERROR((D72-E72)/E72,"")</f>
        <v/>
      </c>
      <c r="M72" s="19">
        <f>IFERROR(F72*G72/10000,"")</f>
        <v/>
      </c>
    </row>
    <row r="73">
      <c r="A73" t="inlineStr">
        <is>
          <t>2026-10-30</t>
        </is>
      </c>
      <c r="B73" t="inlineStr">
        <is>
          <t>159130</t>
        </is>
      </c>
      <c r="C73" t="inlineStr">
        <is>
          <t>恒生生物科技ETF鹏华</t>
        </is>
      </c>
      <c r="D73" t="n">
        <v>18538.9466</v>
      </c>
      <c r="E73" t="n">
        <v>18538.9466</v>
      </c>
      <c r="F73" t="n">
        <v>0.8643</v>
      </c>
      <c r="G73" t="n">
        <v>0</v>
      </c>
      <c r="H73" t="n">
        <v>1.602321</v>
      </c>
      <c r="I73" t="n">
        <v>1.571917</v>
      </c>
      <c r="J73" t="n">
        <v>0.030404</v>
      </c>
      <c r="K73" s="4">
        <f>IFERROR(J73/I73,"")</f>
        <v/>
      </c>
      <c r="L73" s="4">
        <f>IFERROR((D73-E73)/E73,"")</f>
        <v/>
      </c>
      <c r="M73" s="19">
        <f>IFERROR(F73*G73/10000,"")</f>
        <v/>
      </c>
    </row>
    <row r="74">
      <c r="A74" t="inlineStr">
        <is>
          <t>2026-10-30</t>
        </is>
      </c>
      <c r="B74" t="inlineStr">
        <is>
          <t>159131</t>
        </is>
      </c>
      <c r="C74" t="inlineStr">
        <is>
          <t>港股通信息技术ETF华宝</t>
        </is>
      </c>
      <c r="D74" t="n">
        <v>176191.9902</v>
      </c>
      <c r="E74" t="n">
        <v>179191.9902</v>
      </c>
      <c r="F74" t="n">
        <v>0.7906</v>
      </c>
      <c r="G74" t="n">
        <v>-3000</v>
      </c>
      <c r="H74" t="n">
        <v>13.929739</v>
      </c>
      <c r="I74" t="n">
        <v>13.641886</v>
      </c>
      <c r="J74" t="n">
        <v>0.287853</v>
      </c>
      <c r="K74" s="4">
        <f>IFERROR(J74/I74,"")</f>
        <v/>
      </c>
      <c r="L74" s="4">
        <f>IFERROR((D74-E74)/E74,"")</f>
        <v/>
      </c>
      <c r="M74" s="19">
        <f>IFERROR(F74*G74/10000,"")</f>
        <v/>
      </c>
    </row>
    <row r="75">
      <c r="A75" t="inlineStr">
        <is>
          <t>2026-10-30</t>
        </is>
      </c>
      <c r="B75" t="inlineStr">
        <is>
          <t>159132</t>
        </is>
      </c>
      <c r="C75" t="inlineStr">
        <is>
          <t>恒生生物科技ETF富国</t>
        </is>
      </c>
      <c r="D75" t="n">
        <v>14596.3558</v>
      </c>
      <c r="E75" t="n">
        <v>14896.3558</v>
      </c>
      <c r="F75" t="n">
        <v>0.8902</v>
      </c>
      <c r="G75" t="n">
        <v>-300</v>
      </c>
      <c r="H75" t="n">
        <v>1.299368</v>
      </c>
      <c r="I75" t="n">
        <v>1.30075</v>
      </c>
      <c r="J75" t="n">
        <v>-0.001382</v>
      </c>
      <c r="K75" s="4">
        <f>IFERROR(J75/I75,"")</f>
        <v/>
      </c>
      <c r="L75" s="4">
        <f>IFERROR((D75-E75)/E75,"")</f>
        <v/>
      </c>
      <c r="M75" s="19">
        <f>IFERROR(F75*G75/10000,"")</f>
        <v/>
      </c>
    </row>
    <row r="76">
      <c r="A76" t="inlineStr">
        <is>
          <t>2026-10-30</t>
        </is>
      </c>
      <c r="B76" t="inlineStr">
        <is>
          <t>159133</t>
        </is>
      </c>
      <c r="C76" t="inlineStr">
        <is>
          <t>化工ETF天弘</t>
        </is>
      </c>
      <c r="D76" t="n">
        <v>150891.3345</v>
      </c>
      <c r="E76" t="n">
        <v>151991.3345</v>
      </c>
      <c r="F76" t="n">
        <v>0.9350000000000001</v>
      </c>
      <c r="G76" t="n">
        <v>-1100</v>
      </c>
      <c r="H76" t="n">
        <v>14.10834</v>
      </c>
      <c r="I76" t="n">
        <v>14.104796</v>
      </c>
      <c r="J76" t="n">
        <v>0.003544</v>
      </c>
      <c r="K76" s="4">
        <f>IFERROR(J76/I76,"")</f>
        <v/>
      </c>
      <c r="L76" s="4">
        <f>IFERROR((D76-E76)/E76,"")</f>
        <v/>
      </c>
      <c r="M76" s="19">
        <f>IFERROR(F76*G76/10000,"")</f>
        <v/>
      </c>
    </row>
    <row r="77">
      <c r="A77" t="inlineStr">
        <is>
          <t>2026-10-30</t>
        </is>
      </c>
      <c r="B77" t="inlineStr">
        <is>
          <t>159135</t>
        </is>
      </c>
      <c r="C77" t="inlineStr">
        <is>
          <t>港股通科技ETF前海开源</t>
        </is>
      </c>
      <c r="D77" t="n">
        <v>61946.6376</v>
      </c>
      <c r="E77" t="n">
        <v>62096.6376</v>
      </c>
      <c r="F77" t="n">
        <v>0.6573</v>
      </c>
      <c r="G77" t="n">
        <v>-150</v>
      </c>
      <c r="H77" t="n">
        <v>4.071752</v>
      </c>
      <c r="I77" t="n">
        <v>4.010822</v>
      </c>
      <c r="J77" t="n">
        <v>0.06093</v>
      </c>
      <c r="K77" s="4">
        <f>IFERROR(J77/I77,"")</f>
        <v/>
      </c>
      <c r="L77" s="4">
        <f>IFERROR((D77-E77)/E77,"")</f>
        <v/>
      </c>
      <c r="M77" s="19">
        <f>IFERROR(F77*G77/10000,"")</f>
        <v/>
      </c>
    </row>
    <row r="78">
      <c r="A78" t="inlineStr">
        <is>
          <t>2026-10-30</t>
        </is>
      </c>
      <c r="B78" t="inlineStr">
        <is>
          <t>159136</t>
        </is>
      </c>
      <c r="C78" t="inlineStr">
        <is>
          <t>A50ETF广发</t>
        </is>
      </c>
      <c r="D78" t="n">
        <v>10941.4074</v>
      </c>
      <c r="E78" t="n">
        <v>10941.4074</v>
      </c>
      <c r="F78" t="n">
        <v>0.9136</v>
      </c>
      <c r="G78" t="n">
        <v>0</v>
      </c>
      <c r="H78" t="n">
        <v>0.999607</v>
      </c>
      <c r="I78" t="n">
        <v>0.994136</v>
      </c>
      <c r="J78" t="n">
        <v>0.005471</v>
      </c>
      <c r="K78" s="4">
        <f>IFERROR(J78/I78,"")</f>
        <v/>
      </c>
      <c r="L78" s="4">
        <f>IFERROR((D78-E78)/E78,"")</f>
        <v/>
      </c>
      <c r="M78" s="19">
        <f>IFERROR(F78*G78/10000,"")</f>
        <v/>
      </c>
    </row>
    <row r="79">
      <c r="A79" t="inlineStr">
        <is>
          <t>2026-10-30</t>
        </is>
      </c>
      <c r="B79" t="inlineStr">
        <is>
          <t>159137</t>
        </is>
      </c>
      <c r="C79" t="inlineStr">
        <is>
          <t>港股通医疗ETF华宝</t>
        </is>
      </c>
      <c r="D79" t="n">
        <v>12463.2607</v>
      </c>
      <c r="E79" t="n">
        <v>12563.2607</v>
      </c>
      <c r="F79" t="n">
        <v>0.9231</v>
      </c>
      <c r="G79" t="n">
        <v>-100</v>
      </c>
      <c r="H79" t="n">
        <v>1.150484</v>
      </c>
      <c r="I79" t="n">
        <v>1.136347</v>
      </c>
      <c r="J79" t="n">
        <v>0.014137</v>
      </c>
      <c r="K79" s="4">
        <f>IFERROR(J79/I79,"")</f>
        <v/>
      </c>
      <c r="L79" s="4">
        <f>IFERROR((D79-E79)/E79,"")</f>
        <v/>
      </c>
      <c r="M79" s="19">
        <f>IFERROR(F79*G79/10000,"")</f>
        <v/>
      </c>
    </row>
    <row r="80">
      <c r="A80" t="inlineStr">
        <is>
          <t>2026-10-30</t>
        </is>
      </c>
      <c r="B80" t="inlineStr">
        <is>
          <t>159138</t>
        </is>
      </c>
      <c r="C80" t="inlineStr">
        <is>
          <t>工程机械ETF易方达</t>
        </is>
      </c>
      <c r="D80" t="n">
        <v>28826.7924</v>
      </c>
      <c r="E80" t="n">
        <v>28876.7924</v>
      </c>
      <c r="F80" t="n">
        <v>0.8116</v>
      </c>
      <c r="G80" t="n">
        <v>-50</v>
      </c>
      <c r="H80" t="n">
        <v>2.339582</v>
      </c>
      <c r="I80" t="n">
        <v>2.310432</v>
      </c>
      <c r="J80" t="n">
        <v>0.02915</v>
      </c>
      <c r="K80" s="4">
        <f>IFERROR(J80/I80,"")</f>
        <v/>
      </c>
      <c r="L80" s="4">
        <f>IFERROR((D80-E80)/E80,"")</f>
        <v/>
      </c>
      <c r="M80" s="19">
        <f>IFERROR(F80*G80/10000,"")</f>
        <v/>
      </c>
    </row>
    <row r="81">
      <c r="A81" t="inlineStr">
        <is>
          <t>2026-10-30</t>
        </is>
      </c>
      <c r="B81" t="inlineStr">
        <is>
          <t>159139</t>
        </is>
      </c>
      <c r="C81" t="inlineStr">
        <is>
          <t>科创创业人工智能ETF华泰柏瑞</t>
        </is>
      </c>
      <c r="D81" t="n">
        <v>21210.921</v>
      </c>
      <c r="E81" t="n">
        <v>21210.921</v>
      </c>
      <c r="F81" t="n">
        <v>1.051</v>
      </c>
      <c r="G81" t="n">
        <v>0</v>
      </c>
      <c r="H81" t="n">
        <v>2.229268</v>
      </c>
      <c r="I81" t="n">
        <v>2.148454</v>
      </c>
      <c r="J81" t="n">
        <v>0.080814</v>
      </c>
      <c r="K81" s="4">
        <f>IFERROR(J81/I81,"")</f>
        <v/>
      </c>
      <c r="L81" s="4">
        <f>IFERROR((D81-E81)/E81,"")</f>
        <v/>
      </c>
      <c r="M81" s="19">
        <f>IFERROR(F81*G81/10000,"")</f>
        <v/>
      </c>
    </row>
    <row r="82">
      <c r="A82" t="inlineStr">
        <is>
          <t>2026-10-30</t>
        </is>
      </c>
      <c r="B82" t="inlineStr">
        <is>
          <t>159140</t>
        </is>
      </c>
      <c r="C82" t="inlineStr">
        <is>
          <t>科创创业人工智能ETF易方达</t>
        </is>
      </c>
      <c r="D82" t="n">
        <v>55193.6834</v>
      </c>
      <c r="E82" t="n">
        <v>52993.6834</v>
      </c>
      <c r="F82" t="n">
        <v>1.0536</v>
      </c>
      <c r="G82" t="n">
        <v>2200</v>
      </c>
      <c r="H82" t="n">
        <v>5.815206</v>
      </c>
      <c r="I82" t="n">
        <v>5.378859</v>
      </c>
      <c r="J82" t="n">
        <v>0.436347</v>
      </c>
      <c r="K82" s="4">
        <f>IFERROR(J82/I82,"")</f>
        <v/>
      </c>
      <c r="L82" s="4">
        <f>IFERROR((D82-E82)/E82,"")</f>
        <v/>
      </c>
      <c r="M82" s="19">
        <f>IFERROR(F82*G82/10000,"")</f>
        <v/>
      </c>
    </row>
    <row r="83">
      <c r="A83" t="inlineStr">
        <is>
          <t>2026-10-30</t>
        </is>
      </c>
      <c r="B83" t="inlineStr">
        <is>
          <t>159141</t>
        </is>
      </c>
      <c r="C83" t="inlineStr">
        <is>
          <t>科创创业人工智能ETF永赢</t>
        </is>
      </c>
      <c r="D83" t="n">
        <v>157106.073</v>
      </c>
      <c r="E83" t="n">
        <v>155506.073</v>
      </c>
      <c r="F83" t="n">
        <v>0.9749</v>
      </c>
      <c r="G83" t="n">
        <v>1600</v>
      </c>
      <c r="H83" t="n">
        <v>15.316271</v>
      </c>
      <c r="I83" t="n">
        <v>14.60202</v>
      </c>
      <c r="J83" t="n">
        <v>0.714251</v>
      </c>
      <c r="K83" s="4">
        <f>IFERROR(J83/I83,"")</f>
        <v/>
      </c>
      <c r="L83" s="4">
        <f>IFERROR((D83-E83)/E83,"")</f>
        <v/>
      </c>
      <c r="M83" s="19">
        <f>IFERROR(F83*G83/10000,"")</f>
        <v/>
      </c>
    </row>
    <row r="84">
      <c r="A84" t="inlineStr">
        <is>
          <t>2026-10-30</t>
        </is>
      </c>
      <c r="B84" t="inlineStr">
        <is>
          <t>159142</t>
        </is>
      </c>
      <c r="C84" t="inlineStr">
        <is>
          <t>科创创业人工智能ETF景顺</t>
        </is>
      </c>
      <c r="D84" t="n">
        <v>122926.0142</v>
      </c>
      <c r="E84" t="n">
        <v>121726.0142</v>
      </c>
      <c r="F84" t="n">
        <v>1.0021</v>
      </c>
      <c r="G84" t="n">
        <v>1200</v>
      </c>
      <c r="H84" t="n">
        <v>12.318416</v>
      </c>
      <c r="I84" t="n">
        <v>11.752647</v>
      </c>
      <c r="J84" t="n">
        <v>0.565769</v>
      </c>
      <c r="K84" s="4">
        <f>IFERROR(J84/I84,"")</f>
        <v/>
      </c>
      <c r="L84" s="4">
        <f>IFERROR((D84-E84)/E84,"")</f>
        <v/>
      </c>
      <c r="M84" s="19">
        <f>IFERROR(F84*G84/10000,"")</f>
        <v/>
      </c>
    </row>
    <row r="85">
      <c r="A85" t="inlineStr">
        <is>
          <t>2026-10-30</t>
        </is>
      </c>
      <c r="B85" t="inlineStr">
        <is>
          <t>159143</t>
        </is>
      </c>
      <c r="C85" t="inlineStr">
        <is>
          <t>港股通央企红利ETF平安</t>
        </is>
      </c>
      <c r="D85" t="n">
        <v>3955.4456</v>
      </c>
      <c r="E85" t="n">
        <v>3955.4456</v>
      </c>
      <c r="F85" t="n">
        <v>0.952</v>
      </c>
      <c r="G85" t="n">
        <v>0</v>
      </c>
      <c r="H85" t="n">
        <v>0.376558</v>
      </c>
      <c r="I85" t="n">
        <v>0.37557</v>
      </c>
      <c r="J85" t="n">
        <v>0.0009879999999999999</v>
      </c>
      <c r="K85" s="4">
        <f>IFERROR(J85/I85,"")</f>
        <v/>
      </c>
      <c r="L85" s="4">
        <f>IFERROR((D85-E85)/E85,"")</f>
        <v/>
      </c>
      <c r="M85" s="19">
        <f>IFERROR(F85*G85/10000,"")</f>
        <v/>
      </c>
    </row>
    <row r="86">
      <c r="A86" t="inlineStr">
        <is>
          <t>2026-10-30</t>
        </is>
      </c>
      <c r="B86" t="inlineStr">
        <is>
          <t>159145</t>
        </is>
      </c>
      <c r="C86" t="inlineStr">
        <is>
          <t>工业软件ETF广发</t>
        </is>
      </c>
      <c r="D86" t="n">
        <v>8858.184499999999</v>
      </c>
      <c r="E86" t="n">
        <v>9058.184499999999</v>
      </c>
      <c r="F86" t="n">
        <v>0.7746</v>
      </c>
      <c r="G86" t="n">
        <v>-200</v>
      </c>
      <c r="H86" t="n">
        <v>0.686155</v>
      </c>
      <c r="I86" t="n">
        <v>0.690505</v>
      </c>
      <c r="J86" t="n">
        <v>-0.00435</v>
      </c>
      <c r="K86" s="4">
        <f>IFERROR(J86/I86,"")</f>
        <v/>
      </c>
      <c r="L86" s="4">
        <f>IFERROR((D86-E86)/E86,"")</f>
        <v/>
      </c>
      <c r="M86" s="19">
        <f>IFERROR(F86*G86/10000,"")</f>
        <v/>
      </c>
    </row>
    <row r="87">
      <c r="A87" t="inlineStr">
        <is>
          <t>2026-10-30</t>
        </is>
      </c>
      <c r="B87" t="inlineStr">
        <is>
          <t>159146</t>
        </is>
      </c>
      <c r="C87" t="inlineStr">
        <is>
          <t>电力ETF华宝</t>
        </is>
      </c>
      <c r="D87" t="n">
        <v>67194.0849</v>
      </c>
      <c r="E87" t="n">
        <v>67494.0849</v>
      </c>
      <c r="F87" t="n">
        <v>0.9923999999999999</v>
      </c>
      <c r="G87" t="n">
        <v>-300</v>
      </c>
      <c r="H87" t="n">
        <v>6.668341</v>
      </c>
      <c r="I87" t="n">
        <v>6.663016</v>
      </c>
      <c r="J87" t="n">
        <v>0.005325</v>
      </c>
      <c r="K87" s="4">
        <f>IFERROR(J87/I87,"")</f>
        <v/>
      </c>
      <c r="L87" s="4">
        <f>IFERROR((D87-E87)/E87,"")</f>
        <v/>
      </c>
      <c r="M87" s="19">
        <f>IFERROR(F87*G87/10000,"")</f>
        <v/>
      </c>
    </row>
    <row r="88">
      <c r="A88" t="inlineStr">
        <is>
          <t>2026-10-30</t>
        </is>
      </c>
      <c r="B88" t="inlineStr">
        <is>
          <t>159147</t>
        </is>
      </c>
      <c r="C88" t="inlineStr">
        <is>
          <t>电池ETF南方</t>
        </is>
      </c>
      <c r="D88" t="n">
        <v>216540.9552</v>
      </c>
      <c r="E88" t="n">
        <v>217290.9552</v>
      </c>
      <c r="F88" t="n">
        <v>0.6721</v>
      </c>
      <c r="G88" t="n">
        <v>-750</v>
      </c>
      <c r="H88" t="n">
        <v>14.553718</v>
      </c>
      <c r="I88" t="n">
        <v>14.380315</v>
      </c>
      <c r="J88" t="n">
        <v>0.173403</v>
      </c>
      <c r="K88" s="4">
        <f>IFERROR(J88/I88,"")</f>
        <v/>
      </c>
      <c r="L88" s="4">
        <f>IFERROR((D88-E88)/E88,"")</f>
        <v/>
      </c>
      <c r="M88" s="19">
        <f>IFERROR(F88*G88/10000,"")</f>
        <v/>
      </c>
    </row>
    <row r="89">
      <c r="A89" t="inlineStr">
        <is>
          <t>2026-10-30</t>
        </is>
      </c>
      <c r="B89" t="inlineStr">
        <is>
          <t>159148</t>
        </is>
      </c>
      <c r="C89" t="inlineStr">
        <is>
          <t>石油ETF富国</t>
        </is>
      </c>
      <c r="D89" t="n">
        <v>21546.6601</v>
      </c>
      <c r="E89" t="n">
        <v>21446.6601</v>
      </c>
      <c r="F89" t="n">
        <v>0.9731</v>
      </c>
      <c r="G89" t="n">
        <v>100</v>
      </c>
      <c r="H89" t="n">
        <v>2.096705</v>
      </c>
      <c r="I89" t="n">
        <v>2.075179</v>
      </c>
      <c r="J89" t="n">
        <v>0.021526</v>
      </c>
      <c r="K89" s="4">
        <f>IFERROR(J89/I89,"")</f>
        <v/>
      </c>
      <c r="L89" s="4">
        <f>IFERROR((D89-E89)/E89,"")</f>
        <v/>
      </c>
      <c r="M89" s="19">
        <f>IFERROR(F89*G89/10000,"")</f>
        <v/>
      </c>
    </row>
    <row r="90">
      <c r="A90" t="inlineStr">
        <is>
          <t>2026-10-30</t>
        </is>
      </c>
      <c r="B90" t="inlineStr">
        <is>
          <t>159149</t>
        </is>
      </c>
      <c r="C90" t="inlineStr">
        <is>
          <t>创业板新能源ETF工银</t>
        </is>
      </c>
      <c r="D90" t="n">
        <v>6351.5298</v>
      </c>
      <c r="E90" t="n">
        <v>6551.5298</v>
      </c>
      <c r="F90" t="n">
        <v>0.6636</v>
      </c>
      <c r="G90" t="n">
        <v>-200</v>
      </c>
      <c r="H90" t="n">
        <v>0.421488</v>
      </c>
      <c r="I90" t="n">
        <v>0.426767</v>
      </c>
      <c r="J90" t="n">
        <v>-0.005279</v>
      </c>
      <c r="K90" s="4">
        <f>IFERROR(J90/I90,"")</f>
        <v/>
      </c>
      <c r="L90" s="4">
        <f>IFERROR((D90-E90)/E90,"")</f>
        <v/>
      </c>
      <c r="M90" s="19">
        <f>IFERROR(F90*G90/10000,"")</f>
        <v/>
      </c>
    </row>
    <row r="91">
      <c r="A91" t="inlineStr">
        <is>
          <t>2026-10-30</t>
        </is>
      </c>
      <c r="B91" t="inlineStr">
        <is>
          <t>159150</t>
        </is>
      </c>
      <c r="C91" t="inlineStr">
        <is>
          <t>深证50ETF易方达</t>
        </is>
      </c>
      <c r="D91" t="n">
        <v>10599.7623</v>
      </c>
      <c r="E91" t="n">
        <v>10499.7623</v>
      </c>
      <c r="F91" t="n">
        <v>1.328</v>
      </c>
      <c r="G91" t="n">
        <v>100</v>
      </c>
      <c r="H91" t="n">
        <v>1.407648</v>
      </c>
      <c r="I91" t="n">
        <v>1.368014</v>
      </c>
      <c r="J91" t="n">
        <v>0.039634</v>
      </c>
      <c r="K91" s="4">
        <f>IFERROR(J91/I91,"")</f>
        <v/>
      </c>
      <c r="L91" s="4">
        <f>IFERROR((D91-E91)/E91,"")</f>
        <v/>
      </c>
      <c r="M91" s="19">
        <f>IFERROR(F91*G91/10000,"")</f>
        <v/>
      </c>
    </row>
    <row r="92">
      <c r="A92" t="inlineStr">
        <is>
          <t>2026-10-30</t>
        </is>
      </c>
      <c r="B92" t="inlineStr">
        <is>
          <t>159151</t>
        </is>
      </c>
      <c r="C92" t="inlineStr">
        <is>
          <t>食品ETF华夏</t>
        </is>
      </c>
      <c r="D92" t="n">
        <v>18345.1063</v>
      </c>
      <c r="E92" t="n">
        <v>18345.1063</v>
      </c>
      <c r="F92" t="n">
        <v>0.8874</v>
      </c>
      <c r="G92" t="n">
        <v>0</v>
      </c>
      <c r="H92" t="n">
        <v>1.627945</v>
      </c>
      <c r="I92" t="n">
        <v>1.63033</v>
      </c>
      <c r="J92" t="n">
        <v>-0.002385</v>
      </c>
      <c r="K92" s="4">
        <f>IFERROR(J92/I92,"")</f>
        <v/>
      </c>
      <c r="L92" s="4">
        <f>IFERROR((D92-E92)/E92,"")</f>
        <v/>
      </c>
      <c r="M92" s="19">
        <f>IFERROR(F92*G92/10000,"")</f>
        <v/>
      </c>
    </row>
    <row r="93">
      <c r="A93" t="inlineStr">
        <is>
          <t>2026-10-30</t>
        </is>
      </c>
      <c r="B93" t="inlineStr">
        <is>
          <t>159152</t>
        </is>
      </c>
      <c r="C93" t="inlineStr">
        <is>
          <t>港股通科技ETF平安</t>
        </is>
      </c>
      <c r="D93" t="n">
        <v>84555.6093</v>
      </c>
      <c r="E93" t="n">
        <v>84055.6093</v>
      </c>
      <c r="F93" t="n">
        <v>0.6455</v>
      </c>
      <c r="G93" t="n">
        <v>500</v>
      </c>
      <c r="H93" t="n">
        <v>5.458065</v>
      </c>
      <c r="I93" t="n">
        <v>5.337531</v>
      </c>
      <c r="J93" t="n">
        <v>0.120534</v>
      </c>
      <c r="K93" s="4">
        <f>IFERROR(J93/I93,"")</f>
        <v/>
      </c>
      <c r="L93" s="4">
        <f>IFERROR((D93-E93)/E93,"")</f>
        <v/>
      </c>
      <c r="M93" s="19">
        <f>IFERROR(F93*G93/10000,"")</f>
        <v/>
      </c>
    </row>
    <row r="94">
      <c r="A94" t="inlineStr">
        <is>
          <t>2026-10-30</t>
        </is>
      </c>
      <c r="B94" t="inlineStr">
        <is>
          <t>159153</t>
        </is>
      </c>
      <c r="C94" t="inlineStr">
        <is>
          <t>消费电子ETF鹏华</t>
        </is>
      </c>
      <c r="D94" t="n">
        <v>9722.5988</v>
      </c>
      <c r="E94" t="n">
        <v>9272.5988</v>
      </c>
      <c r="F94" t="n">
        <v>0.9517</v>
      </c>
      <c r="G94" t="n">
        <v>450</v>
      </c>
      <c r="H94" t="n">
        <v>0.9253</v>
      </c>
      <c r="I94" t="n">
        <v>0.850854</v>
      </c>
      <c r="J94" t="n">
        <v>0.074446</v>
      </c>
      <c r="K94" s="4">
        <f>IFERROR(J94/I94,"")</f>
        <v/>
      </c>
      <c r="L94" s="4">
        <f>IFERROR((D94-E94)/E94,"")</f>
        <v/>
      </c>
      <c r="M94" s="19">
        <f>IFERROR(F94*G94/10000,"")</f>
        <v/>
      </c>
    </row>
    <row r="95">
      <c r="A95" t="inlineStr">
        <is>
          <t>2026-10-30</t>
        </is>
      </c>
      <c r="B95" t="inlineStr">
        <is>
          <t>159155</t>
        </is>
      </c>
      <c r="C95" t="inlineStr">
        <is>
          <t>电池ETF大成</t>
        </is>
      </c>
      <c r="D95" t="n">
        <v>49151.3298</v>
      </c>
      <c r="E95" t="n">
        <v>49351.3298</v>
      </c>
      <c r="F95" t="n">
        <v>0.6752</v>
      </c>
      <c r="G95" t="n">
        <v>-200</v>
      </c>
      <c r="H95" t="n">
        <v>3.318698</v>
      </c>
      <c r="I95" t="n">
        <v>3.281863</v>
      </c>
      <c r="J95" t="n">
        <v>0.036835</v>
      </c>
      <c r="K95" s="4">
        <f>IFERROR(J95/I95,"")</f>
        <v/>
      </c>
      <c r="L95" s="4">
        <f>IFERROR((D95-E95)/E95,"")</f>
        <v/>
      </c>
      <c r="M95" s="19">
        <f>IFERROR(F95*G95/10000,"")</f>
        <v/>
      </c>
    </row>
    <row r="96">
      <c r="A96" t="inlineStr">
        <is>
          <t>2026-10-30</t>
        </is>
      </c>
      <c r="B96" t="inlineStr">
        <is>
          <t>159156</t>
        </is>
      </c>
      <c r="C96" t="inlineStr">
        <is>
          <t>电池ETF万家</t>
        </is>
      </c>
      <c r="D96" t="n">
        <v>21446.1253</v>
      </c>
      <c r="E96" t="n">
        <v>21646.1253</v>
      </c>
      <c r="F96" t="n">
        <v>0.7007</v>
      </c>
      <c r="G96" t="n">
        <v>-200</v>
      </c>
      <c r="H96" t="n">
        <v>1.50273</v>
      </c>
      <c r="I96" t="n">
        <v>1.49986</v>
      </c>
      <c r="J96" t="n">
        <v>0.00287</v>
      </c>
      <c r="K96" s="4">
        <f>IFERROR(J96/I96,"")</f>
        <v/>
      </c>
      <c r="L96" s="4">
        <f>IFERROR((D96-E96)/E96,"")</f>
        <v/>
      </c>
      <c r="M96" s="19">
        <f>IFERROR(F96*G96/10000,"")</f>
        <v/>
      </c>
    </row>
    <row r="97">
      <c r="A97" t="inlineStr">
        <is>
          <t>2026-10-30</t>
        </is>
      </c>
      <c r="B97" t="inlineStr">
        <is>
          <t>159157</t>
        </is>
      </c>
      <c r="C97" t="inlineStr">
        <is>
          <t>有色金属ETF天弘</t>
        </is>
      </c>
      <c r="D97" t="n">
        <v>792275.876</v>
      </c>
      <c r="E97" t="n">
        <v>794275.876</v>
      </c>
      <c r="F97" t="n">
        <v>0.6863</v>
      </c>
      <c r="G97" t="n">
        <v>-2000</v>
      </c>
      <c r="H97" t="n">
        <v>54.373893</v>
      </c>
      <c r="I97" t="n">
        <v>54.455554</v>
      </c>
      <c r="J97" t="n">
        <v>-0.081661</v>
      </c>
      <c r="K97" s="4">
        <f>IFERROR(J97/I97,"")</f>
        <v/>
      </c>
      <c r="L97" s="4">
        <f>IFERROR((D97-E97)/E97,"")</f>
        <v/>
      </c>
      <c r="M97" s="19">
        <f>IFERROR(F97*G97/10000,"")</f>
        <v/>
      </c>
    </row>
    <row r="98">
      <c r="A98" t="inlineStr">
        <is>
          <t>2026-10-30</t>
        </is>
      </c>
      <c r="B98" t="inlineStr">
        <is>
          <t>159158</t>
        </is>
      </c>
      <c r="C98" t="inlineStr">
        <is>
          <t>电力ETF景顺</t>
        </is>
      </c>
      <c r="D98" t="n">
        <v>63803.5344</v>
      </c>
      <c r="E98" t="n">
        <v>64003.5344</v>
      </c>
      <c r="F98" t="n">
        <v>0.9837</v>
      </c>
      <c r="G98" t="n">
        <v>-200</v>
      </c>
      <c r="H98" t="n">
        <v>6.276354</v>
      </c>
      <c r="I98" t="n">
        <v>6.262746</v>
      </c>
      <c r="J98" t="n">
        <v>0.013608</v>
      </c>
      <c r="K98" s="4">
        <f>IFERROR(J98/I98,"")</f>
        <v/>
      </c>
      <c r="L98" s="4">
        <f>IFERROR((D98-E98)/E98,"")</f>
        <v/>
      </c>
      <c r="M98" s="19">
        <f>IFERROR(F98*G98/10000,"")</f>
        <v/>
      </c>
    </row>
    <row r="99">
      <c r="A99" t="inlineStr">
        <is>
          <t>2026-10-30</t>
        </is>
      </c>
      <c r="B99" t="inlineStr">
        <is>
          <t>159159</t>
        </is>
      </c>
      <c r="C99" t="inlineStr">
        <is>
          <t>公用事业ETF国投瑞银</t>
        </is>
      </c>
      <c r="D99" t="n">
        <v>10581.8582</v>
      </c>
      <c r="E99" t="n">
        <v>10581.8582</v>
      </c>
      <c r="F99" t="n">
        <v>1.008</v>
      </c>
      <c r="G99" t="n">
        <v>0</v>
      </c>
      <c r="H99" t="n">
        <v>1.066651</v>
      </c>
      <c r="I99" t="n">
        <v>1.061995</v>
      </c>
      <c r="J99" t="n">
        <v>0.004656</v>
      </c>
      <c r="K99" s="4">
        <f>IFERROR(J99/I99,"")</f>
        <v/>
      </c>
      <c r="L99" s="4">
        <f>IFERROR((D99-E99)/E99,"")</f>
        <v/>
      </c>
      <c r="M99" s="19">
        <f>IFERROR(F99*G99/10000,"")</f>
        <v/>
      </c>
    </row>
    <row r="100">
      <c r="A100" t="inlineStr">
        <is>
          <t>2026-10-30</t>
        </is>
      </c>
      <c r="B100" t="inlineStr">
        <is>
          <t>159160</t>
        </is>
      </c>
      <c r="C100" t="inlineStr">
        <is>
          <t>电池ETF东财</t>
        </is>
      </c>
      <c r="D100" t="n">
        <v>33981.9254</v>
      </c>
      <c r="E100" t="n">
        <v>33981.9254</v>
      </c>
      <c r="F100" t="n">
        <v>0.6605</v>
      </c>
      <c r="G100" t="n">
        <v>0</v>
      </c>
      <c r="H100" t="n">
        <v>2.244506</v>
      </c>
      <c r="I100" t="n">
        <v>2.210864</v>
      </c>
      <c r="J100" t="n">
        <v>0.033642</v>
      </c>
      <c r="K100" s="4">
        <f>IFERROR(J100/I100,"")</f>
        <v/>
      </c>
      <c r="L100" s="4">
        <f>IFERROR((D100-E100)/E100,"")</f>
        <v/>
      </c>
      <c r="M100" s="19">
        <f>IFERROR(F100*G100/10000,"")</f>
        <v/>
      </c>
    </row>
    <row r="101">
      <c r="A101" t="inlineStr">
        <is>
          <t>2026-10-30</t>
        </is>
      </c>
      <c r="B101" t="inlineStr">
        <is>
          <t>159162</t>
        </is>
      </c>
      <c r="C101" t="inlineStr">
        <is>
          <t>工业有色ETF鹏华</t>
        </is>
      </c>
      <c r="D101" t="n">
        <v>43793.9837</v>
      </c>
      <c r="E101" t="n">
        <v>43793.9837</v>
      </c>
      <c r="F101" t="n">
        <v>0.6865</v>
      </c>
      <c r="G101" t="n">
        <v>0</v>
      </c>
      <c r="H101" t="n">
        <v>3.006457</v>
      </c>
      <c r="I101" t="n">
        <v>3.002953</v>
      </c>
      <c r="J101" t="n">
        <v>0.003504</v>
      </c>
      <c r="K101" s="4">
        <f>IFERROR(J101/I101,"")</f>
        <v/>
      </c>
      <c r="L101" s="4">
        <f>IFERROR((D101-E101)/E101,"")</f>
        <v/>
      </c>
      <c r="M101" s="19">
        <f>IFERROR(F101*G101/10000,"")</f>
        <v/>
      </c>
    </row>
    <row r="102">
      <c r="A102" t="inlineStr">
        <is>
          <t>2026-10-30</t>
        </is>
      </c>
      <c r="B102" t="inlineStr">
        <is>
          <t>159163</t>
        </is>
      </c>
      <c r="C102" t="inlineStr">
        <is>
          <t>有色ETF泰康</t>
        </is>
      </c>
      <c r="D102" t="n">
        <v>27780.7013</v>
      </c>
      <c r="E102" t="n">
        <v>27780.7013</v>
      </c>
      <c r="F102" t="n">
        <v>0.6091</v>
      </c>
      <c r="G102" t="n">
        <v>0</v>
      </c>
      <c r="H102" t="n">
        <v>1.692123</v>
      </c>
      <c r="I102" t="n">
        <v>1.690456</v>
      </c>
      <c r="J102" t="n">
        <v>0.001667</v>
      </c>
      <c r="K102" s="4">
        <f>IFERROR(J102/I102,"")</f>
        <v/>
      </c>
      <c r="L102" s="4">
        <f>IFERROR((D102-E102)/E102,"")</f>
        <v/>
      </c>
      <c r="M102" s="19">
        <f>IFERROR(F102*G102/10000,"")</f>
        <v/>
      </c>
    </row>
    <row r="103">
      <c r="A103" t="inlineStr">
        <is>
          <t>2026-10-30</t>
        </is>
      </c>
      <c r="B103" t="inlineStr">
        <is>
          <t>159165</t>
        </is>
      </c>
      <c r="C103" t="inlineStr">
        <is>
          <t>养殖ETF永赢</t>
        </is>
      </c>
      <c r="D103" t="n">
        <v>9757.125700000001</v>
      </c>
      <c r="E103" t="n">
        <v>9757.125700000001</v>
      </c>
      <c r="F103" t="n">
        <v>0.8421</v>
      </c>
      <c r="G103" t="n">
        <v>0</v>
      </c>
      <c r="H103" t="n">
        <v>0.821648</v>
      </c>
      <c r="I103" t="n">
        <v>0.8292580000000001</v>
      </c>
      <c r="J103" t="n">
        <v>-0.00761</v>
      </c>
      <c r="K103" s="4">
        <f>IFERROR(J103/I103,"")</f>
        <v/>
      </c>
      <c r="L103" s="4">
        <f>IFERROR((D103-E103)/E103,"")</f>
        <v/>
      </c>
      <c r="M103" s="19">
        <f>IFERROR(F103*G103/10000,"")</f>
        <v/>
      </c>
    </row>
    <row r="104">
      <c r="A104" t="inlineStr">
        <is>
          <t>2026-10-30</t>
        </is>
      </c>
      <c r="B104" t="inlineStr">
        <is>
          <t>159166</t>
        </is>
      </c>
      <c r="C104" t="inlineStr">
        <is>
          <t>现金流ETF长城</t>
        </is>
      </c>
      <c r="D104" t="n">
        <v>53381.6059</v>
      </c>
      <c r="E104" t="n">
        <v>53481.6059</v>
      </c>
      <c r="F104" t="n">
        <v>0.8449</v>
      </c>
      <c r="G104" t="n">
        <v>-100</v>
      </c>
      <c r="H104" t="n">
        <v>4.510212</v>
      </c>
      <c r="I104" t="n">
        <v>4.525079</v>
      </c>
      <c r="J104" t="n">
        <v>-0.014867</v>
      </c>
      <c r="K104" s="4">
        <f>IFERROR(J104/I104,"")</f>
        <v/>
      </c>
      <c r="L104" s="4">
        <f>IFERROR((D104-E104)/E104,"")</f>
        <v/>
      </c>
      <c r="M104" s="19">
        <f>IFERROR(F104*G104/10000,"")</f>
        <v/>
      </c>
    </row>
    <row r="105">
      <c r="A105" t="inlineStr">
        <is>
          <t>2026-10-30</t>
        </is>
      </c>
      <c r="B105" t="inlineStr">
        <is>
          <t>159167</t>
        </is>
      </c>
      <c r="C105" t="inlineStr">
        <is>
          <t>港股通医疗ETF工银</t>
        </is>
      </c>
      <c r="D105" t="n">
        <v>11954.9164</v>
      </c>
      <c r="E105" t="n">
        <v>11954.9164</v>
      </c>
      <c r="F105" t="n">
        <v>0.9116</v>
      </c>
      <c r="G105" t="n">
        <v>0</v>
      </c>
      <c r="H105" t="n">
        <v>1.08981</v>
      </c>
      <c r="I105" t="n">
        <v>1.067813</v>
      </c>
      <c r="J105" t="n">
        <v>0.021997</v>
      </c>
      <c r="K105" s="4">
        <f>IFERROR(J105/I105,"")</f>
        <v/>
      </c>
      <c r="L105" s="4">
        <f>IFERROR((D105-E105)/E105,"")</f>
        <v/>
      </c>
      <c r="M105" s="19">
        <f>IFERROR(F105*G105/10000,"")</f>
        <v/>
      </c>
    </row>
    <row r="106">
      <c r="A106" t="inlineStr">
        <is>
          <t>2026-10-30</t>
        </is>
      </c>
      <c r="B106" t="inlineStr">
        <is>
          <t>159168</t>
        </is>
      </c>
      <c r="C106" t="inlineStr">
        <is>
          <t>有色ETF富国</t>
        </is>
      </c>
      <c r="D106" t="n">
        <v>51245.506</v>
      </c>
      <c r="E106" t="n">
        <v>51445.506</v>
      </c>
      <c r="F106" t="n">
        <v>0.7145</v>
      </c>
      <c r="G106" t="n">
        <v>-200</v>
      </c>
      <c r="H106" t="n">
        <v>3.661491</v>
      </c>
      <c r="I106" t="n">
        <v>3.67218</v>
      </c>
      <c r="J106" t="n">
        <v>-0.010689</v>
      </c>
      <c r="K106" s="4">
        <f>IFERROR(J106/I106,"")</f>
        <v/>
      </c>
      <c r="L106" s="4">
        <f>IFERROR((D106-E106)/E106,"")</f>
        <v/>
      </c>
      <c r="M106" s="19">
        <f>IFERROR(F106*G106/10000,"")</f>
        <v/>
      </c>
    </row>
    <row r="107">
      <c r="A107" t="inlineStr">
        <is>
          <t>2026-10-30</t>
        </is>
      </c>
      <c r="B107" t="inlineStr">
        <is>
          <t>159169</t>
        </is>
      </c>
      <c r="C107" t="inlineStr">
        <is>
          <t>恒生生物科技ETF广发</t>
        </is>
      </c>
      <c r="D107" t="n">
        <v>10887.4485</v>
      </c>
      <c r="E107" t="n">
        <v>10887.4485</v>
      </c>
      <c r="F107" t="n">
        <v>0.9153</v>
      </c>
      <c r="G107" t="n">
        <v>0</v>
      </c>
      <c r="H107" t="n">
        <v>0.996528</v>
      </c>
      <c r="I107" t="n">
        <v>0.977584</v>
      </c>
      <c r="J107" t="n">
        <v>0.018944</v>
      </c>
      <c r="K107" s="4">
        <f>IFERROR(J107/I107,"")</f>
        <v/>
      </c>
      <c r="L107" s="4">
        <f>IFERROR((D107-E107)/E107,"")</f>
        <v/>
      </c>
      <c r="M107" s="19">
        <f>IFERROR(F107*G107/10000,"")</f>
        <v/>
      </c>
    </row>
    <row r="108">
      <c r="A108" t="inlineStr">
        <is>
          <t>2026-10-30</t>
        </is>
      </c>
      <c r="B108" t="inlineStr">
        <is>
          <t>159170</t>
        </is>
      </c>
      <c r="C108" t="inlineStr">
        <is>
          <t>港股通互联网ETF永赢</t>
        </is>
      </c>
      <c r="D108" t="n">
        <v>38263.8357</v>
      </c>
      <c r="E108" t="n">
        <v>38263.8357</v>
      </c>
      <c r="F108" t="n">
        <v>0.7346</v>
      </c>
      <c r="G108" t="n">
        <v>0</v>
      </c>
      <c r="H108" t="n">
        <v>2.810861</v>
      </c>
      <c r="I108" t="n">
        <v>2.781781</v>
      </c>
      <c r="J108" t="n">
        <v>0.02908</v>
      </c>
      <c r="K108" s="4">
        <f>IFERROR(J108/I108,"")</f>
        <v/>
      </c>
      <c r="L108" s="4">
        <f>IFERROR((D108-E108)/E108,"")</f>
        <v/>
      </c>
      <c r="M108" s="19">
        <f>IFERROR(F108*G108/10000,"")</f>
        <v/>
      </c>
    </row>
    <row r="109">
      <c r="A109" t="inlineStr">
        <is>
          <t>2026-10-30</t>
        </is>
      </c>
      <c r="B109" t="inlineStr">
        <is>
          <t>159171</t>
        </is>
      </c>
      <c r="C109" t="inlineStr">
        <is>
          <t>工业有色ETF博时</t>
        </is>
      </c>
      <c r="D109" t="n">
        <v>21953.2934</v>
      </c>
      <c r="E109" t="n">
        <v>21953.2934</v>
      </c>
      <c r="F109" t="n">
        <v>0.6584</v>
      </c>
      <c r="G109" t="n">
        <v>0</v>
      </c>
      <c r="H109" t="n">
        <v>1.445405</v>
      </c>
      <c r="I109" t="n">
        <v>1.444088</v>
      </c>
      <c r="J109" t="n">
        <v>0.001317</v>
      </c>
      <c r="K109" s="4">
        <f>IFERROR(J109/I109,"")</f>
        <v/>
      </c>
      <c r="L109" s="4">
        <f>IFERROR((D109-E109)/E109,"")</f>
        <v/>
      </c>
      <c r="M109" s="19">
        <f>IFERROR(F109*G109/10000,"")</f>
        <v/>
      </c>
    </row>
    <row r="110">
      <c r="A110" t="inlineStr">
        <is>
          <t>2026-10-30</t>
        </is>
      </c>
      <c r="B110" t="inlineStr">
        <is>
          <t>159172</t>
        </is>
      </c>
      <c r="C110" t="inlineStr">
        <is>
          <t>养殖ETF汇添富</t>
        </is>
      </c>
      <c r="D110" t="n">
        <v>36682.9293</v>
      </c>
      <c r="E110" t="n">
        <v>36682.9293</v>
      </c>
      <c r="F110" t="n">
        <v>0.8131</v>
      </c>
      <c r="G110" t="n">
        <v>0</v>
      </c>
      <c r="H110" t="n">
        <v>2.982689</v>
      </c>
      <c r="I110" t="n">
        <v>3.010201</v>
      </c>
      <c r="J110" t="n">
        <v>-0.027512</v>
      </c>
      <c r="K110" s="4">
        <f>IFERROR(J110/I110,"")</f>
        <v/>
      </c>
      <c r="L110" s="4">
        <f>IFERROR((D110-E110)/E110,"")</f>
        <v/>
      </c>
      <c r="M110" s="19">
        <f>IFERROR(F110*G110/10000,"")</f>
        <v/>
      </c>
    </row>
    <row r="111">
      <c r="A111" t="inlineStr">
        <is>
          <t>2026-10-30</t>
        </is>
      </c>
      <c r="B111" t="inlineStr">
        <is>
          <t>159173</t>
        </is>
      </c>
      <c r="C111" t="inlineStr">
        <is>
          <t>农牧ETF南方</t>
        </is>
      </c>
      <c r="D111" t="n">
        <v>4845.5388</v>
      </c>
      <c r="E111" t="n">
        <v>4845.5388</v>
      </c>
      <c r="F111" t="n">
        <v>0.8561</v>
      </c>
      <c r="G111" t="n">
        <v>0</v>
      </c>
      <c r="H111" t="n">
        <v>0.414827</v>
      </c>
      <c r="I111" t="n">
        <v>0.418364</v>
      </c>
      <c r="J111" t="n">
        <v>-0.003537</v>
      </c>
      <c r="K111" s="4">
        <f>IFERROR(J111/I111,"")</f>
        <v/>
      </c>
      <c r="L111" s="4">
        <f>IFERROR((D111-E111)/E111,"")</f>
        <v/>
      </c>
      <c r="M111" s="19">
        <f>IFERROR(F111*G111/10000,"")</f>
        <v/>
      </c>
    </row>
    <row r="112">
      <c r="A112" t="inlineStr">
        <is>
          <t>2026-10-30</t>
        </is>
      </c>
      <c r="B112" t="inlineStr">
        <is>
          <t>159175</t>
        </is>
      </c>
      <c r="C112" t="inlineStr">
        <is>
          <t>电池ETF易方达</t>
        </is>
      </c>
      <c r="D112" t="n">
        <v>52227.0382</v>
      </c>
      <c r="E112" t="n">
        <v>52627.0382</v>
      </c>
      <c r="F112" t="n">
        <v>0.7181999999999999</v>
      </c>
      <c r="G112" t="n">
        <v>-400</v>
      </c>
      <c r="H112" t="n">
        <v>3.750946</v>
      </c>
      <c r="I112" t="n">
        <v>3.722837</v>
      </c>
      <c r="J112" t="n">
        <v>0.028109</v>
      </c>
      <c r="K112" s="4">
        <f>IFERROR(J112/I112,"")</f>
        <v/>
      </c>
      <c r="L112" s="4">
        <f>IFERROR((D112-E112)/E112,"")</f>
        <v/>
      </c>
      <c r="M112" s="19">
        <f>IFERROR(F112*G112/10000,"")</f>
        <v/>
      </c>
    </row>
    <row r="113">
      <c r="A113" t="inlineStr">
        <is>
          <t>2026-10-30</t>
        </is>
      </c>
      <c r="B113" t="inlineStr">
        <is>
          <t>159176</t>
        </is>
      </c>
      <c r="C113" t="inlineStr">
        <is>
          <t>家电ETF华宝</t>
        </is>
      </c>
      <c r="D113" t="n">
        <v>2730.3341</v>
      </c>
      <c r="E113" t="n">
        <v>2730.3341</v>
      </c>
      <c r="F113" t="n">
        <v>0.9318</v>
      </c>
      <c r="G113" t="n">
        <v>0</v>
      </c>
      <c r="H113" t="n">
        <v>0.254413</v>
      </c>
      <c r="I113" t="n">
        <v>0.249907</v>
      </c>
      <c r="J113" t="n">
        <v>0.004506</v>
      </c>
      <c r="K113" s="4">
        <f>IFERROR(J113/I113,"")</f>
        <v/>
      </c>
      <c r="L113" s="4">
        <f>IFERROR((D113-E113)/E113,"")</f>
        <v/>
      </c>
      <c r="M113" s="19">
        <f>IFERROR(F113*G113/10000,"")</f>
        <v/>
      </c>
    </row>
    <row r="114">
      <c r="A114" t="inlineStr">
        <is>
          <t>2026-10-30</t>
        </is>
      </c>
      <c r="B114" t="inlineStr">
        <is>
          <t>159177</t>
        </is>
      </c>
      <c r="C114" t="inlineStr">
        <is>
          <t>工程机械ETF鹏华</t>
        </is>
      </c>
      <c r="D114" t="n">
        <v>4261.9279</v>
      </c>
      <c r="E114" t="n">
        <v>4261.9279</v>
      </c>
      <c r="F114" t="n">
        <v>0.8366</v>
      </c>
      <c r="G114" t="n">
        <v>0</v>
      </c>
      <c r="H114" t="n">
        <v>0.356553</v>
      </c>
      <c r="I114" t="n">
        <v>0.351566</v>
      </c>
      <c r="J114" t="n">
        <v>0.004987</v>
      </c>
      <c r="K114" s="4">
        <f>IFERROR(J114/I114,"")</f>
        <v/>
      </c>
      <c r="L114" s="4">
        <f>IFERROR((D114-E114)/E114,"")</f>
        <v/>
      </c>
      <c r="M114" s="19">
        <f>IFERROR(F114*G114/10000,"")</f>
        <v/>
      </c>
    </row>
    <row r="115">
      <c r="A115" t="inlineStr">
        <is>
          <t>2026-10-30</t>
        </is>
      </c>
      <c r="B115" t="inlineStr">
        <is>
          <t>159178</t>
        </is>
      </c>
      <c r="C115" t="inlineStr">
        <is>
          <t>消费电子ETF汇添富</t>
        </is>
      </c>
      <c r="D115" t="n">
        <v>9643.2994</v>
      </c>
      <c r="E115" t="n">
        <v>9643.2994</v>
      </c>
      <c r="F115" t="n">
        <v>0.8322000000000001</v>
      </c>
      <c r="G115" t="n">
        <v>0</v>
      </c>
      <c r="H115" t="n">
        <v>0.802515</v>
      </c>
      <c r="I115" t="n">
        <v>0.773585</v>
      </c>
      <c r="J115" t="n">
        <v>0.02893</v>
      </c>
      <c r="K115" s="4">
        <f>IFERROR(J115/I115,"")</f>
        <v/>
      </c>
      <c r="L115" s="4">
        <f>IFERROR((D115-E115)/E115,"")</f>
        <v/>
      </c>
      <c r="M115" s="19">
        <f>IFERROR(F115*G115/10000,"")</f>
        <v/>
      </c>
    </row>
    <row r="116">
      <c r="A116" t="inlineStr">
        <is>
          <t>2026-10-30</t>
        </is>
      </c>
      <c r="B116" t="inlineStr">
        <is>
          <t>159179</t>
        </is>
      </c>
      <c r="C116" t="inlineStr">
        <is>
          <t>港股通互联网ETF工银</t>
        </is>
      </c>
      <c r="D116" t="n">
        <v>10290.3568</v>
      </c>
      <c r="E116" t="n">
        <v>10290.3568</v>
      </c>
      <c r="F116" t="n">
        <v>0.7278</v>
      </c>
      <c r="G116" t="n">
        <v>0</v>
      </c>
      <c r="H116" t="n">
        <v>0.748932</v>
      </c>
      <c r="I116" t="n">
        <v>0.745125</v>
      </c>
      <c r="J116" t="n">
        <v>0.003807</v>
      </c>
      <c r="K116" s="4">
        <f>IFERROR(J116/I116,"")</f>
        <v/>
      </c>
      <c r="L116" s="4">
        <f>IFERROR((D116-E116)/E116,"")</f>
        <v/>
      </c>
      <c r="M116" s="19">
        <f>IFERROR(F116*G116/10000,"")</f>
        <v/>
      </c>
    </row>
    <row r="117">
      <c r="A117" t="inlineStr">
        <is>
          <t>2026-10-30</t>
        </is>
      </c>
      <c r="B117" t="inlineStr">
        <is>
          <t>159180</t>
        </is>
      </c>
      <c r="C117" t="inlineStr">
        <is>
          <t>软件ETF银华</t>
        </is>
      </c>
      <c r="D117" t="n">
        <v>4215.5926</v>
      </c>
      <c r="E117" t="n">
        <v>4215.5926</v>
      </c>
      <c r="F117" t="n">
        <v>0.9473</v>
      </c>
      <c r="G117" t="n">
        <v>0</v>
      </c>
      <c r="H117" t="n">
        <v>0.399343</v>
      </c>
      <c r="I117" t="n">
        <v>0.39302</v>
      </c>
      <c r="J117" t="n">
        <v>0.006323</v>
      </c>
      <c r="K117" s="4">
        <f>IFERROR(J117/I117,"")</f>
        <v/>
      </c>
      <c r="L117" s="4">
        <f>IFERROR((D117-E117)/E117,"")</f>
        <v/>
      </c>
      <c r="M117" s="19">
        <f>IFERROR(F117*G117/10000,"")</f>
        <v/>
      </c>
    </row>
    <row r="118">
      <c r="A118" t="inlineStr">
        <is>
          <t>2026-10-30</t>
        </is>
      </c>
      <c r="B118" t="inlineStr">
        <is>
          <t>159181</t>
        </is>
      </c>
      <c r="C118" t="inlineStr">
        <is>
          <t>石油ETF易方达</t>
        </is>
      </c>
      <c r="D118" t="n">
        <v>9240.5335</v>
      </c>
      <c r="E118" t="n">
        <v>9240.5335</v>
      </c>
      <c r="F118" t="n">
        <v>0.8737</v>
      </c>
      <c r="G118" t="n">
        <v>0</v>
      </c>
      <c r="H118" t="n">
        <v>0.807345</v>
      </c>
      <c r="I118" t="n">
        <v>0.802725</v>
      </c>
      <c r="J118" t="n">
        <v>0.00462</v>
      </c>
      <c r="K118" s="4">
        <f>IFERROR(J118/I118,"")</f>
        <v/>
      </c>
      <c r="L118" s="4">
        <f>IFERROR((D118-E118)/E118,"")</f>
        <v/>
      </c>
      <c r="M118" s="19">
        <f>IFERROR(F118*G118/10000,"")</f>
        <v/>
      </c>
    </row>
    <row r="119">
      <c r="A119" t="inlineStr">
        <is>
          <t>2026-10-30</t>
        </is>
      </c>
      <c r="B119" t="inlineStr">
        <is>
          <t>159182</t>
        </is>
      </c>
      <c r="C119" t="inlineStr">
        <is>
          <t>家电ETF南方</t>
        </is>
      </c>
      <c r="D119" t="n">
        <v>3648.5663</v>
      </c>
      <c r="E119" t="n">
        <v>3648.5663</v>
      </c>
      <c r="F119" t="n">
        <v>0.871</v>
      </c>
      <c r="G119" t="n">
        <v>0</v>
      </c>
      <c r="H119" t="n">
        <v>0.31779</v>
      </c>
      <c r="I119" t="n">
        <v>0.311989</v>
      </c>
      <c r="J119" t="n">
        <v>0.005801</v>
      </c>
      <c r="K119" s="4">
        <f>IFERROR(J119/I119,"")</f>
        <v/>
      </c>
      <c r="L119" s="4">
        <f>IFERROR((D119-E119)/E119,"")</f>
        <v/>
      </c>
      <c r="M119" s="19">
        <f>IFERROR(F119*G119/10000,"")</f>
        <v/>
      </c>
    </row>
    <row r="120">
      <c r="A120" t="inlineStr">
        <is>
          <t>2026-10-30</t>
        </is>
      </c>
      <c r="B120" t="inlineStr">
        <is>
          <t>159183</t>
        </is>
      </c>
      <c r="C120" t="inlineStr">
        <is>
          <t>新能源车ETF招商</t>
        </is>
      </c>
      <c r="D120" t="n">
        <v>5238.7793</v>
      </c>
      <c r="E120" t="n">
        <v>5438.7793</v>
      </c>
      <c r="F120" t="n">
        <v>0.7008</v>
      </c>
      <c r="G120" t="n">
        <v>-200</v>
      </c>
      <c r="H120" t="n">
        <v>0.367134</v>
      </c>
      <c r="I120" t="n">
        <v>0.37533</v>
      </c>
      <c r="J120" t="n">
        <v>-0.008196</v>
      </c>
      <c r="K120" s="4">
        <f>IFERROR(J120/I120,"")</f>
        <v/>
      </c>
      <c r="L120" s="4">
        <f>IFERROR((D120-E120)/E120,"")</f>
        <v/>
      </c>
      <c r="M120" s="19">
        <f>IFERROR(F120*G120/10000,"")</f>
        <v/>
      </c>
    </row>
    <row r="121">
      <c r="A121" t="inlineStr">
        <is>
          <t>2026-10-30</t>
        </is>
      </c>
      <c r="B121" t="inlineStr">
        <is>
          <t>159185</t>
        </is>
      </c>
      <c r="C121" t="inlineStr">
        <is>
          <t>港股通信息技术ETF鹏华</t>
        </is>
      </c>
      <c r="D121" t="n">
        <v>18109.9035</v>
      </c>
      <c r="E121" t="n">
        <v>18109.9035</v>
      </c>
      <c r="F121" t="n">
        <v>0.8992</v>
      </c>
      <c r="G121" t="n">
        <v>0</v>
      </c>
      <c r="H121" t="n">
        <v>1.628443</v>
      </c>
      <c r="I121" t="n">
        <v>1.568137</v>
      </c>
      <c r="J121" t="n">
        <v>0.060306</v>
      </c>
      <c r="K121" s="4">
        <f>IFERROR(J121/I121,"")</f>
        <v/>
      </c>
      <c r="L121" s="4">
        <f>IFERROR((D121-E121)/E121,"")</f>
        <v/>
      </c>
      <c r="M121" s="19">
        <f>IFERROR(F121*G121/10000,"")</f>
        <v/>
      </c>
    </row>
    <row r="122">
      <c r="A122" t="inlineStr">
        <is>
          <t>2026-10-30</t>
        </is>
      </c>
      <c r="B122" t="inlineStr">
        <is>
          <t>159186</t>
        </is>
      </c>
      <c r="C122" t="inlineStr">
        <is>
          <t>港股通汽车ETF鹏华</t>
        </is>
      </c>
      <c r="D122" t="n">
        <v>9086.924499999999</v>
      </c>
      <c r="E122" t="n">
        <v>9186.924499999999</v>
      </c>
      <c r="F122" t="n">
        <v>0.6112</v>
      </c>
      <c r="G122" t="n">
        <v>-100</v>
      </c>
      <c r="H122" t="n">
        <v>0.555393</v>
      </c>
      <c r="I122" t="n">
        <v>0.548459</v>
      </c>
      <c r="J122" t="n">
        <v>0.006934</v>
      </c>
      <c r="K122" s="4">
        <f>IFERROR(J122/I122,"")</f>
        <v/>
      </c>
      <c r="L122" s="4">
        <f>IFERROR((D122-E122)/E122,"")</f>
        <v/>
      </c>
      <c r="M122" s="19">
        <f>IFERROR(F122*G122/10000,"")</f>
        <v/>
      </c>
    </row>
    <row r="123">
      <c r="A123" t="inlineStr">
        <is>
          <t>2026-10-30</t>
        </is>
      </c>
      <c r="B123" t="inlineStr">
        <is>
          <t>159187</t>
        </is>
      </c>
      <c r="C123" t="inlineStr">
        <is>
          <t>创业板新能源ETF景顺</t>
        </is>
      </c>
      <c r="D123" t="n">
        <v>6917.6266</v>
      </c>
      <c r="E123" t="n">
        <v>6917.6266</v>
      </c>
      <c r="F123" t="n">
        <v>0.6595</v>
      </c>
      <c r="G123" t="n">
        <v>0</v>
      </c>
      <c r="H123" t="n">
        <v>0.456217</v>
      </c>
      <c r="I123" t="n">
        <v>0.447916</v>
      </c>
      <c r="J123" t="n">
        <v>0.008300999999999999</v>
      </c>
      <c r="K123" s="4">
        <f>IFERROR(J123/I123,"")</f>
        <v/>
      </c>
      <c r="L123" s="4">
        <f>IFERROR((D123-E123)/E123,"")</f>
        <v/>
      </c>
      <c r="M123" s="19">
        <f>IFERROR(F123*G123/10000,"")</f>
        <v/>
      </c>
    </row>
    <row r="124">
      <c r="A124" t="inlineStr">
        <is>
          <t>2026-10-30</t>
        </is>
      </c>
      <c r="B124" t="inlineStr">
        <is>
          <t>159188</t>
        </is>
      </c>
      <c r="C124" t="inlineStr">
        <is>
          <t>红利100ETF景顺</t>
        </is>
      </c>
      <c r="D124" t="n">
        <v>6560.1882</v>
      </c>
      <c r="E124" t="n">
        <v>6560.1882</v>
      </c>
      <c r="F124" t="n">
        <v>0.9372</v>
      </c>
      <c r="G124" t="n">
        <v>0</v>
      </c>
      <c r="H124" t="n">
        <v>0.614821</v>
      </c>
      <c r="I124" t="n">
        <v>0.612066</v>
      </c>
      <c r="J124" t="n">
        <v>0.002755</v>
      </c>
      <c r="K124" s="4">
        <f>IFERROR(J124/I124,"")</f>
        <v/>
      </c>
      <c r="L124" s="4">
        <f>IFERROR((D124-E124)/E124,"")</f>
        <v/>
      </c>
      <c r="M124" s="19">
        <f>IFERROR(F124*G124/10000,"")</f>
        <v/>
      </c>
    </row>
    <row r="125">
      <c r="A125" t="inlineStr">
        <is>
          <t>2026-10-30</t>
        </is>
      </c>
      <c r="B125" t="inlineStr">
        <is>
          <t>159189</t>
        </is>
      </c>
      <c r="C125" t="inlineStr">
        <is>
          <t>石油ETF华夏</t>
        </is>
      </c>
      <c r="D125" t="n">
        <v>10908.3187</v>
      </c>
      <c r="E125" t="n">
        <v>10908.3187</v>
      </c>
      <c r="F125" t="n">
        <v>0.8777</v>
      </c>
      <c r="G125" t="n">
        <v>0</v>
      </c>
      <c r="H125" t="n">
        <v>0.957423</v>
      </c>
      <c r="I125" t="n">
        <v>0.952078</v>
      </c>
      <c r="J125" t="n">
        <v>0.005345</v>
      </c>
      <c r="K125" s="4">
        <f>IFERROR(J125/I125,"")</f>
        <v/>
      </c>
      <c r="L125" s="4">
        <f>IFERROR((D125-E125)/E125,"")</f>
        <v/>
      </c>
      <c r="M125" s="19">
        <f>IFERROR(F125*G125/10000,"")</f>
        <v/>
      </c>
    </row>
    <row r="126">
      <c r="A126" t="inlineStr">
        <is>
          <t>2026-10-30</t>
        </is>
      </c>
      <c r="B126" t="inlineStr">
        <is>
          <t>159190</t>
        </is>
      </c>
      <c r="C126" t="inlineStr">
        <is>
          <t>创业板新能源ETF天弘</t>
        </is>
      </c>
      <c r="D126" t="n">
        <v>6606.9299</v>
      </c>
      <c r="E126" t="n">
        <v>6806.9299</v>
      </c>
      <c r="F126" t="n">
        <v>0.6586</v>
      </c>
      <c r="G126" t="n">
        <v>-200</v>
      </c>
      <c r="H126" t="n">
        <v>0.435132</v>
      </c>
      <c r="I126" t="n">
        <v>0.440204</v>
      </c>
      <c r="J126" t="n">
        <v>-0.005072</v>
      </c>
      <c r="K126" s="4">
        <f>IFERROR(J126/I126,"")</f>
        <v/>
      </c>
      <c r="L126" s="4">
        <f>IFERROR((D126-E126)/E126,"")</f>
        <v/>
      </c>
      <c r="M126" s="19">
        <f>IFERROR(F126*G126/10000,"")</f>
        <v/>
      </c>
    </row>
    <row r="127">
      <c r="A127" t="inlineStr">
        <is>
          <t>2026-10-30</t>
        </is>
      </c>
      <c r="B127" t="inlineStr">
        <is>
          <t>159191</t>
        </is>
      </c>
      <c r="C127" t="inlineStr">
        <is>
          <t>港股通科技ETF易方达</t>
        </is>
      </c>
      <c r="D127" t="n">
        <v>7010.4851</v>
      </c>
      <c r="E127" t="n">
        <v>7010.4851</v>
      </c>
      <c r="F127" t="n">
        <v>0.786</v>
      </c>
      <c r="G127" t="n">
        <v>0</v>
      </c>
      <c r="H127" t="n">
        <v>0.551024</v>
      </c>
      <c r="I127" t="n">
        <v>0.543523</v>
      </c>
      <c r="J127" t="n">
        <v>0.007501</v>
      </c>
      <c r="K127" s="4">
        <f>IFERROR(J127/I127,"")</f>
        <v/>
      </c>
      <c r="L127" s="4">
        <f>IFERROR((D127-E127)/E127,"")</f>
        <v/>
      </c>
      <c r="M127" s="19">
        <f>IFERROR(F127*G127/10000,"")</f>
        <v/>
      </c>
    </row>
    <row r="128">
      <c r="A128" t="inlineStr">
        <is>
          <t>2026-10-30</t>
        </is>
      </c>
      <c r="B128" t="inlineStr">
        <is>
          <t>159192</t>
        </is>
      </c>
      <c r="C128" t="inlineStr">
        <is>
          <t>家电ETF汇添富</t>
        </is>
      </c>
      <c r="D128" t="n">
        <v>1798.7065</v>
      </c>
      <c r="E128" t="n">
        <v>1898.7065</v>
      </c>
      <c r="F128" t="n">
        <v>0.8818</v>
      </c>
      <c r="G128" t="n">
        <v>-100</v>
      </c>
      <c r="H128" t="n">
        <v>0.15861</v>
      </c>
      <c r="I128" t="n">
        <v>0.164542</v>
      </c>
      <c r="J128" t="n">
        <v>-0.005932</v>
      </c>
      <c r="K128" s="4">
        <f>IFERROR(J128/I128,"")</f>
        <v/>
      </c>
      <c r="L128" s="4">
        <f>IFERROR((D128-E128)/E128,"")</f>
        <v/>
      </c>
      <c r="M128" s="19">
        <f>IFERROR(F128*G128/10000,"")</f>
        <v/>
      </c>
    </row>
    <row r="129">
      <c r="A129" t="inlineStr">
        <is>
          <t>2026-10-30</t>
        </is>
      </c>
      <c r="B129" t="inlineStr">
        <is>
          <t>159193</t>
        </is>
      </c>
      <c r="C129" t="inlineStr">
        <is>
          <t>储能电池ETF银华</t>
        </is>
      </c>
      <c r="D129" t="n">
        <v>25808.0335</v>
      </c>
      <c r="E129" t="n">
        <v>25808.0335</v>
      </c>
      <c r="F129" t="n">
        <v>0.6254</v>
      </c>
      <c r="G129" t="n">
        <v>0</v>
      </c>
      <c r="H129" t="n">
        <v>1.614034</v>
      </c>
      <c r="I129" t="n">
        <v>1.586678</v>
      </c>
      <c r="J129" t="n">
        <v>0.027356</v>
      </c>
      <c r="K129" s="4">
        <f>IFERROR(J129/I129,"")</f>
        <v/>
      </c>
      <c r="L129" s="4">
        <f>IFERROR((D129-E129)/E129,"")</f>
        <v/>
      </c>
      <c r="M129" s="19">
        <f>IFERROR(F129*G129/10000,"")</f>
        <v/>
      </c>
    </row>
    <row r="130">
      <c r="A130" t="inlineStr">
        <is>
          <t>2026-10-30</t>
        </is>
      </c>
      <c r="B130" t="inlineStr">
        <is>
          <t>159195</t>
        </is>
      </c>
      <c r="C130" t="inlineStr">
        <is>
          <t>石油ETF华安</t>
        </is>
      </c>
      <c r="D130" t="n">
        <v>7249.0164</v>
      </c>
      <c r="E130" t="n">
        <v>7249.0164</v>
      </c>
      <c r="F130" t="n">
        <v>0.8908</v>
      </c>
      <c r="G130" t="n">
        <v>0</v>
      </c>
      <c r="H130" t="n">
        <v>0.645742</v>
      </c>
      <c r="I130" t="n">
        <v>0.642118</v>
      </c>
      <c r="J130" t="n">
        <v>0.003624</v>
      </c>
      <c r="K130" s="4">
        <f>IFERROR(J130/I130,"")</f>
        <v/>
      </c>
      <c r="L130" s="4">
        <f>IFERROR((D130-E130)/E130,"")</f>
        <v/>
      </c>
      <c r="M130" s="19">
        <f>IFERROR(F130*G130/10000,"")</f>
        <v/>
      </c>
    </row>
    <row r="131">
      <c r="A131" t="inlineStr">
        <is>
          <t>2026-10-30</t>
        </is>
      </c>
      <c r="B131" t="inlineStr">
        <is>
          <t>159196</t>
        </is>
      </c>
      <c r="C131" t="inlineStr">
        <is>
          <t>港股通信息技术ETF易方达</t>
        </is>
      </c>
      <c r="D131" t="n">
        <v>20353.0324</v>
      </c>
      <c r="E131" t="n">
        <v>20353.0324</v>
      </c>
      <c r="F131" t="n">
        <v>1.0058</v>
      </c>
      <c r="G131" t="n">
        <v>0</v>
      </c>
      <c r="H131" t="n">
        <v>2.047108</v>
      </c>
      <c r="I131" t="n">
        <v>1.970784</v>
      </c>
      <c r="J131" t="n">
        <v>0.076324</v>
      </c>
      <c r="K131" s="4">
        <f>IFERROR(J131/I131,"")</f>
        <v/>
      </c>
      <c r="L131" s="4">
        <f>IFERROR((D131-E131)/E131,"")</f>
        <v/>
      </c>
      <c r="M131" s="19">
        <f>IFERROR(F131*G131/10000,"")</f>
        <v/>
      </c>
    </row>
    <row r="132">
      <c r="A132" t="inlineStr">
        <is>
          <t>2026-10-30</t>
        </is>
      </c>
      <c r="B132" t="inlineStr">
        <is>
          <t>159197</t>
        </is>
      </c>
      <c r="C132" t="inlineStr">
        <is>
          <t>石油ETF招商</t>
        </is>
      </c>
      <c r="D132" t="n">
        <v>3638.829</v>
      </c>
      <c r="E132" t="n">
        <v>4038.829</v>
      </c>
      <c r="F132" t="n">
        <v>0.8902</v>
      </c>
      <c r="G132" t="n">
        <v>-400</v>
      </c>
      <c r="H132" t="n">
        <v>0.323929</v>
      </c>
      <c r="I132" t="n">
        <v>0.357517</v>
      </c>
      <c r="J132" t="n">
        <v>-0.033588</v>
      </c>
      <c r="K132" s="4">
        <f>IFERROR(J132/I132,"")</f>
        <v/>
      </c>
      <c r="L132" s="4">
        <f>IFERROR((D132-E132)/E132,"")</f>
        <v/>
      </c>
      <c r="M132" s="19">
        <f>IFERROR(F132*G132/10000,"")</f>
        <v/>
      </c>
    </row>
    <row r="133">
      <c r="A133" t="inlineStr">
        <is>
          <t>2026-10-30</t>
        </is>
      </c>
      <c r="B133" t="inlineStr">
        <is>
          <t>159198</t>
        </is>
      </c>
      <c r="C133" t="inlineStr">
        <is>
          <t>港股通信息技术ETF富国</t>
        </is>
      </c>
      <c r="D133" t="n">
        <v>8834.4347</v>
      </c>
      <c r="E133" t="n">
        <v>8834.4347</v>
      </c>
      <c r="F133" t="n">
        <v>1.0096</v>
      </c>
      <c r="G133" t="n">
        <v>0</v>
      </c>
      <c r="H133" t="n">
        <v>0.891925</v>
      </c>
      <c r="I133" t="n">
        <v>0.858619</v>
      </c>
      <c r="J133" t="n">
        <v>0.033306</v>
      </c>
      <c r="K133" s="4">
        <f>IFERROR(J133/I133,"")</f>
        <v/>
      </c>
      <c r="L133" s="4">
        <f>IFERROR((D133-E133)/E133,"")</f>
        <v/>
      </c>
      <c r="M133" s="19">
        <f>IFERROR(F133*G133/10000,"")</f>
        <v/>
      </c>
    </row>
    <row r="134">
      <c r="A134" t="inlineStr">
        <is>
          <t>2026-10-30</t>
        </is>
      </c>
      <c r="B134" t="inlineStr">
        <is>
          <t>159199</t>
        </is>
      </c>
      <c r="C134" t="inlineStr">
        <is>
          <t>石油ETF平安</t>
        </is>
      </c>
      <c r="D134" t="n">
        <v>6115.4938</v>
      </c>
      <c r="E134" t="n">
        <v>6115.4938</v>
      </c>
      <c r="F134" t="n">
        <v>0.8868</v>
      </c>
      <c r="G134" t="n">
        <v>0</v>
      </c>
      <c r="H134" t="n">
        <v>0.542322</v>
      </c>
      <c r="I134" t="n">
        <v>0.539264</v>
      </c>
      <c r="J134" t="n">
        <v>0.003058</v>
      </c>
      <c r="K134" s="4">
        <f>IFERROR(J134/I134,"")</f>
        <v/>
      </c>
      <c r="L134" s="4">
        <f>IFERROR((D134-E134)/E134,"")</f>
        <v/>
      </c>
      <c r="M134" s="19">
        <f>IFERROR(F134*G134/10000,"")</f>
        <v/>
      </c>
    </row>
    <row r="135">
      <c r="A135" t="inlineStr">
        <is>
          <t>2026-10-30</t>
        </is>
      </c>
      <c r="B135" t="inlineStr">
        <is>
          <t>159200</t>
        </is>
      </c>
      <c r="C135" t="inlineStr">
        <is>
          <t>科创债ETF富国</t>
        </is>
      </c>
      <c r="D135" t="n">
        <v>20767.2633</v>
      </c>
      <c r="E135" t="n">
        <v>20747.2633</v>
      </c>
      <c r="F135" t="n">
        <v>102.9122</v>
      </c>
      <c r="G135" t="n">
        <v>20</v>
      </c>
      <c r="H135" t="n">
        <v>213.720475</v>
      </c>
      <c r="I135" t="n">
        <v>213.513406</v>
      </c>
      <c r="J135" t="n">
        <v>0.207069</v>
      </c>
      <c r="K135" s="4">
        <f>IFERROR(J135/I135,"")</f>
        <v/>
      </c>
      <c r="L135" s="4">
        <f>IFERROR((D135-E135)/E135,"")</f>
        <v/>
      </c>
      <c r="M135" s="19">
        <f>IFERROR(F135*G135/10000,"")</f>
        <v/>
      </c>
    </row>
    <row r="136">
      <c r="A136" t="inlineStr">
        <is>
          <t>2026-10-30</t>
        </is>
      </c>
      <c r="B136" t="inlineStr">
        <is>
          <t>159201</t>
        </is>
      </c>
      <c r="C136" t="inlineStr">
        <is>
          <t>自由现金流ETF华夏</t>
        </is>
      </c>
      <c r="D136" t="n">
        <v>1207927.5939</v>
      </c>
      <c r="E136" t="n">
        <v>1210627.5939</v>
      </c>
      <c r="F136" t="n">
        <v>1.1583</v>
      </c>
      <c r="G136" t="n">
        <v>-2700</v>
      </c>
      <c r="H136" t="n">
        <v>139.914253</v>
      </c>
      <c r="I136" t="n">
        <v>140.432801</v>
      </c>
      <c r="J136" t="n">
        <v>-0.518548</v>
      </c>
      <c r="K136" s="4">
        <f>IFERROR(J136/I136,"")</f>
        <v/>
      </c>
      <c r="L136" s="4">
        <f>IFERROR((D136-E136)/E136,"")</f>
        <v/>
      </c>
      <c r="M136" s="19">
        <f>IFERROR(F136*G136/10000,"")</f>
        <v/>
      </c>
    </row>
    <row r="137">
      <c r="A137" t="inlineStr">
        <is>
          <t>2026-10-30</t>
        </is>
      </c>
      <c r="B137" t="inlineStr">
        <is>
          <t>159202</t>
        </is>
      </c>
      <c r="C137" t="inlineStr">
        <is>
          <t>恒生互联网ETF万家</t>
        </is>
      </c>
      <c r="D137" t="n">
        <v>131740.19</v>
      </c>
      <c r="E137" t="n">
        <v>131740.19</v>
      </c>
      <c r="F137" t="n">
        <v>0.6844</v>
      </c>
      <c r="G137" t="n">
        <v>0</v>
      </c>
      <c r="H137" t="n">
        <v>9.016299</v>
      </c>
      <c r="I137" t="n">
        <v>8.949111</v>
      </c>
      <c r="J137" t="n">
        <v>0.067188</v>
      </c>
      <c r="K137" s="4">
        <f>IFERROR(J137/I137,"")</f>
        <v/>
      </c>
      <c r="L137" s="4">
        <f>IFERROR((D137-E137)/E137,"")</f>
        <v/>
      </c>
      <c r="M137" s="19">
        <f>IFERROR(F137*G137/10000,"")</f>
        <v/>
      </c>
    </row>
    <row r="138">
      <c r="A138" t="inlineStr">
        <is>
          <t>2026-10-30</t>
        </is>
      </c>
      <c r="B138" t="inlineStr">
        <is>
          <t>159203</t>
        </is>
      </c>
      <c r="C138" t="inlineStr">
        <is>
          <t>大盘成长ETF博时</t>
        </is>
      </c>
      <c r="D138" t="n">
        <v>1379.1913</v>
      </c>
      <c r="E138" t="n">
        <v>1379.1913</v>
      </c>
      <c r="F138" t="n">
        <v>1.127</v>
      </c>
      <c r="G138" t="n">
        <v>0</v>
      </c>
      <c r="H138" t="n">
        <v>0.155435</v>
      </c>
      <c r="I138" t="n">
        <v>0.152635</v>
      </c>
      <c r="J138" t="n">
        <v>0.0028</v>
      </c>
      <c r="K138" s="4">
        <f>IFERROR(J138/I138,"")</f>
        <v/>
      </c>
      <c r="L138" s="4">
        <f>IFERROR((D138-E138)/E138,"")</f>
        <v/>
      </c>
      <c r="M138" s="19">
        <f>IFERROR(F138*G138/10000,"")</f>
        <v/>
      </c>
    </row>
    <row r="139">
      <c r="A139" t="inlineStr">
        <is>
          <t>2026-10-30</t>
        </is>
      </c>
      <c r="B139" t="inlineStr">
        <is>
          <t>159205</t>
        </is>
      </c>
      <c r="C139" t="inlineStr">
        <is>
          <t>创业板ETF东财</t>
        </is>
      </c>
      <c r="D139" t="n">
        <v>155505.6064</v>
      </c>
      <c r="E139" t="n">
        <v>146105.6064</v>
      </c>
      <c r="F139" t="n">
        <v>1.2982</v>
      </c>
      <c r="G139" t="n">
        <v>9400</v>
      </c>
      <c r="H139" t="n">
        <v>20.187738</v>
      </c>
      <c r="I139" t="n">
        <v>18.34502</v>
      </c>
      <c r="J139" t="n">
        <v>1.842718</v>
      </c>
      <c r="K139" s="4">
        <f>IFERROR(J139/I139,"")</f>
        <v/>
      </c>
      <c r="L139" s="4">
        <f>IFERROR((D139-E139)/E139,"")</f>
        <v/>
      </c>
      <c r="M139" s="19">
        <f>IFERROR(F139*G139/10000,"")</f>
        <v/>
      </c>
    </row>
    <row r="140">
      <c r="A140" t="inlineStr">
        <is>
          <t>2026-10-30</t>
        </is>
      </c>
      <c r="B140" t="inlineStr">
        <is>
          <t>159206</t>
        </is>
      </c>
      <c r="C140" t="inlineStr">
        <is>
          <t>卫星ETF永赢</t>
        </is>
      </c>
      <c r="D140" t="n">
        <v>910895.3365</v>
      </c>
      <c r="E140" t="n">
        <v>878595.3365</v>
      </c>
      <c r="F140" t="n">
        <v>1.1685</v>
      </c>
      <c r="G140" t="n">
        <v>32300</v>
      </c>
      <c r="H140" t="n">
        <v>106.43812</v>
      </c>
      <c r="I140" t="n">
        <v>99.000123</v>
      </c>
      <c r="J140" t="n">
        <v>7.437997</v>
      </c>
      <c r="K140" s="4">
        <f>IFERROR(J140/I140,"")</f>
        <v/>
      </c>
      <c r="L140" s="4">
        <f>IFERROR((D140-E140)/E140,"")</f>
        <v/>
      </c>
      <c r="M140" s="19">
        <f>IFERROR(F140*G140/10000,"")</f>
        <v/>
      </c>
    </row>
    <row r="141">
      <c r="A141" t="inlineStr">
        <is>
          <t>2026-10-30</t>
        </is>
      </c>
      <c r="B141" t="inlineStr">
        <is>
          <t>159207</t>
        </is>
      </c>
      <c r="C141" t="inlineStr">
        <is>
          <t>高股息ETF广发</t>
        </is>
      </c>
      <c r="D141" t="n">
        <v>220098.3345</v>
      </c>
      <c r="E141" t="n">
        <v>219598.3345</v>
      </c>
      <c r="F141" t="n">
        <v>1.154</v>
      </c>
      <c r="G141" t="n">
        <v>500</v>
      </c>
      <c r="H141" t="n">
        <v>25.399348</v>
      </c>
      <c r="I141" t="n">
        <v>25.170361</v>
      </c>
      <c r="J141" t="n">
        <v>0.228987</v>
      </c>
      <c r="K141" s="4">
        <f>IFERROR(J141/I141,"")</f>
        <v/>
      </c>
      <c r="L141" s="4">
        <f>IFERROR((D141-E141)/E141,"")</f>
        <v/>
      </c>
      <c r="M141" s="19">
        <f>IFERROR(F141*G141/10000,"")</f>
        <v/>
      </c>
    </row>
    <row r="142">
      <c r="A142" t="inlineStr">
        <is>
          <t>2026-10-30</t>
        </is>
      </c>
      <c r="B142" t="inlineStr">
        <is>
          <t>159208</t>
        </is>
      </c>
      <c r="C142" t="inlineStr">
        <is>
          <t>航空航天ETF万家</t>
        </is>
      </c>
      <c r="D142" t="n">
        <v>30546.2783</v>
      </c>
      <c r="E142" t="n">
        <v>30346.2783</v>
      </c>
      <c r="F142" t="n">
        <v>0.9965000000000001</v>
      </c>
      <c r="G142" t="n">
        <v>200</v>
      </c>
      <c r="H142" t="n">
        <v>3.043937</v>
      </c>
      <c r="I142" t="n">
        <v>2.979701</v>
      </c>
      <c r="J142" t="n">
        <v>0.064236</v>
      </c>
      <c r="K142" s="4">
        <f>IFERROR(J142/I142,"")</f>
        <v/>
      </c>
      <c r="L142" s="4">
        <f>IFERROR((D142-E142)/E142,"")</f>
        <v/>
      </c>
      <c r="M142" s="19">
        <f>IFERROR(F142*G142/10000,"")</f>
        <v/>
      </c>
    </row>
    <row r="143">
      <c r="A143" t="inlineStr">
        <is>
          <t>2026-10-30</t>
        </is>
      </c>
      <c r="B143" t="inlineStr">
        <is>
          <t>159209</t>
        </is>
      </c>
      <c r="C143" t="inlineStr">
        <is>
          <t>红利质量ETF招商</t>
        </is>
      </c>
      <c r="D143" t="n">
        <v>228563.5053</v>
      </c>
      <c r="E143" t="n">
        <v>228663.5053</v>
      </c>
      <c r="F143" t="n">
        <v>1.0702</v>
      </c>
      <c r="G143" t="n">
        <v>-100</v>
      </c>
      <c r="H143" t="n">
        <v>24.460866</v>
      </c>
      <c r="I143" t="n">
        <v>24.595047</v>
      </c>
      <c r="J143" t="n">
        <v>-0.134181</v>
      </c>
      <c r="K143" s="4">
        <f>IFERROR(J143/I143,"")</f>
        <v/>
      </c>
      <c r="L143" s="4">
        <f>IFERROR((D143-E143)/E143,"")</f>
        <v/>
      </c>
      <c r="M143" s="19">
        <f>IFERROR(F143*G143/10000,"")</f>
        <v/>
      </c>
    </row>
    <row r="144">
      <c r="A144" t="inlineStr">
        <is>
          <t>2026-10-30</t>
        </is>
      </c>
      <c r="B144" t="inlineStr">
        <is>
          <t>159210</t>
        </is>
      </c>
      <c r="C144" t="inlineStr">
        <is>
          <t>港股通汽车ETF汇添富</t>
        </is>
      </c>
      <c r="D144" t="n">
        <v>6174.9802</v>
      </c>
      <c r="E144" t="n">
        <v>6174.9802</v>
      </c>
      <c r="F144" t="n">
        <v>0.6813</v>
      </c>
      <c r="G144" t="n">
        <v>0</v>
      </c>
      <c r="H144" t="n">
        <v>0.420701</v>
      </c>
      <c r="I144" t="n">
        <v>0.412489</v>
      </c>
      <c r="J144" t="n">
        <v>0.008212000000000001</v>
      </c>
      <c r="K144" s="4">
        <f>IFERROR(J144/I144,"")</f>
        <v/>
      </c>
      <c r="L144" s="4">
        <f>IFERROR((D144-E144)/E144,"")</f>
        <v/>
      </c>
      <c r="M144" s="19">
        <f>IFERROR(F144*G144/10000,"")</f>
        <v/>
      </c>
    </row>
    <row r="145">
      <c r="A145" t="inlineStr">
        <is>
          <t>2026-10-30</t>
        </is>
      </c>
      <c r="B145" t="inlineStr">
        <is>
          <t>159211</t>
        </is>
      </c>
      <c r="C145" t="inlineStr">
        <is>
          <t>深证100ETF富国</t>
        </is>
      </c>
      <c r="D145" t="n">
        <v>1968.3294</v>
      </c>
      <c r="E145" t="n">
        <v>1968.3294</v>
      </c>
      <c r="F145" t="n">
        <v>1.1685</v>
      </c>
      <c r="G145" t="n">
        <v>0</v>
      </c>
      <c r="H145" t="n">
        <v>0.229999</v>
      </c>
      <c r="I145" t="n">
        <v>0.225846</v>
      </c>
      <c r="J145" t="n">
        <v>0.004153</v>
      </c>
      <c r="K145" s="4">
        <f>IFERROR(J145/I145,"")</f>
        <v/>
      </c>
      <c r="L145" s="4">
        <f>IFERROR((D145-E145)/E145,"")</f>
        <v/>
      </c>
      <c r="M145" s="19">
        <f>IFERROR(F145*G145/10000,"")</f>
        <v/>
      </c>
    </row>
    <row r="146">
      <c r="A146" t="inlineStr">
        <is>
          <t>2026-10-30</t>
        </is>
      </c>
      <c r="B146" t="inlineStr">
        <is>
          <t>159212</t>
        </is>
      </c>
      <c r="C146" t="inlineStr">
        <is>
          <t>深100ETF南方</t>
        </is>
      </c>
      <c r="D146" t="n">
        <v>7120.4367</v>
      </c>
      <c r="E146" t="n">
        <v>7120.4367</v>
      </c>
      <c r="F146" t="n">
        <v>1.1941</v>
      </c>
      <c r="G146" t="n">
        <v>0</v>
      </c>
      <c r="H146" t="n">
        <v>0.850251</v>
      </c>
      <c r="I146" t="n">
        <v>0.8348</v>
      </c>
      <c r="J146" t="n">
        <v>0.015451</v>
      </c>
      <c r="K146" s="4">
        <f>IFERROR(J146/I146,"")</f>
        <v/>
      </c>
      <c r="L146" s="4">
        <f>IFERROR((D146-E146)/E146,"")</f>
        <v/>
      </c>
      <c r="M146" s="19">
        <f>IFERROR(F146*G146/10000,"")</f>
        <v/>
      </c>
    </row>
    <row r="147">
      <c r="A147" t="inlineStr">
        <is>
          <t>2026-10-30</t>
        </is>
      </c>
      <c r="B147" t="inlineStr">
        <is>
          <t>159213</t>
        </is>
      </c>
      <c r="C147" t="inlineStr">
        <is>
          <t>机器人ETF汇添富</t>
        </is>
      </c>
      <c r="D147" t="n">
        <v>50523.7566</v>
      </c>
      <c r="E147" t="n">
        <v>50073.7566</v>
      </c>
      <c r="F147" t="n">
        <v>1.0737</v>
      </c>
      <c r="G147" t="n">
        <v>450</v>
      </c>
      <c r="H147" t="n">
        <v>5.424736</v>
      </c>
      <c r="I147" t="n">
        <v>5.161603</v>
      </c>
      <c r="J147" t="n">
        <v>0.263133</v>
      </c>
      <c r="K147" s="4">
        <f>IFERROR(J147/I147,"")</f>
        <v/>
      </c>
      <c r="L147" s="4">
        <f>IFERROR((D147-E147)/E147,"")</f>
        <v/>
      </c>
      <c r="M147" s="19">
        <f>IFERROR(F147*G147/10000,"")</f>
        <v/>
      </c>
    </row>
    <row r="148">
      <c r="A148" t="inlineStr">
        <is>
          <t>2026-10-30</t>
        </is>
      </c>
      <c r="B148" t="inlineStr">
        <is>
          <t>159215</t>
        </is>
      </c>
      <c r="C148" t="inlineStr">
        <is>
          <t>A500ETF平安</t>
        </is>
      </c>
      <c r="D148" t="n">
        <v>96458.2803</v>
      </c>
      <c r="E148" t="n">
        <v>96458.2803</v>
      </c>
      <c r="F148" t="n">
        <v>1.1458</v>
      </c>
      <c r="G148" t="n">
        <v>0</v>
      </c>
      <c r="H148" t="n">
        <v>11.05219</v>
      </c>
      <c r="I148" t="n">
        <v>10.922936</v>
      </c>
      <c r="J148" t="n">
        <v>0.129254</v>
      </c>
      <c r="K148" s="4">
        <f>IFERROR(J148/I148,"")</f>
        <v/>
      </c>
      <c r="L148" s="4">
        <f>IFERROR((D148-E148)/E148,"")</f>
        <v/>
      </c>
      <c r="M148" s="19">
        <f>IFERROR(F148*G148/10000,"")</f>
        <v/>
      </c>
    </row>
    <row r="149">
      <c r="A149" t="inlineStr">
        <is>
          <t>2026-10-30</t>
        </is>
      </c>
      <c r="B149" t="inlineStr">
        <is>
          <t>159216</t>
        </is>
      </c>
      <c r="C149" t="inlineStr">
        <is>
          <t>深证100ETF大成</t>
        </is>
      </c>
      <c r="D149" t="n">
        <v>2004.825</v>
      </c>
      <c r="E149" t="n">
        <v>1404.825</v>
      </c>
      <c r="F149" t="n">
        <v>1.1982</v>
      </c>
      <c r="G149" t="n">
        <v>600</v>
      </c>
      <c r="H149" t="n">
        <v>0.240218</v>
      </c>
      <c r="I149" t="n">
        <v>0.165264</v>
      </c>
      <c r="J149" t="n">
        <v>0.07495400000000001</v>
      </c>
      <c r="K149" s="4">
        <f>IFERROR(J149/I149,"")</f>
        <v/>
      </c>
      <c r="L149" s="4">
        <f>IFERROR((D149-E149)/E149,"")</f>
        <v/>
      </c>
      <c r="M149" s="19">
        <f>IFERROR(F149*G149/10000,"")</f>
        <v/>
      </c>
    </row>
    <row r="150">
      <c r="A150" t="inlineStr">
        <is>
          <t>2026-10-30</t>
        </is>
      </c>
      <c r="B150" t="inlineStr">
        <is>
          <t>159217</t>
        </is>
      </c>
      <c r="C150" t="inlineStr">
        <is>
          <t>港股通创新药ETF工银</t>
        </is>
      </c>
      <c r="D150" t="n">
        <v>499015.7596</v>
      </c>
      <c r="E150" t="n">
        <v>506515.7596</v>
      </c>
      <c r="F150" t="n">
        <v>1.0489</v>
      </c>
      <c r="G150" t="n">
        <v>-7500</v>
      </c>
      <c r="H150" t="n">
        <v>52.341763</v>
      </c>
      <c r="I150" t="n">
        <v>52.505424</v>
      </c>
      <c r="J150" t="n">
        <v>-0.163661</v>
      </c>
      <c r="K150" s="4">
        <f>IFERROR(J150/I150,"")</f>
        <v/>
      </c>
      <c r="L150" s="4">
        <f>IFERROR((D150-E150)/E150,"")</f>
        <v/>
      </c>
      <c r="M150" s="19">
        <f>IFERROR(F150*G150/10000,"")</f>
        <v/>
      </c>
    </row>
    <row r="151">
      <c r="A151" t="inlineStr">
        <is>
          <t>2026-10-30</t>
        </is>
      </c>
      <c r="B151" t="inlineStr">
        <is>
          <t>159218</t>
        </is>
      </c>
      <c r="C151" t="inlineStr">
        <is>
          <t>卫星ETF招商</t>
        </is>
      </c>
      <c r="D151" t="n">
        <v>190261.639</v>
      </c>
      <c r="E151" t="n">
        <v>188461.639</v>
      </c>
      <c r="F151" t="n">
        <v>1.1571</v>
      </c>
      <c r="G151" t="n">
        <v>1800</v>
      </c>
      <c r="H151" t="n">
        <v>22.015174</v>
      </c>
      <c r="I151" t="n">
        <v>21.177434</v>
      </c>
      <c r="J151" t="n">
        <v>0.83774</v>
      </c>
      <c r="K151" s="4">
        <f>IFERROR(J151/I151,"")</f>
        <v/>
      </c>
      <c r="L151" s="4">
        <f>IFERROR((D151-E151)/E151,"")</f>
        <v/>
      </c>
      <c r="M151" s="19">
        <f>IFERROR(F151*G151/10000,"")</f>
        <v/>
      </c>
    </row>
    <row r="152">
      <c r="A152" t="inlineStr">
        <is>
          <t>2026-10-30</t>
        </is>
      </c>
      <c r="B152" t="inlineStr">
        <is>
          <t>159219</t>
        </is>
      </c>
      <c r="C152" t="inlineStr">
        <is>
          <t>深证100ETF融通</t>
        </is>
      </c>
      <c r="D152" t="n">
        <v>5038.8018</v>
      </c>
      <c r="E152" t="n">
        <v>1038.8018</v>
      </c>
      <c r="F152" t="n">
        <v>1.1087</v>
      </c>
      <c r="G152" t="n">
        <v>4000</v>
      </c>
      <c r="H152" t="n">
        <v>0.558652</v>
      </c>
      <c r="I152" t="n">
        <v>0.113074</v>
      </c>
      <c r="J152" t="n">
        <v>0.445578</v>
      </c>
      <c r="K152" s="4">
        <f>IFERROR(J152/I152,"")</f>
        <v/>
      </c>
      <c r="L152" s="4">
        <f>IFERROR((D152-E152)/E152,"")</f>
        <v/>
      </c>
      <c r="M152" s="19">
        <f>IFERROR(F152*G152/10000,"")</f>
        <v/>
      </c>
    </row>
    <row r="153">
      <c r="A153" t="inlineStr">
        <is>
          <t>2026-10-30</t>
        </is>
      </c>
      <c r="B153" t="inlineStr">
        <is>
          <t>159220</t>
        </is>
      </c>
      <c r="C153" t="inlineStr">
        <is>
          <t>港股通红利低波ETF华宝</t>
        </is>
      </c>
      <c r="D153" t="n">
        <v>40956.9526</v>
      </c>
      <c r="E153" t="n">
        <v>40956.9526</v>
      </c>
      <c r="F153" t="n">
        <v>0.5676</v>
      </c>
      <c r="G153" t="n">
        <v>0</v>
      </c>
      <c r="H153" t="n">
        <v>2.324717</v>
      </c>
      <c r="I153" t="n">
        <v>2.342738</v>
      </c>
      <c r="J153" t="n">
        <v>-0.018021</v>
      </c>
      <c r="K153" s="4">
        <f>IFERROR(J153/I153,"")</f>
        <v/>
      </c>
      <c r="L153" s="4">
        <f>IFERROR((D153-E153)/E153,"")</f>
        <v/>
      </c>
      <c r="M153" s="19">
        <f>IFERROR(F153*G153/10000,"")</f>
        <v/>
      </c>
    </row>
    <row r="154">
      <c r="A154" t="inlineStr">
        <is>
          <t>2026-10-30</t>
        </is>
      </c>
      <c r="B154" t="inlineStr">
        <is>
          <t>159221</t>
        </is>
      </c>
      <c r="C154" t="inlineStr">
        <is>
          <t>现金流ETF嘉实</t>
        </is>
      </c>
      <c r="D154" t="n">
        <v>105001.3233</v>
      </c>
      <c r="E154" t="n">
        <v>105501.3233</v>
      </c>
      <c r="F154" t="n">
        <v>1.1314</v>
      </c>
      <c r="G154" t="n">
        <v>-500</v>
      </c>
      <c r="H154" t="n">
        <v>11.87985</v>
      </c>
      <c r="I154" t="n">
        <v>11.950135</v>
      </c>
      <c r="J154" t="n">
        <v>-0.070285</v>
      </c>
      <c r="K154" s="4">
        <f>IFERROR(J154/I154,"")</f>
        <v/>
      </c>
      <c r="L154" s="4">
        <f>IFERROR((D154-E154)/E154,"")</f>
        <v/>
      </c>
      <c r="M154" s="19">
        <f>IFERROR(F154*G154/10000,"")</f>
        <v/>
      </c>
    </row>
    <row r="155">
      <c r="A155" t="inlineStr">
        <is>
          <t>2026-10-30</t>
        </is>
      </c>
      <c r="B155" t="inlineStr">
        <is>
          <t>159222</t>
        </is>
      </c>
      <c r="C155" t="inlineStr">
        <is>
          <t>自由现金流ETF易方达</t>
        </is>
      </c>
      <c r="D155" t="n">
        <v>188737.0402</v>
      </c>
      <c r="E155" t="n">
        <v>188837.0402</v>
      </c>
      <c r="F155" t="n">
        <v>1.2428</v>
      </c>
      <c r="G155" t="n">
        <v>-100</v>
      </c>
      <c r="H155" t="n">
        <v>23.456239</v>
      </c>
      <c r="I155" t="n">
        <v>23.498881</v>
      </c>
      <c r="J155" t="n">
        <v>-0.042642</v>
      </c>
      <c r="K155" s="4">
        <f>IFERROR(J155/I155,"")</f>
        <v/>
      </c>
      <c r="L155" s="4">
        <f>IFERROR((D155-E155)/E155,"")</f>
        <v/>
      </c>
      <c r="M155" s="19">
        <f>IFERROR(F155*G155/10000,"")</f>
        <v/>
      </c>
    </row>
    <row r="156">
      <c r="A156" t="inlineStr">
        <is>
          <t>2026-10-30</t>
        </is>
      </c>
      <c r="B156" t="inlineStr">
        <is>
          <t>159223</t>
        </is>
      </c>
      <c r="C156" t="inlineStr">
        <is>
          <t>现金流ETF永赢</t>
        </is>
      </c>
      <c r="D156" t="n">
        <v>17184.4755</v>
      </c>
      <c r="E156" t="n">
        <v>17184.4755</v>
      </c>
      <c r="F156" t="n">
        <v>1.1161</v>
      </c>
      <c r="G156" t="n">
        <v>0</v>
      </c>
      <c r="H156" t="n">
        <v>1.917959</v>
      </c>
      <c r="I156" t="n">
        <v>1.920881</v>
      </c>
      <c r="J156" t="n">
        <v>-0.002922</v>
      </c>
      <c r="K156" s="4">
        <f>IFERROR(J156/I156,"")</f>
        <v/>
      </c>
      <c r="L156" s="4">
        <f>IFERROR((D156-E156)/E156,"")</f>
        <v/>
      </c>
      <c r="M156" s="19">
        <f>IFERROR(F156*G156/10000,"")</f>
        <v/>
      </c>
    </row>
    <row r="157">
      <c r="A157" t="inlineStr">
        <is>
          <t>2026-10-30</t>
        </is>
      </c>
      <c r="B157" t="inlineStr">
        <is>
          <t>159225</t>
        </is>
      </c>
      <c r="C157" t="inlineStr">
        <is>
          <t>现金流ETF银华</t>
        </is>
      </c>
      <c r="D157" t="n">
        <v>25274.4804</v>
      </c>
      <c r="E157" t="n">
        <v>25374.4804</v>
      </c>
      <c r="F157" t="n">
        <v>1.2209</v>
      </c>
      <c r="G157" t="n">
        <v>-100</v>
      </c>
      <c r="H157" t="n">
        <v>3.085761</v>
      </c>
      <c r="I157" t="n">
        <v>3.102538</v>
      </c>
      <c r="J157" t="n">
        <v>-0.016777</v>
      </c>
      <c r="K157" s="4">
        <f>IFERROR(J157/I157,"")</f>
        <v/>
      </c>
      <c r="L157" s="4">
        <f>IFERROR((D157-E157)/E157,"")</f>
        <v/>
      </c>
      <c r="M157" s="19">
        <f>IFERROR(F157*G157/10000,"")</f>
        <v/>
      </c>
    </row>
    <row r="158">
      <c r="A158" t="inlineStr">
        <is>
          <t>2026-10-30</t>
        </is>
      </c>
      <c r="B158" t="inlineStr">
        <is>
          <t>159226</t>
        </is>
      </c>
      <c r="C158" t="inlineStr">
        <is>
          <t>中证A500增强ETF国泰</t>
        </is>
      </c>
      <c r="D158" t="n">
        <v>11109.484</v>
      </c>
      <c r="E158" t="n">
        <v>10509.484</v>
      </c>
      <c r="F158" t="n">
        <v>1.1165</v>
      </c>
      <c r="G158" t="n">
        <v>600</v>
      </c>
      <c r="H158" t="n">
        <v>1.240374</v>
      </c>
      <c r="I158" t="n">
        <v>1.154467</v>
      </c>
      <c r="J158" t="n">
        <v>0.085907</v>
      </c>
      <c r="K158" s="4">
        <f>IFERROR(J158/I158,"")</f>
        <v/>
      </c>
      <c r="L158" s="4">
        <f>IFERROR((D158-E158)/E158,"")</f>
        <v/>
      </c>
      <c r="M158" s="19">
        <f>IFERROR(F158*G158/10000,"")</f>
        <v/>
      </c>
    </row>
    <row r="159">
      <c r="A159" t="inlineStr">
        <is>
          <t>2026-10-30</t>
        </is>
      </c>
      <c r="B159" t="inlineStr">
        <is>
          <t>159227</t>
        </is>
      </c>
      <c r="C159" t="inlineStr">
        <is>
          <t>航空航天ETF华夏</t>
        </is>
      </c>
      <c r="D159" t="n">
        <v>438691.1199</v>
      </c>
      <c r="E159" t="n">
        <v>438491.1199</v>
      </c>
      <c r="F159" t="n">
        <v>0.9486</v>
      </c>
      <c r="G159" t="n">
        <v>200</v>
      </c>
      <c r="H159" t="n">
        <v>41.61424</v>
      </c>
      <c r="I159" t="n">
        <v>40.99015</v>
      </c>
      <c r="J159" t="n">
        <v>0.62409</v>
      </c>
      <c r="K159" s="4">
        <f>IFERROR(J159/I159,"")</f>
        <v/>
      </c>
      <c r="L159" s="4">
        <f>IFERROR((D159-E159)/E159,"")</f>
        <v/>
      </c>
      <c r="M159" s="19">
        <f>IFERROR(F159*G159/10000,"")</f>
        <v/>
      </c>
    </row>
    <row r="160">
      <c r="A160" t="inlineStr">
        <is>
          <t>2026-10-30</t>
        </is>
      </c>
      <c r="B160" t="inlineStr">
        <is>
          <t>159228</t>
        </is>
      </c>
      <c r="C160" t="inlineStr">
        <is>
          <t>红利低波ETF长城</t>
        </is>
      </c>
      <c r="D160" t="n">
        <v>10121.2692</v>
      </c>
      <c r="E160" t="n">
        <v>10021.2692</v>
      </c>
      <c r="F160" t="n">
        <v>1.0397</v>
      </c>
      <c r="G160" t="n">
        <v>100</v>
      </c>
      <c r="H160" t="n">
        <v>1.052308</v>
      </c>
      <c r="I160" t="n">
        <v>1.045719</v>
      </c>
      <c r="J160" t="n">
        <v>0.006589</v>
      </c>
      <c r="K160" s="4">
        <f>IFERROR(J160/I160,"")</f>
        <v/>
      </c>
      <c r="L160" s="4">
        <f>IFERROR((D160-E160)/E160,"")</f>
        <v/>
      </c>
      <c r="M160" s="19">
        <f>IFERROR(F160*G160/10000,"")</f>
        <v/>
      </c>
    </row>
    <row r="161">
      <c r="A161" t="inlineStr">
        <is>
          <t>2026-10-30</t>
        </is>
      </c>
      <c r="B161" t="inlineStr">
        <is>
          <t>159229</t>
        </is>
      </c>
      <c r="C161" t="inlineStr">
        <is>
          <t>自由现金流ETF广发</t>
        </is>
      </c>
      <c r="D161" t="n">
        <v>14355.6022</v>
      </c>
      <c r="E161" t="n">
        <v>14005.6022</v>
      </c>
      <c r="F161" t="n">
        <v>1.1803</v>
      </c>
      <c r="G161" t="n">
        <v>350</v>
      </c>
      <c r="H161" t="n">
        <v>1.694392</v>
      </c>
      <c r="I161" t="n">
        <v>1.661064</v>
      </c>
      <c r="J161" t="n">
        <v>0.033328</v>
      </c>
      <c r="K161" s="4">
        <f>IFERROR(J161/I161,"")</f>
        <v/>
      </c>
      <c r="L161" s="4">
        <f>IFERROR((D161-E161)/E161,"")</f>
        <v/>
      </c>
      <c r="M161" s="19">
        <f>IFERROR(F161*G161/10000,"")</f>
        <v/>
      </c>
    </row>
    <row r="162">
      <c r="A162" t="inlineStr">
        <is>
          <t>2026-10-30</t>
        </is>
      </c>
      <c r="B162" t="inlineStr">
        <is>
          <t>159230</t>
        </is>
      </c>
      <c r="C162" t="inlineStr">
        <is>
          <t>通用航空ETF华夏</t>
        </is>
      </c>
      <c r="D162" t="n">
        <v>31330.4228</v>
      </c>
      <c r="E162" t="n">
        <v>32130.4228</v>
      </c>
      <c r="F162" t="n">
        <v>0.8858</v>
      </c>
      <c r="G162" t="n">
        <v>-800</v>
      </c>
      <c r="H162" t="n">
        <v>2.775249</v>
      </c>
      <c r="I162" t="n">
        <v>2.810127</v>
      </c>
      <c r="J162" t="n">
        <v>-0.034878</v>
      </c>
      <c r="K162" s="4">
        <f>IFERROR(J162/I162,"")</f>
        <v/>
      </c>
      <c r="L162" s="4">
        <f>IFERROR((D162-E162)/E162,"")</f>
        <v/>
      </c>
      <c r="M162" s="19">
        <f>IFERROR(F162*G162/10000,"")</f>
        <v/>
      </c>
    </row>
    <row r="163">
      <c r="A163" t="inlineStr">
        <is>
          <t>2026-10-30</t>
        </is>
      </c>
      <c r="B163" t="inlineStr">
        <is>
          <t>159231</t>
        </is>
      </c>
      <c r="C163" t="inlineStr">
        <is>
          <t>通用航空ETF华宝</t>
        </is>
      </c>
      <c r="D163" t="n">
        <v>34409.186</v>
      </c>
      <c r="E163" t="n">
        <v>34509.186</v>
      </c>
      <c r="F163" t="n">
        <v>0.4544</v>
      </c>
      <c r="G163" t="n">
        <v>-100</v>
      </c>
      <c r="H163" t="n">
        <v>1.563553</v>
      </c>
      <c r="I163" t="n">
        <v>1.548427</v>
      </c>
      <c r="J163" t="n">
        <v>0.015126</v>
      </c>
      <c r="K163" s="4">
        <f>IFERROR(J163/I163,"")</f>
        <v/>
      </c>
      <c r="L163" s="4">
        <f>IFERROR((D163-E163)/E163,"")</f>
        <v/>
      </c>
      <c r="M163" s="19">
        <f>IFERROR(F163*G163/10000,"")</f>
        <v/>
      </c>
    </row>
    <row r="164">
      <c r="A164" t="inlineStr">
        <is>
          <t>2026-10-30</t>
        </is>
      </c>
      <c r="B164" t="inlineStr">
        <is>
          <t>159232</t>
        </is>
      </c>
      <c r="C164" t="inlineStr">
        <is>
          <t>自由现金流ETF南方</t>
        </is>
      </c>
      <c r="D164" t="n">
        <v>195894.8566</v>
      </c>
      <c r="E164" t="n">
        <v>195894.8566</v>
      </c>
      <c r="F164" t="n">
        <v>1.1317</v>
      </c>
      <c r="G164" t="n">
        <v>0</v>
      </c>
      <c r="H164" t="n">
        <v>22.169421</v>
      </c>
      <c r="I164" t="n">
        <v>22.163544</v>
      </c>
      <c r="J164" t="n">
        <v>0.005877</v>
      </c>
      <c r="K164" s="4">
        <f>IFERROR(J164/I164,"")</f>
        <v/>
      </c>
      <c r="L164" s="4">
        <f>IFERROR((D164-E164)/E164,"")</f>
        <v/>
      </c>
      <c r="M164" s="19">
        <f>IFERROR(F164*G164/10000,"")</f>
        <v/>
      </c>
    </row>
    <row r="165">
      <c r="A165" t="inlineStr">
        <is>
          <t>2026-10-30</t>
        </is>
      </c>
      <c r="B165" t="inlineStr">
        <is>
          <t>159233</t>
        </is>
      </c>
      <c r="C165" t="inlineStr">
        <is>
          <t>自由现金流ETF平安</t>
        </is>
      </c>
      <c r="D165" t="n">
        <v>55262.3418</v>
      </c>
      <c r="E165" t="n">
        <v>55362.3418</v>
      </c>
      <c r="F165" t="n">
        <v>1.1318</v>
      </c>
      <c r="G165" t="n">
        <v>-100</v>
      </c>
      <c r="H165" t="n">
        <v>6.254592</v>
      </c>
      <c r="I165" t="n">
        <v>6.26591</v>
      </c>
      <c r="J165" t="n">
        <v>-0.011318</v>
      </c>
      <c r="K165" s="4">
        <f>IFERROR(J165/I165,"")</f>
        <v/>
      </c>
      <c r="L165" s="4">
        <f>IFERROR((D165-E165)/E165,"")</f>
        <v/>
      </c>
      <c r="M165" s="19">
        <f>IFERROR(F165*G165/10000,"")</f>
        <v/>
      </c>
    </row>
    <row r="166">
      <c r="A166" t="inlineStr">
        <is>
          <t>2026-10-30</t>
        </is>
      </c>
      <c r="B166" t="inlineStr">
        <is>
          <t>159235</t>
        </is>
      </c>
      <c r="C166" t="inlineStr">
        <is>
          <t>中证现金流ETF大成</t>
        </is>
      </c>
      <c r="D166" t="n">
        <v>172272.9545</v>
      </c>
      <c r="E166" t="n">
        <v>172472.9545</v>
      </c>
      <c r="F166" t="n">
        <v>1.1596</v>
      </c>
      <c r="G166" t="n">
        <v>-200</v>
      </c>
      <c r="H166" t="n">
        <v>19.976772</v>
      </c>
      <c r="I166" t="n">
        <v>20.001689</v>
      </c>
      <c r="J166" t="n">
        <v>-0.024917</v>
      </c>
      <c r="K166" s="4">
        <f>IFERROR(J166/I166,"")</f>
        <v/>
      </c>
      <c r="L166" s="4">
        <f>IFERROR((D166-E166)/E166,"")</f>
        <v/>
      </c>
      <c r="M166" s="19">
        <f>IFERROR(F166*G166/10000,"")</f>
        <v/>
      </c>
    </row>
    <row r="167">
      <c r="A167" t="inlineStr">
        <is>
          <t>2026-10-30</t>
        </is>
      </c>
      <c r="B167" t="inlineStr">
        <is>
          <t>159236</t>
        </is>
      </c>
      <c r="C167" t="inlineStr">
        <is>
          <t>自由现金流ETF工银</t>
        </is>
      </c>
      <c r="D167" t="n">
        <v>3472.2161</v>
      </c>
      <c r="E167" t="n">
        <v>3472.2161</v>
      </c>
      <c r="F167" t="n">
        <v>1.135</v>
      </c>
      <c r="G167" t="n">
        <v>0</v>
      </c>
      <c r="H167" t="n">
        <v>0.394097</v>
      </c>
      <c r="I167" t="n">
        <v>0.394131</v>
      </c>
      <c r="J167" t="n">
        <v>-3.4e-05</v>
      </c>
      <c r="K167" s="4">
        <f>IFERROR(J167/I167,"")</f>
        <v/>
      </c>
      <c r="L167" s="4">
        <f>IFERROR((D167-E167)/E167,"")</f>
        <v/>
      </c>
      <c r="M167" s="19">
        <f>IFERROR(F167*G167/10000,"")</f>
        <v/>
      </c>
    </row>
    <row r="168">
      <c r="A168" t="inlineStr">
        <is>
          <t>2026-10-30</t>
        </is>
      </c>
      <c r="B168" t="inlineStr">
        <is>
          <t>159237</t>
        </is>
      </c>
      <c r="C168" t="inlineStr">
        <is>
          <t>港股汽车ETF工银</t>
        </is>
      </c>
      <c r="D168" t="n">
        <v>7433.4226</v>
      </c>
      <c r="E168" t="n">
        <v>7433.4226</v>
      </c>
      <c r="F168" t="n">
        <v>0.7094</v>
      </c>
      <c r="G168" t="n">
        <v>0</v>
      </c>
      <c r="H168" t="n">
        <v>0.527327</v>
      </c>
      <c r="I168" t="n">
        <v>0.517143</v>
      </c>
      <c r="J168" t="n">
        <v>0.010184</v>
      </c>
      <c r="K168" s="4">
        <f>IFERROR(J168/I168,"")</f>
        <v/>
      </c>
      <c r="L168" s="4">
        <f>IFERROR((D168-E168)/E168,"")</f>
        <v/>
      </c>
      <c r="M168" s="19">
        <f>IFERROR(F168*G168/10000,"")</f>
        <v/>
      </c>
    </row>
    <row r="169">
      <c r="A169" t="inlineStr">
        <is>
          <t>2026-10-30</t>
        </is>
      </c>
      <c r="B169" t="inlineStr">
        <is>
          <t>159238</t>
        </is>
      </c>
      <c r="C169" t="inlineStr">
        <is>
          <t>沪深300增强ETF景顺</t>
        </is>
      </c>
      <c r="D169" t="n">
        <v>7501.6186</v>
      </c>
      <c r="E169" t="n">
        <v>7501.6186</v>
      </c>
      <c r="F169" t="n">
        <v>1.1379</v>
      </c>
      <c r="G169" t="n">
        <v>0</v>
      </c>
      <c r="H169" t="n">
        <v>0.853609</v>
      </c>
      <c r="I169" t="n">
        <v>0.846708</v>
      </c>
      <c r="J169" t="n">
        <v>0.006901</v>
      </c>
      <c r="K169" s="4">
        <f>IFERROR(J169/I169,"")</f>
        <v/>
      </c>
      <c r="L169" s="4">
        <f>IFERROR((D169-E169)/E169,"")</f>
        <v/>
      </c>
      <c r="M169" s="19">
        <f>IFERROR(F169*G169/10000,"")</f>
        <v/>
      </c>
    </row>
    <row r="170">
      <c r="A170" t="inlineStr">
        <is>
          <t>2026-10-30</t>
        </is>
      </c>
      <c r="B170" t="inlineStr">
        <is>
          <t>159239</t>
        </is>
      </c>
      <c r="C170" t="inlineStr">
        <is>
          <t>港股通汽车ETF富国</t>
        </is>
      </c>
      <c r="D170" t="n">
        <v>11528.0753</v>
      </c>
      <c r="E170" t="n">
        <v>11528.0753</v>
      </c>
      <c r="F170" t="n">
        <v>0.6375999999999999</v>
      </c>
      <c r="G170" t="n">
        <v>0</v>
      </c>
      <c r="H170" t="n">
        <v>0.73503</v>
      </c>
      <c r="I170" t="n">
        <v>0.717853</v>
      </c>
      <c r="J170" t="n">
        <v>0.017177</v>
      </c>
      <c r="K170" s="4">
        <f>IFERROR(J170/I170,"")</f>
        <v/>
      </c>
      <c r="L170" s="4">
        <f>IFERROR((D170-E170)/E170,"")</f>
        <v/>
      </c>
      <c r="M170" s="19">
        <f>IFERROR(F170*G170/10000,"")</f>
        <v/>
      </c>
    </row>
    <row r="171">
      <c r="A171" t="inlineStr">
        <is>
          <t>2026-10-30</t>
        </is>
      </c>
      <c r="B171" t="inlineStr">
        <is>
          <t>159240</t>
        </is>
      </c>
      <c r="C171" t="inlineStr">
        <is>
          <t>A500增强ETF天弘</t>
        </is>
      </c>
      <c r="D171" t="n">
        <v>1761.9776</v>
      </c>
      <c r="E171" t="n">
        <v>1761.9776</v>
      </c>
      <c r="F171" t="n">
        <v>1.1403</v>
      </c>
      <c r="G171" t="n">
        <v>0</v>
      </c>
      <c r="H171" t="n">
        <v>0.200918</v>
      </c>
      <c r="I171" t="n">
        <v>0.198399</v>
      </c>
      <c r="J171" t="n">
        <v>0.002519</v>
      </c>
      <c r="K171" s="4">
        <f>IFERROR(J171/I171,"")</f>
        <v/>
      </c>
      <c r="L171" s="4">
        <f>IFERROR((D171-E171)/E171,"")</f>
        <v/>
      </c>
      <c r="M171" s="19">
        <f>IFERROR(F171*G171/10000,"")</f>
        <v/>
      </c>
    </row>
    <row r="172">
      <c r="A172" t="inlineStr">
        <is>
          <t>2026-10-30</t>
        </is>
      </c>
      <c r="B172" t="inlineStr">
        <is>
          <t>159241</t>
        </is>
      </c>
      <c r="C172" t="inlineStr">
        <is>
          <t>航空航天ETF天弘</t>
        </is>
      </c>
      <c r="D172" t="n">
        <v>131707.4265</v>
      </c>
      <c r="E172" t="n">
        <v>131307.4265</v>
      </c>
      <c r="F172" t="n">
        <v>0.9778</v>
      </c>
      <c r="G172" t="n">
        <v>400</v>
      </c>
      <c r="H172" t="n">
        <v>12.878352</v>
      </c>
      <c r="I172" t="n">
        <v>12.650157</v>
      </c>
      <c r="J172" t="n">
        <v>0.228195</v>
      </c>
      <c r="K172" s="4">
        <f>IFERROR(J172/I172,"")</f>
        <v/>
      </c>
      <c r="L172" s="4">
        <f>IFERROR((D172-E172)/E172,"")</f>
        <v/>
      </c>
      <c r="M172" s="19">
        <f>IFERROR(F172*G172/10000,"")</f>
        <v/>
      </c>
    </row>
    <row r="173">
      <c r="A173" t="inlineStr">
        <is>
          <t>2026-10-30</t>
        </is>
      </c>
      <c r="B173" t="inlineStr">
        <is>
          <t>159242</t>
        </is>
      </c>
      <c r="C173" t="inlineStr">
        <is>
          <t>创业板人工智能ETF大成</t>
        </is>
      </c>
      <c r="D173" t="n">
        <v>42027.8583</v>
      </c>
      <c r="E173" t="n">
        <v>41027.8583</v>
      </c>
      <c r="F173" t="n">
        <v>1.6733</v>
      </c>
      <c r="G173" t="n">
        <v>1000</v>
      </c>
      <c r="H173" t="n">
        <v>7.032522</v>
      </c>
      <c r="I173" t="n">
        <v>6.55379</v>
      </c>
      <c r="J173" t="n">
        <v>0.478732</v>
      </c>
      <c r="K173" s="4">
        <f>IFERROR(J173/I173,"")</f>
        <v/>
      </c>
      <c r="L173" s="4">
        <f>IFERROR((D173-E173)/E173,"")</f>
        <v/>
      </c>
      <c r="M173" s="19">
        <f>IFERROR(F173*G173/10000,"")</f>
        <v/>
      </c>
    </row>
    <row r="174">
      <c r="A174" t="inlineStr">
        <is>
          <t>2026-10-30</t>
        </is>
      </c>
      <c r="B174" t="inlineStr">
        <is>
          <t>159243</t>
        </is>
      </c>
      <c r="C174" t="inlineStr">
        <is>
          <t>创业板人工智能ETF招商</t>
        </is>
      </c>
      <c r="D174" t="n">
        <v>17603.0224</v>
      </c>
      <c r="E174" t="n">
        <v>16403.0224</v>
      </c>
      <c r="F174" t="n">
        <v>1.0145</v>
      </c>
      <c r="G174" t="n">
        <v>1200</v>
      </c>
      <c r="H174" t="n">
        <v>1.785827</v>
      </c>
      <c r="I174" t="n">
        <v>1.588797</v>
      </c>
      <c r="J174" t="n">
        <v>0.19703</v>
      </c>
      <c r="K174" s="4">
        <f>IFERROR(J174/I174,"")</f>
        <v/>
      </c>
      <c r="L174" s="4">
        <f>IFERROR((D174-E174)/E174,"")</f>
        <v/>
      </c>
      <c r="M174" s="19">
        <f>IFERROR(F174*G174/10000,"")</f>
        <v/>
      </c>
    </row>
    <row r="175">
      <c r="A175" t="inlineStr">
        <is>
          <t>2026-10-30</t>
        </is>
      </c>
      <c r="B175" t="inlineStr">
        <is>
          <t>159245</t>
        </is>
      </c>
      <c r="C175" t="inlineStr">
        <is>
          <t>港股通消费ETF富国</t>
        </is>
      </c>
      <c r="D175" t="n">
        <v>7611.3296</v>
      </c>
      <c r="E175" t="n">
        <v>7611.3296</v>
      </c>
      <c r="F175" t="n">
        <v>0.7156</v>
      </c>
      <c r="G175" t="n">
        <v>0</v>
      </c>
      <c r="H175" t="n">
        <v>0.544667</v>
      </c>
      <c r="I175" t="n">
        <v>0.548244</v>
      </c>
      <c r="J175" t="n">
        <v>-0.003577</v>
      </c>
      <c r="K175" s="4">
        <f>IFERROR(J175/I175,"")</f>
        <v/>
      </c>
      <c r="L175" s="4">
        <f>IFERROR((D175-E175)/E175,"")</f>
        <v/>
      </c>
      <c r="M175" s="19">
        <f>IFERROR(F175*G175/10000,"")</f>
        <v/>
      </c>
    </row>
    <row r="176">
      <c r="A176" t="inlineStr">
        <is>
          <t>2026-10-30</t>
        </is>
      </c>
      <c r="B176" t="inlineStr">
        <is>
          <t>159246</t>
        </is>
      </c>
      <c r="C176" t="inlineStr">
        <is>
          <t>创业板人工智能ETF富国</t>
        </is>
      </c>
      <c r="D176" t="n">
        <v>301165.5606</v>
      </c>
      <c r="E176" t="n">
        <v>296965.5606</v>
      </c>
      <c r="F176" t="n">
        <v>0.9318</v>
      </c>
      <c r="G176" t="n">
        <v>4200</v>
      </c>
      <c r="H176" t="n">
        <v>28.062607</v>
      </c>
      <c r="I176" t="n">
        <v>26.406178</v>
      </c>
      <c r="J176" t="n">
        <v>1.656429</v>
      </c>
      <c r="K176" s="4">
        <f>IFERROR(J176/I176,"")</f>
        <v/>
      </c>
      <c r="L176" s="4">
        <f>IFERROR((D176-E176)/E176,"")</f>
        <v/>
      </c>
      <c r="M176" s="19">
        <f>IFERROR(F176*G176/10000,"")</f>
        <v/>
      </c>
    </row>
    <row r="177">
      <c r="A177" t="inlineStr">
        <is>
          <t>2026-10-30</t>
        </is>
      </c>
      <c r="B177" t="inlineStr">
        <is>
          <t>159247</t>
        </is>
      </c>
      <c r="C177" t="inlineStr">
        <is>
          <t>创业板ETF汇添富</t>
        </is>
      </c>
      <c r="D177" t="n">
        <v>131398.4966</v>
      </c>
      <c r="E177" t="n">
        <v>125398.4966</v>
      </c>
      <c r="F177" t="n">
        <v>0.7951</v>
      </c>
      <c r="G177" t="n">
        <v>6000</v>
      </c>
      <c r="H177" t="n">
        <v>10.447494</v>
      </c>
      <c r="I177" t="n">
        <v>9.644398000000001</v>
      </c>
      <c r="J177" t="n">
        <v>0.803096</v>
      </c>
      <c r="K177" s="4">
        <f>IFERROR(J177/I177,"")</f>
        <v/>
      </c>
      <c r="L177" s="4">
        <f>IFERROR((D177-E177)/E177,"")</f>
        <v/>
      </c>
      <c r="M177" s="19">
        <f>IFERROR(F177*G177/10000,"")</f>
        <v/>
      </c>
    </row>
    <row r="178">
      <c r="A178" t="inlineStr">
        <is>
          <t>2026-10-30</t>
        </is>
      </c>
      <c r="B178" t="inlineStr">
        <is>
          <t>159248</t>
        </is>
      </c>
      <c r="C178" t="inlineStr">
        <is>
          <t>人工智能ETF万家</t>
        </is>
      </c>
      <c r="D178" t="n">
        <v>15009.5652</v>
      </c>
      <c r="E178" t="n">
        <v>14709.5652</v>
      </c>
      <c r="F178" t="n">
        <v>1.4802</v>
      </c>
      <c r="G178" t="n">
        <v>300</v>
      </c>
      <c r="H178" t="n">
        <v>2.221716</v>
      </c>
      <c r="I178" t="n">
        <v>2.106557</v>
      </c>
      <c r="J178" t="n">
        <v>0.115159</v>
      </c>
      <c r="K178" s="4">
        <f>IFERROR(J178/I178,"")</f>
        <v/>
      </c>
      <c r="L178" s="4">
        <f>IFERROR((D178-E178)/E178,"")</f>
        <v/>
      </c>
      <c r="M178" s="19">
        <f>IFERROR(F178*G178/10000,"")</f>
        <v/>
      </c>
    </row>
    <row r="179">
      <c r="A179" t="inlineStr">
        <is>
          <t>2026-10-30</t>
        </is>
      </c>
      <c r="B179" t="inlineStr">
        <is>
          <t>159249</t>
        </is>
      </c>
      <c r="C179" t="inlineStr">
        <is>
          <t>A500增强ETF工银</t>
        </is>
      </c>
      <c r="D179" t="n">
        <v>12319.1923</v>
      </c>
      <c r="E179" t="n">
        <v>12019.1923</v>
      </c>
      <c r="F179" t="n">
        <v>1.21</v>
      </c>
      <c r="G179" t="n">
        <v>300</v>
      </c>
      <c r="H179" t="n">
        <v>1.490622</v>
      </c>
      <c r="I179" t="n">
        <v>1.437015</v>
      </c>
      <c r="J179" t="n">
        <v>0.053607</v>
      </c>
      <c r="K179" s="4">
        <f>IFERROR(J179/I179,"")</f>
        <v/>
      </c>
      <c r="L179" s="4">
        <f>IFERROR((D179-E179)/E179,"")</f>
        <v/>
      </c>
      <c r="M179" s="19">
        <f>IFERROR(F179*G179/10000,"")</f>
        <v/>
      </c>
    </row>
    <row r="180">
      <c r="A180" t="inlineStr">
        <is>
          <t>2026-10-30</t>
        </is>
      </c>
      <c r="B180" t="inlineStr">
        <is>
          <t>159251</t>
        </is>
      </c>
      <c r="C180" t="inlineStr">
        <is>
          <t>港股通科技ETF万家</t>
        </is>
      </c>
      <c r="D180" t="n">
        <v>24278.7744</v>
      </c>
      <c r="E180" t="n">
        <v>24278.7744</v>
      </c>
      <c r="F180" t="n">
        <v>0.658</v>
      </c>
      <c r="G180" t="n">
        <v>0</v>
      </c>
      <c r="H180" t="n">
        <v>1.597543</v>
      </c>
      <c r="I180" t="n">
        <v>1.575692</v>
      </c>
      <c r="J180" t="n">
        <v>0.021851</v>
      </c>
      <c r="K180" s="4">
        <f>IFERROR(J180/I180,"")</f>
        <v/>
      </c>
      <c r="L180" s="4">
        <f>IFERROR((D180-E180)/E180,"")</f>
        <v/>
      </c>
      <c r="M180" s="19">
        <f>IFERROR(F180*G180/10000,"")</f>
        <v/>
      </c>
    </row>
    <row r="181">
      <c r="A181" t="inlineStr">
        <is>
          <t>2026-10-30</t>
        </is>
      </c>
      <c r="B181" t="inlineStr">
        <is>
          <t>159253</t>
        </is>
      </c>
      <c r="C181" t="inlineStr">
        <is>
          <t>银行ETF博时</t>
        </is>
      </c>
      <c r="D181" t="n">
        <v>44810.4979</v>
      </c>
      <c r="E181" t="n">
        <v>44810.4979</v>
      </c>
      <c r="F181" t="n">
        <v>1.0409</v>
      </c>
      <c r="G181" t="n">
        <v>0</v>
      </c>
      <c r="H181" t="n">
        <v>4.664325</v>
      </c>
      <c r="I181" t="n">
        <v>4.693003</v>
      </c>
      <c r="J181" t="n">
        <v>-0.028678</v>
      </c>
      <c r="K181" s="4">
        <f>IFERROR(J181/I181,"")</f>
        <v/>
      </c>
      <c r="L181" s="4">
        <f>IFERROR((D181-E181)/E181,"")</f>
        <v/>
      </c>
      <c r="M181" s="19">
        <f>IFERROR(F181*G181/10000,"")</f>
        <v/>
      </c>
    </row>
    <row r="182">
      <c r="A182" t="inlineStr">
        <is>
          <t>2026-10-30</t>
        </is>
      </c>
      <c r="B182" t="inlineStr">
        <is>
          <t>159255</t>
        </is>
      </c>
      <c r="C182" t="inlineStr">
        <is>
          <t>通用航空ETF易方达</t>
        </is>
      </c>
      <c r="D182" t="n">
        <v>6733.8868</v>
      </c>
      <c r="E182" t="n">
        <v>6733.8868</v>
      </c>
      <c r="F182" t="n">
        <v>0.7867</v>
      </c>
      <c r="G182" t="n">
        <v>0</v>
      </c>
      <c r="H182" t="n">
        <v>0.529755</v>
      </c>
      <c r="I182" t="n">
        <v>0.523156</v>
      </c>
      <c r="J182" t="n">
        <v>0.006599</v>
      </c>
      <c r="K182" s="4">
        <f>IFERROR(J182/I182,"")</f>
        <v/>
      </c>
      <c r="L182" s="4">
        <f>IFERROR((D182-E182)/E182,"")</f>
        <v/>
      </c>
      <c r="M182" s="19">
        <f>IFERROR(F182*G182/10000,"")</f>
        <v/>
      </c>
    </row>
    <row r="183">
      <c r="A183" t="inlineStr">
        <is>
          <t>2026-10-30</t>
        </is>
      </c>
      <c r="B183" t="inlineStr">
        <is>
          <t>159256</t>
        </is>
      </c>
      <c r="C183" t="inlineStr">
        <is>
          <t>创业板软件ETF华夏</t>
        </is>
      </c>
      <c r="D183" t="n">
        <v>60818.3766</v>
      </c>
      <c r="E183" t="n">
        <v>61218.3766</v>
      </c>
      <c r="F183" t="n">
        <v>0.7674</v>
      </c>
      <c r="G183" t="n">
        <v>-400</v>
      </c>
      <c r="H183" t="n">
        <v>4.667202</v>
      </c>
      <c r="I183" t="n">
        <v>4.63668</v>
      </c>
      <c r="J183" t="n">
        <v>0.030522</v>
      </c>
      <c r="K183" s="4">
        <f>IFERROR(J183/I183,"")</f>
        <v/>
      </c>
      <c r="L183" s="4">
        <f>IFERROR((D183-E183)/E183,"")</f>
        <v/>
      </c>
      <c r="M183" s="19">
        <f>IFERROR(F183*G183/10000,"")</f>
        <v/>
      </c>
    </row>
    <row r="184">
      <c r="A184" t="inlineStr">
        <is>
          <t>2026-10-30</t>
        </is>
      </c>
      <c r="B184" t="inlineStr">
        <is>
          <t>159257</t>
        </is>
      </c>
      <c r="C184" t="inlineStr">
        <is>
          <t>航空ETF汇添富</t>
        </is>
      </c>
      <c r="D184" t="n">
        <v>14441.6949</v>
      </c>
      <c r="E184" t="n">
        <v>14441.6949</v>
      </c>
      <c r="F184" t="n">
        <v>0.7866</v>
      </c>
      <c r="G184" t="n">
        <v>0</v>
      </c>
      <c r="H184" t="n">
        <v>1.135984</v>
      </c>
      <c r="I184" t="n">
        <v>1.121831</v>
      </c>
      <c r="J184" t="n">
        <v>0.014153</v>
      </c>
      <c r="K184" s="4">
        <f>IFERROR(J184/I184,"")</f>
        <v/>
      </c>
      <c r="L184" s="4">
        <f>IFERROR((D184-E184)/E184,"")</f>
        <v/>
      </c>
      <c r="M184" s="19">
        <f>IFERROR(F184*G184/10000,"")</f>
        <v/>
      </c>
    </row>
    <row r="185">
      <c r="A185" t="inlineStr">
        <is>
          <t>2026-10-30</t>
        </is>
      </c>
      <c r="B185" t="inlineStr">
        <is>
          <t>159258</t>
        </is>
      </c>
      <c r="C185" t="inlineStr">
        <is>
          <t>机器人ETF南方</t>
        </is>
      </c>
      <c r="D185" t="n">
        <v>136776.5664</v>
      </c>
      <c r="E185" t="n">
        <v>136626.5664</v>
      </c>
      <c r="F185" t="n">
        <v>1.0087</v>
      </c>
      <c r="G185" t="n">
        <v>150</v>
      </c>
      <c r="H185" t="n">
        <v>13.796652</v>
      </c>
      <c r="I185" t="n">
        <v>13.228184</v>
      </c>
      <c r="J185" t="n">
        <v>0.568468</v>
      </c>
      <c r="K185" s="4">
        <f>IFERROR(J185/I185,"")</f>
        <v/>
      </c>
      <c r="L185" s="4">
        <f>IFERROR((D185-E185)/E185,"")</f>
        <v/>
      </c>
      <c r="M185" s="19">
        <f>IFERROR(F185*G185/10000,"")</f>
        <v/>
      </c>
    </row>
    <row r="186">
      <c r="A186" t="inlineStr">
        <is>
          <t>2026-10-30</t>
        </is>
      </c>
      <c r="B186" t="inlineStr">
        <is>
          <t>159259</t>
        </is>
      </c>
      <c r="C186" t="inlineStr">
        <is>
          <t>成长ETF易方达</t>
        </is>
      </c>
      <c r="D186" t="n">
        <v>722769.6403</v>
      </c>
      <c r="E186" t="n">
        <v>711969.6403</v>
      </c>
      <c r="F186" t="n">
        <v>0.9995000000000001</v>
      </c>
      <c r="G186" t="n">
        <v>10800</v>
      </c>
      <c r="H186" t="n">
        <v>72.240826</v>
      </c>
      <c r="I186" t="n">
        <v>67.993101</v>
      </c>
      <c r="J186" t="n">
        <v>4.247725</v>
      </c>
      <c r="K186" s="4">
        <f>IFERROR(J186/I186,"")</f>
        <v/>
      </c>
      <c r="L186" s="4">
        <f>IFERROR((D186-E186)/E186,"")</f>
        <v/>
      </c>
      <c r="M186" s="19">
        <f>IFERROR(F186*G186/10000,"")</f>
        <v/>
      </c>
    </row>
    <row r="187">
      <c r="A187" t="inlineStr">
        <is>
          <t>2026-10-30</t>
        </is>
      </c>
      <c r="B187" t="inlineStr">
        <is>
          <t>159260</t>
        </is>
      </c>
      <c r="C187" t="inlineStr">
        <is>
          <t>证券ETF博时</t>
        </is>
      </c>
      <c r="D187" t="n">
        <v>104071.3576</v>
      </c>
      <c r="E187" t="n">
        <v>104021.3576</v>
      </c>
      <c r="F187" t="n">
        <v>0.7865</v>
      </c>
      <c r="G187" t="n">
        <v>50</v>
      </c>
      <c r="H187" t="n">
        <v>8.185212</v>
      </c>
      <c r="I187" t="n">
        <v>8.255134999999999</v>
      </c>
      <c r="J187" t="n">
        <v>-0.069923</v>
      </c>
      <c r="K187" s="4">
        <f>IFERROR(J187/I187,"")</f>
        <v/>
      </c>
      <c r="L187" s="4">
        <f>IFERROR((D187-E187)/E187,"")</f>
        <v/>
      </c>
      <c r="M187" s="19">
        <f>IFERROR(F187*G187/10000,"")</f>
        <v/>
      </c>
    </row>
    <row r="188">
      <c r="A188" t="inlineStr">
        <is>
          <t>2026-10-30</t>
        </is>
      </c>
      <c r="B188" t="inlineStr">
        <is>
          <t>159261</t>
        </is>
      </c>
      <c r="C188" t="inlineStr">
        <is>
          <t>创业板新能源ETF鹏华</t>
        </is>
      </c>
      <c r="D188" t="n">
        <v>4781.4904</v>
      </c>
      <c r="E188" t="n">
        <v>4981.4904</v>
      </c>
      <c r="F188" t="n">
        <v>1.0728</v>
      </c>
      <c r="G188" t="n">
        <v>-200</v>
      </c>
      <c r="H188" t="n">
        <v>0.512958</v>
      </c>
      <c r="I188" t="n">
        <v>0.52475</v>
      </c>
      <c r="J188" t="n">
        <v>-0.011792</v>
      </c>
      <c r="K188" s="4">
        <f>IFERROR(J188/I188,"")</f>
        <v/>
      </c>
      <c r="L188" s="4">
        <f>IFERROR((D188-E188)/E188,"")</f>
        <v/>
      </c>
      <c r="M188" s="19">
        <f>IFERROR(F188*G188/10000,"")</f>
        <v/>
      </c>
    </row>
    <row r="189">
      <c r="A189" t="inlineStr">
        <is>
          <t>2026-10-30</t>
        </is>
      </c>
      <c r="B189" t="inlineStr">
        <is>
          <t>159262</t>
        </is>
      </c>
      <c r="C189" t="inlineStr">
        <is>
          <t>港股通科技ETF广发</t>
        </is>
      </c>
      <c r="D189" t="n">
        <v>527622.0485</v>
      </c>
      <c r="E189" t="n">
        <v>527722.0485</v>
      </c>
      <c r="F189" t="n">
        <v>0.7040999999999999</v>
      </c>
      <c r="G189" t="n">
        <v>-100</v>
      </c>
      <c r="H189" t="n">
        <v>37.149868</v>
      </c>
      <c r="I189" t="n">
        <v>36.513089</v>
      </c>
      <c r="J189" t="n">
        <v>0.636779</v>
      </c>
      <c r="K189" s="4">
        <f>IFERROR(J189/I189,"")</f>
        <v/>
      </c>
      <c r="L189" s="4">
        <f>IFERROR((D189-E189)/E189,"")</f>
        <v/>
      </c>
      <c r="M189" s="19">
        <f>IFERROR(F189*G189/10000,"")</f>
        <v/>
      </c>
    </row>
    <row r="190">
      <c r="A190" t="inlineStr">
        <is>
          <t>2026-10-30</t>
        </is>
      </c>
      <c r="B190" t="inlineStr">
        <is>
          <t>159263</t>
        </is>
      </c>
      <c r="C190" t="inlineStr">
        <is>
          <t>价值ETF易方达</t>
        </is>
      </c>
      <c r="D190" t="n">
        <v>854110.5126</v>
      </c>
      <c r="E190" t="n">
        <v>855710.5126</v>
      </c>
      <c r="F190" t="n">
        <v>1.1194</v>
      </c>
      <c r="G190" t="n">
        <v>-1600</v>
      </c>
      <c r="H190" t="n">
        <v>95.609131</v>
      </c>
      <c r="I190" t="n">
        <v>95.728335</v>
      </c>
      <c r="J190" t="n">
        <v>-0.119204</v>
      </c>
      <c r="K190" s="4">
        <f>IFERROR(J190/I190,"")</f>
        <v/>
      </c>
      <c r="L190" s="4">
        <f>IFERROR((D190-E190)/E190,"")</f>
        <v/>
      </c>
      <c r="M190" s="19">
        <f>IFERROR(F190*G190/10000,"")</f>
        <v/>
      </c>
    </row>
    <row r="191">
      <c r="A191" t="inlineStr">
        <is>
          <t>2026-10-30</t>
        </is>
      </c>
      <c r="B191" t="inlineStr">
        <is>
          <t>159265</t>
        </is>
      </c>
      <c r="C191" t="inlineStr">
        <is>
          <t>港股消费ETF鹏华</t>
        </is>
      </c>
      <c r="D191" t="n">
        <v>18695.0894</v>
      </c>
      <c r="E191" t="n">
        <v>18695.0894</v>
      </c>
      <c r="F191" t="n">
        <v>0.7388</v>
      </c>
      <c r="G191" t="n">
        <v>0</v>
      </c>
      <c r="H191" t="n">
        <v>1.381193</v>
      </c>
      <c r="I191" t="n">
        <v>1.38998</v>
      </c>
      <c r="J191" t="n">
        <v>-0.008787</v>
      </c>
      <c r="K191" s="4">
        <f>IFERROR(J191/I191,"")</f>
        <v/>
      </c>
      <c r="L191" s="4">
        <f>IFERROR((D191-E191)/E191,"")</f>
        <v/>
      </c>
      <c r="M191" s="19">
        <f>IFERROR(F191*G191/10000,"")</f>
        <v/>
      </c>
    </row>
    <row r="192">
      <c r="A192" t="inlineStr">
        <is>
          <t>2026-10-30</t>
        </is>
      </c>
      <c r="B192" t="inlineStr">
        <is>
          <t>159266</t>
        </is>
      </c>
      <c r="C192" t="inlineStr">
        <is>
          <t>港股央企红利ETF永赢</t>
        </is>
      </c>
      <c r="D192" t="n">
        <v>32671.0088</v>
      </c>
      <c r="E192" t="n">
        <v>32671.0088</v>
      </c>
      <c r="F192" t="n">
        <v>0.969</v>
      </c>
      <c r="G192" t="n">
        <v>0</v>
      </c>
      <c r="H192" t="n">
        <v>3.165821</v>
      </c>
      <c r="I192" t="n">
        <v>3.171375</v>
      </c>
      <c r="J192" t="n">
        <v>-0.005554</v>
      </c>
      <c r="K192" s="4">
        <f>IFERROR(J192/I192,"")</f>
        <v/>
      </c>
      <c r="L192" s="4">
        <f>IFERROR((D192-E192)/E192,"")</f>
        <v/>
      </c>
      <c r="M192" s="19">
        <f>IFERROR(F192*G192/10000,"")</f>
        <v/>
      </c>
    </row>
    <row r="193">
      <c r="A193" t="inlineStr">
        <is>
          <t>2026-10-30</t>
        </is>
      </c>
      <c r="B193" t="inlineStr">
        <is>
          <t>159267</t>
        </is>
      </c>
      <c r="C193" t="inlineStr">
        <is>
          <t>航天ETF华安</t>
        </is>
      </c>
      <c r="D193" t="n">
        <v>250650.6126</v>
      </c>
      <c r="E193" t="n">
        <v>250150.6126</v>
      </c>
      <c r="F193" t="n">
        <v>0.8045</v>
      </c>
      <c r="G193" t="n">
        <v>500</v>
      </c>
      <c r="H193" t="n">
        <v>20.164842</v>
      </c>
      <c r="I193" t="n">
        <v>19.834442</v>
      </c>
      <c r="J193" t="n">
        <v>0.3304</v>
      </c>
      <c r="K193" s="4">
        <f>IFERROR(J193/I193,"")</f>
        <v/>
      </c>
      <c r="L193" s="4">
        <f>IFERROR((D193-E193)/E193,"")</f>
        <v/>
      </c>
      <c r="M193" s="19">
        <f>IFERROR(F193*G193/10000,"")</f>
        <v/>
      </c>
    </row>
    <row r="194">
      <c r="A194" t="inlineStr">
        <is>
          <t>2026-10-30</t>
        </is>
      </c>
      <c r="B194" t="inlineStr">
        <is>
          <t>159268</t>
        </is>
      </c>
      <c r="C194" t="inlineStr">
        <is>
          <t>港股通消费ETF汇添富</t>
        </is>
      </c>
      <c r="D194" t="n">
        <v>38805.5027</v>
      </c>
      <c r="E194" t="n">
        <v>38805.5027</v>
      </c>
      <c r="F194" t="n">
        <v>0.7111</v>
      </c>
      <c r="G194" t="n">
        <v>0</v>
      </c>
      <c r="H194" t="n">
        <v>2.759459</v>
      </c>
      <c r="I194" t="n">
        <v>2.77731</v>
      </c>
      <c r="J194" t="n">
        <v>-0.017851</v>
      </c>
      <c r="K194" s="4">
        <f>IFERROR(J194/I194,"")</f>
        <v/>
      </c>
      <c r="L194" s="4">
        <f>IFERROR((D194-E194)/E194,"")</f>
        <v/>
      </c>
      <c r="M194" s="19">
        <f>IFERROR(F194*G194/10000,"")</f>
        <v/>
      </c>
    </row>
    <row r="195">
      <c r="A195" t="inlineStr">
        <is>
          <t>2026-10-30</t>
        </is>
      </c>
      <c r="B195" t="inlineStr">
        <is>
          <t>159269</t>
        </is>
      </c>
      <c r="C195" t="inlineStr">
        <is>
          <t>港股通科技ETF南方</t>
        </is>
      </c>
      <c r="D195" t="n">
        <v>139031.1712</v>
      </c>
      <c r="E195" t="n">
        <v>139031.1712</v>
      </c>
      <c r="F195" t="n">
        <v>0.7165</v>
      </c>
      <c r="G195" t="n">
        <v>0</v>
      </c>
      <c r="H195" t="n">
        <v>9.961582999999999</v>
      </c>
      <c r="I195" t="n">
        <v>9.789185</v>
      </c>
      <c r="J195" t="n">
        <v>0.172398</v>
      </c>
      <c r="K195" s="4">
        <f>IFERROR(J195/I195,"")</f>
        <v/>
      </c>
      <c r="L195" s="4">
        <f>IFERROR((D195-E195)/E195,"")</f>
        <v/>
      </c>
      <c r="M195" s="19">
        <f>IFERROR(F195*G195/10000,"")</f>
        <v/>
      </c>
    </row>
    <row r="196">
      <c r="A196" t="inlineStr">
        <is>
          <t>2026-10-30</t>
        </is>
      </c>
      <c r="B196" t="inlineStr">
        <is>
          <t>159270</t>
        </is>
      </c>
      <c r="C196" t="inlineStr">
        <is>
          <t>创业板200ETF南方</t>
        </is>
      </c>
      <c r="D196" t="n">
        <v>8876.3649</v>
      </c>
      <c r="E196" t="n">
        <v>8876.3649</v>
      </c>
      <c r="F196" t="n">
        <v>0.9977</v>
      </c>
      <c r="G196" t="n">
        <v>0</v>
      </c>
      <c r="H196" t="n">
        <v>0.885595</v>
      </c>
      <c r="I196" t="n">
        <v>0.857546</v>
      </c>
      <c r="J196" t="n">
        <v>0.028049</v>
      </c>
      <c r="K196" s="4">
        <f>IFERROR(J196/I196,"")</f>
        <v/>
      </c>
      <c r="L196" s="4">
        <f>IFERROR((D196-E196)/E196,"")</f>
        <v/>
      </c>
      <c r="M196" s="19">
        <f>IFERROR(F196*G196/10000,"")</f>
        <v/>
      </c>
    </row>
    <row r="197">
      <c r="A197" t="inlineStr">
        <is>
          <t>2026-10-30</t>
        </is>
      </c>
      <c r="B197" t="inlineStr">
        <is>
          <t>159271</t>
        </is>
      </c>
      <c r="C197" t="inlineStr">
        <is>
          <t>恒生ETF鹏华</t>
        </is>
      </c>
      <c r="D197" t="n">
        <v>22238.6731</v>
      </c>
      <c r="E197" t="n">
        <v>22338.6731</v>
      </c>
      <c r="F197" t="n">
        <v>0.8748</v>
      </c>
      <c r="G197" t="n">
        <v>-100</v>
      </c>
      <c r="H197" t="n">
        <v>1.945439</v>
      </c>
      <c r="I197" t="n">
        <v>1.949496</v>
      </c>
      <c r="J197" t="n">
        <v>-0.004057</v>
      </c>
      <c r="K197" s="4">
        <f>IFERROR(J197/I197,"")</f>
        <v/>
      </c>
      <c r="L197" s="4">
        <f>IFERROR((D197-E197)/E197,"")</f>
        <v/>
      </c>
      <c r="M197" s="19">
        <f>IFERROR(F197*G197/10000,"")</f>
        <v/>
      </c>
    </row>
    <row r="198">
      <c r="A198" t="inlineStr">
        <is>
          <t>2026-10-30</t>
        </is>
      </c>
      <c r="B198" t="inlineStr">
        <is>
          <t>159272</t>
        </is>
      </c>
      <c r="C198" t="inlineStr">
        <is>
          <t>机器人ETF富国</t>
        </is>
      </c>
      <c r="D198" t="n">
        <v>373116.469</v>
      </c>
      <c r="E198" t="n">
        <v>364216.469</v>
      </c>
      <c r="F198" t="n">
        <v>0.8031</v>
      </c>
      <c r="G198" t="n">
        <v>8900</v>
      </c>
      <c r="H198" t="n">
        <v>29.964984</v>
      </c>
      <c r="I198" t="n">
        <v>27.826138</v>
      </c>
      <c r="J198" t="n">
        <v>2.138846</v>
      </c>
      <c r="K198" s="4">
        <f>IFERROR(J198/I198,"")</f>
        <v/>
      </c>
      <c r="L198" s="4">
        <f>IFERROR((D198-E198)/E198,"")</f>
        <v/>
      </c>
      <c r="M198" s="19">
        <f>IFERROR(F198*G198/10000,"")</f>
        <v/>
      </c>
    </row>
    <row r="199">
      <c r="A199" t="inlineStr">
        <is>
          <t>2026-10-30</t>
        </is>
      </c>
      <c r="B199" t="inlineStr">
        <is>
          <t>159273</t>
        </is>
      </c>
      <c r="C199" t="inlineStr">
        <is>
          <t>云计算ETF汇添富</t>
        </is>
      </c>
      <c r="D199" t="n">
        <v>68327.7501</v>
      </c>
      <c r="E199" t="n">
        <v>68627.7501</v>
      </c>
      <c r="F199" t="n">
        <v>1.1875</v>
      </c>
      <c r="G199" t="n">
        <v>-300</v>
      </c>
      <c r="H199" t="n">
        <v>8.11392</v>
      </c>
      <c r="I199" t="n">
        <v>7.998564</v>
      </c>
      <c r="J199" t="n">
        <v>0.115356</v>
      </c>
      <c r="K199" s="4">
        <f>IFERROR(J199/I199,"")</f>
        <v/>
      </c>
      <c r="L199" s="4">
        <f>IFERROR((D199-E199)/E199,"")</f>
        <v/>
      </c>
      <c r="M199" s="19">
        <f>IFERROR(F199*G199/10000,"")</f>
        <v/>
      </c>
    </row>
    <row r="200">
      <c r="A200" t="inlineStr">
        <is>
          <t>2026-10-30</t>
        </is>
      </c>
      <c r="B200" t="inlineStr">
        <is>
          <t>159275</t>
        </is>
      </c>
      <c r="C200" t="inlineStr">
        <is>
          <t>农牧渔ETF华宝</t>
        </is>
      </c>
      <c r="D200" t="n">
        <v>24430.2909</v>
      </c>
      <c r="E200" t="n">
        <v>24630.2909</v>
      </c>
      <c r="F200" t="n">
        <v>0.8304</v>
      </c>
      <c r="G200" t="n">
        <v>-200</v>
      </c>
      <c r="H200" t="n">
        <v>2.028691</v>
      </c>
      <c r="I200" t="n">
        <v>2.062541</v>
      </c>
      <c r="J200" t="n">
        <v>-0.03385</v>
      </c>
      <c r="K200" s="4">
        <f>IFERROR(J200/I200,"")</f>
        <v/>
      </c>
      <c r="L200" s="4">
        <f>IFERROR((D200-E200)/E200,"")</f>
        <v/>
      </c>
      <c r="M200" s="19">
        <f>IFERROR(F200*G200/10000,"")</f>
        <v/>
      </c>
    </row>
    <row r="201">
      <c r="A201" t="inlineStr">
        <is>
          <t>2026-10-30</t>
        </is>
      </c>
      <c r="B201" t="inlineStr">
        <is>
          <t>159276</t>
        </is>
      </c>
      <c r="C201" t="inlineStr">
        <is>
          <t>现金流ETF汇添富</t>
        </is>
      </c>
      <c r="D201" t="n">
        <v>68169.6658</v>
      </c>
      <c r="E201" t="n">
        <v>68169.6658</v>
      </c>
      <c r="F201" t="n">
        <v>1.0809</v>
      </c>
      <c r="G201" t="n">
        <v>0</v>
      </c>
      <c r="H201" t="n">
        <v>7.368459</v>
      </c>
      <c r="I201" t="n">
        <v>7.379366</v>
      </c>
      <c r="J201" t="n">
        <v>-0.010907</v>
      </c>
      <c r="K201" s="4">
        <f>IFERROR(J201/I201,"")</f>
        <v/>
      </c>
      <c r="L201" s="4">
        <f>IFERROR((D201-E201)/E201,"")</f>
        <v/>
      </c>
      <c r="M201" s="19">
        <f>IFERROR(F201*G201/10000,"")</f>
        <v/>
      </c>
    </row>
    <row r="202">
      <c r="A202" t="inlineStr">
        <is>
          <t>2026-10-30</t>
        </is>
      </c>
      <c r="B202" t="inlineStr">
        <is>
          <t>159277</t>
        </is>
      </c>
      <c r="C202" t="inlineStr">
        <is>
          <t>港股通红利ETF富国</t>
        </is>
      </c>
      <c r="D202" t="n">
        <v>3155.7011</v>
      </c>
      <c r="E202" t="n">
        <v>3155.7011</v>
      </c>
      <c r="F202" t="n">
        <v>0.9539</v>
      </c>
      <c r="G202" t="n">
        <v>0</v>
      </c>
      <c r="H202" t="n">
        <v>0.301022</v>
      </c>
      <c r="I202" t="n">
        <v>0.301243</v>
      </c>
      <c r="J202" t="n">
        <v>-0.000221</v>
      </c>
      <c r="K202" s="4">
        <f>IFERROR(J202/I202,"")</f>
        <v/>
      </c>
      <c r="L202" s="4">
        <f>IFERROR((D202-E202)/E202,"")</f>
        <v/>
      </c>
      <c r="M202" s="19">
        <f>IFERROR(F202*G202/10000,"")</f>
        <v/>
      </c>
    </row>
    <row r="203">
      <c r="A203" t="inlineStr">
        <is>
          <t>2026-10-30</t>
        </is>
      </c>
      <c r="B203" t="inlineStr">
        <is>
          <t>159278</t>
        </is>
      </c>
      <c r="C203" t="inlineStr">
        <is>
          <t>机器人ETF鹏华</t>
        </is>
      </c>
      <c r="D203" t="n">
        <v>195054.5853</v>
      </c>
      <c r="E203" t="n">
        <v>195054.5853</v>
      </c>
      <c r="F203" t="n">
        <v>0.9458</v>
      </c>
      <c r="G203" t="n">
        <v>0</v>
      </c>
      <c r="H203" t="n">
        <v>18.448263</v>
      </c>
      <c r="I203" t="n">
        <v>17.560764</v>
      </c>
      <c r="J203" t="n">
        <v>0.887499</v>
      </c>
      <c r="K203" s="4">
        <f>IFERROR(J203/I203,"")</f>
        <v/>
      </c>
      <c r="L203" s="4">
        <f>IFERROR((D203-E203)/E203,"")</f>
        <v/>
      </c>
      <c r="M203" s="19">
        <f>IFERROR(F203*G203/10000,"")</f>
        <v/>
      </c>
    </row>
    <row r="204">
      <c r="A204" t="inlineStr">
        <is>
          <t>2026-10-30</t>
        </is>
      </c>
      <c r="B204" t="inlineStr">
        <is>
          <t>159279</t>
        </is>
      </c>
      <c r="C204" t="inlineStr">
        <is>
          <t>创业板人工智能ETF华安</t>
        </is>
      </c>
      <c r="D204" t="n">
        <v>17638.7534</v>
      </c>
      <c r="E204" t="n">
        <v>16138.7534</v>
      </c>
      <c r="F204" t="n">
        <v>1.1232</v>
      </c>
      <c r="G204" t="n">
        <v>1500</v>
      </c>
      <c r="H204" t="n">
        <v>1.981185</v>
      </c>
      <c r="I204" t="n">
        <v>1.730397</v>
      </c>
      <c r="J204" t="n">
        <v>0.250788</v>
      </c>
      <c r="K204" s="4">
        <f>IFERROR(J204/I204,"")</f>
        <v/>
      </c>
      <c r="L204" s="4">
        <f>IFERROR((D204-E204)/E204,"")</f>
        <v/>
      </c>
      <c r="M204" s="19">
        <f>IFERROR(F204*G204/10000,"")</f>
        <v/>
      </c>
    </row>
    <row r="205">
      <c r="A205" t="inlineStr">
        <is>
          <t>2026-10-30</t>
        </is>
      </c>
      <c r="B205" t="inlineStr">
        <is>
          <t>159280</t>
        </is>
      </c>
      <c r="C205" t="inlineStr">
        <is>
          <t>港股通互联网ETF汇添富</t>
        </is>
      </c>
      <c r="D205" t="n">
        <v>16771.7171</v>
      </c>
      <c r="E205" t="n">
        <v>16771.7171</v>
      </c>
      <c r="F205" t="n">
        <v>0.6038</v>
      </c>
      <c r="G205" t="n">
        <v>0</v>
      </c>
      <c r="H205" t="n">
        <v>1.012676</v>
      </c>
      <c r="I205" t="n">
        <v>1.00211</v>
      </c>
      <c r="J205" t="n">
        <v>0.010566</v>
      </c>
      <c r="K205" s="4">
        <f>IFERROR(J205/I205,"")</f>
        <v/>
      </c>
      <c r="L205" s="4">
        <f>IFERROR((D205-E205)/E205,"")</f>
        <v/>
      </c>
      <c r="M205" s="19">
        <f>IFERROR(F205*G205/10000,"")</f>
        <v/>
      </c>
    </row>
    <row r="206">
      <c r="A206" t="inlineStr">
        <is>
          <t>2026-10-30</t>
        </is>
      </c>
      <c r="B206" t="inlineStr">
        <is>
          <t>159281</t>
        </is>
      </c>
      <c r="C206" t="inlineStr">
        <is>
          <t>港股央企红利ETF天弘</t>
        </is>
      </c>
      <c r="D206" t="n">
        <v>23923.3059</v>
      </c>
      <c r="E206" t="n">
        <v>23923.3059</v>
      </c>
      <c r="F206" t="n">
        <v>0.9516</v>
      </c>
      <c r="G206" t="n">
        <v>0</v>
      </c>
      <c r="H206" t="n">
        <v>2.276542</v>
      </c>
      <c r="I206" t="n">
        <v>2.28037</v>
      </c>
      <c r="J206" t="n">
        <v>-0.003828</v>
      </c>
      <c r="K206" s="4">
        <f>IFERROR(J206/I206,"")</f>
        <v/>
      </c>
      <c r="L206" s="4">
        <f>IFERROR((D206-E206)/E206,"")</f>
        <v/>
      </c>
      <c r="M206" s="19">
        <f>IFERROR(F206*G206/10000,"")</f>
        <v/>
      </c>
    </row>
    <row r="207">
      <c r="A207" t="inlineStr">
        <is>
          <t>2026-10-30</t>
        </is>
      </c>
      <c r="B207" t="inlineStr">
        <is>
          <t>159283</t>
        </is>
      </c>
      <c r="C207" t="inlineStr">
        <is>
          <t>通用航空ETF南方</t>
        </is>
      </c>
      <c r="D207" t="n">
        <v>29143.7981</v>
      </c>
      <c r="E207" t="n">
        <v>29143.7981</v>
      </c>
      <c r="F207" t="n">
        <v>0.7959000000000001</v>
      </c>
      <c r="G207" t="n">
        <v>0</v>
      </c>
      <c r="H207" t="n">
        <v>2.319555</v>
      </c>
      <c r="I207" t="n">
        <v>2.278754</v>
      </c>
      <c r="J207" t="n">
        <v>0.040801</v>
      </c>
      <c r="K207" s="4">
        <f>IFERROR(J207/I207,"")</f>
        <v/>
      </c>
      <c r="L207" s="4">
        <f>IFERROR((D207-E207)/E207,"")</f>
        <v/>
      </c>
      <c r="M207" s="19">
        <f>IFERROR(F207*G207/10000,"")</f>
        <v/>
      </c>
    </row>
    <row r="208">
      <c r="A208" t="inlineStr">
        <is>
          <t>2026-10-30</t>
        </is>
      </c>
      <c r="B208" t="inlineStr">
        <is>
          <t>159285</t>
        </is>
      </c>
      <c r="C208" t="inlineStr">
        <is>
          <t>港股通消费ETF华安</t>
        </is>
      </c>
      <c r="D208" t="n">
        <v>24448.668</v>
      </c>
      <c r="E208" t="n">
        <v>24548.668</v>
      </c>
      <c r="F208" t="n">
        <v>0.7082000000000001</v>
      </c>
      <c r="G208" t="n">
        <v>-100</v>
      </c>
      <c r="H208" t="n">
        <v>1.731455</v>
      </c>
      <c r="I208" t="n">
        <v>1.750075</v>
      </c>
      <c r="J208" t="n">
        <v>-0.01862</v>
      </c>
      <c r="K208" s="4">
        <f>IFERROR(J208/I208,"")</f>
        <v/>
      </c>
      <c r="L208" s="4">
        <f>IFERROR((D208-E208)/E208,"")</f>
        <v/>
      </c>
      <c r="M208" s="19">
        <f>IFERROR(F208*G208/10000,"")</f>
        <v/>
      </c>
    </row>
    <row r="209">
      <c r="A209" t="inlineStr">
        <is>
          <t>2026-10-30</t>
        </is>
      </c>
      <c r="B209" t="inlineStr">
        <is>
          <t>159286</t>
        </is>
      </c>
      <c r="C209" t="inlineStr">
        <is>
          <t>港股通创新药ETF鹏华</t>
        </is>
      </c>
      <c r="D209" t="n">
        <v>69978.5402</v>
      </c>
      <c r="E209" t="n">
        <v>70078.5402</v>
      </c>
      <c r="F209" t="n">
        <v>0.6696</v>
      </c>
      <c r="G209" t="n">
        <v>-100</v>
      </c>
      <c r="H209" t="n">
        <v>4.685763</v>
      </c>
      <c r="I209" t="n">
        <v>4.637798</v>
      </c>
      <c r="J209" t="n">
        <v>0.047965</v>
      </c>
      <c r="K209" s="4">
        <f>IFERROR(J209/I209,"")</f>
        <v/>
      </c>
      <c r="L209" s="4">
        <f>IFERROR((D209-E209)/E209,"")</f>
        <v/>
      </c>
      <c r="M209" s="19">
        <f>IFERROR(F209*G209/10000,"")</f>
        <v/>
      </c>
    </row>
    <row r="210">
      <c r="A210" t="inlineStr">
        <is>
          <t>2026-10-30</t>
        </is>
      </c>
      <c r="B210" t="inlineStr">
        <is>
          <t>159287</t>
        </is>
      </c>
      <c r="C210" t="inlineStr">
        <is>
          <t>创业板综ETF博时</t>
        </is>
      </c>
      <c r="D210" t="n">
        <v>12156.8753</v>
      </c>
      <c r="E210" t="n">
        <v>12156.8753</v>
      </c>
      <c r="F210" t="n">
        <v>0.9206</v>
      </c>
      <c r="G210" t="n">
        <v>0</v>
      </c>
      <c r="H210" t="n">
        <v>1.119162</v>
      </c>
      <c r="I210" t="n">
        <v>1.085852</v>
      </c>
      <c r="J210" t="n">
        <v>0.03331</v>
      </c>
      <c r="K210" s="4">
        <f>IFERROR(J210/I210,"")</f>
        <v/>
      </c>
      <c r="L210" s="4">
        <f>IFERROR((D210-E210)/E210,"")</f>
        <v/>
      </c>
      <c r="M210" s="19">
        <f>IFERROR(F210*G210/10000,"")</f>
        <v/>
      </c>
    </row>
    <row r="211">
      <c r="A211" t="inlineStr">
        <is>
          <t>2026-10-30</t>
        </is>
      </c>
      <c r="B211" t="inlineStr">
        <is>
          <t>159288</t>
        </is>
      </c>
      <c r="C211" t="inlineStr">
        <is>
          <t>创业板综ETF银华</t>
        </is>
      </c>
      <c r="D211" t="n">
        <v>9217.4931</v>
      </c>
      <c r="E211" t="n">
        <v>9217.4931</v>
      </c>
      <c r="F211" t="n">
        <v>0.8322000000000001</v>
      </c>
      <c r="G211" t="n">
        <v>0</v>
      </c>
      <c r="H211" t="n">
        <v>0.76708</v>
      </c>
      <c r="I211" t="n">
        <v>0.744958</v>
      </c>
      <c r="J211" t="n">
        <v>0.022122</v>
      </c>
      <c r="K211" s="4">
        <f>IFERROR(J211/I211,"")</f>
        <v/>
      </c>
      <c r="L211" s="4">
        <f>IFERROR((D211-E211)/E211,"")</f>
        <v/>
      </c>
      <c r="M211" s="19">
        <f>IFERROR(F211*G211/10000,"")</f>
        <v/>
      </c>
    </row>
    <row r="212">
      <c r="A212" t="inlineStr">
        <is>
          <t>2026-10-30</t>
        </is>
      </c>
      <c r="B212" t="inlineStr">
        <is>
          <t>159289</t>
        </is>
      </c>
      <c r="C212" t="inlineStr">
        <is>
          <t>创业板综指ETF鹏华</t>
        </is>
      </c>
      <c r="D212" t="n">
        <v>4890.264</v>
      </c>
      <c r="E212" t="n">
        <v>5390.264</v>
      </c>
      <c r="F212" t="n">
        <v>0.8972</v>
      </c>
      <c r="G212" t="n">
        <v>-500</v>
      </c>
      <c r="H212" t="n">
        <v>0.438754</v>
      </c>
      <c r="I212" t="n">
        <v>0.469384</v>
      </c>
      <c r="J212" t="n">
        <v>-0.03063</v>
      </c>
      <c r="K212" s="4">
        <f>IFERROR(J212/I212,"")</f>
        <v/>
      </c>
      <c r="L212" s="4">
        <f>IFERROR((D212-E212)/E212,"")</f>
        <v/>
      </c>
      <c r="M212" s="19">
        <f>IFERROR(F212*G212/10000,"")</f>
        <v/>
      </c>
    </row>
    <row r="213">
      <c r="A213" t="inlineStr">
        <is>
          <t>2026-10-30</t>
        </is>
      </c>
      <c r="B213" t="inlineStr">
        <is>
          <t>159290</t>
        </is>
      </c>
      <c r="C213" t="inlineStr">
        <is>
          <t>创业板综指增强ETF东财</t>
        </is>
      </c>
      <c r="D213" t="n">
        <v>5710.0396</v>
      </c>
      <c r="E213" t="n">
        <v>5710.0396</v>
      </c>
      <c r="F213" t="n">
        <v>0.9558</v>
      </c>
      <c r="G213" t="n">
        <v>0</v>
      </c>
      <c r="H213" t="n">
        <v>0.545766</v>
      </c>
      <c r="I213" t="n">
        <v>0.526865</v>
      </c>
      <c r="J213" t="n">
        <v>0.018901</v>
      </c>
      <c r="K213" s="4">
        <f>IFERROR(J213/I213,"")</f>
        <v/>
      </c>
      <c r="L213" s="4">
        <f>IFERROR((D213-E213)/E213,"")</f>
        <v/>
      </c>
      <c r="M213" s="19">
        <f>IFERROR(F213*G213/10000,"")</f>
        <v/>
      </c>
    </row>
    <row r="214">
      <c r="A214" t="inlineStr">
        <is>
          <t>2026-10-30</t>
        </is>
      </c>
      <c r="B214" t="inlineStr">
        <is>
          <t>159291</t>
        </is>
      </c>
      <c r="C214" t="inlineStr">
        <is>
          <t>创业板综增强ETF招商</t>
        </is>
      </c>
      <c r="D214" t="n">
        <v>2145.7388</v>
      </c>
      <c r="E214" t="n">
        <v>2345.7388</v>
      </c>
      <c r="F214" t="n">
        <v>0.9688</v>
      </c>
      <c r="G214" t="n">
        <v>-200</v>
      </c>
      <c r="H214" t="n">
        <v>0.207879</v>
      </c>
      <c r="I214" t="n">
        <v>0.218998</v>
      </c>
      <c r="J214" t="n">
        <v>-0.011119</v>
      </c>
      <c r="K214" s="4">
        <f>IFERROR(J214/I214,"")</f>
        <v/>
      </c>
      <c r="L214" s="4">
        <f>IFERROR((D214-E214)/E214,"")</f>
        <v/>
      </c>
      <c r="M214" s="19">
        <f>IFERROR(F214*G214/10000,"")</f>
        <v/>
      </c>
    </row>
    <row r="215">
      <c r="A215" t="inlineStr">
        <is>
          <t>2026-10-30</t>
        </is>
      </c>
      <c r="B215" t="inlineStr">
        <is>
          <t>159292</t>
        </is>
      </c>
      <c r="C215" t="inlineStr">
        <is>
          <t>创业板综增强ETF华宝</t>
        </is>
      </c>
      <c r="D215" t="n">
        <v>17218.9531</v>
      </c>
      <c r="E215" t="n">
        <v>17218.9531</v>
      </c>
      <c r="F215" t="n">
        <v>0.9795</v>
      </c>
      <c r="G215" t="n">
        <v>0</v>
      </c>
      <c r="H215" t="n">
        <v>1.686596</v>
      </c>
      <c r="I215" t="n">
        <v>1.638039</v>
      </c>
      <c r="J215" t="n">
        <v>0.048557</v>
      </c>
      <c r="K215" s="4">
        <f>IFERROR(J215/I215,"")</f>
        <v/>
      </c>
      <c r="L215" s="4">
        <f>IFERROR((D215-E215)/E215,"")</f>
        <v/>
      </c>
      <c r="M215" s="19">
        <f>IFERROR(F215*G215/10000,"")</f>
        <v/>
      </c>
    </row>
    <row r="216">
      <c r="A216" t="inlineStr">
        <is>
          <t>2026-10-30</t>
        </is>
      </c>
      <c r="B216" t="inlineStr">
        <is>
          <t>159293</t>
        </is>
      </c>
      <c r="C216" t="inlineStr">
        <is>
          <t>创业板综增强ETF建信</t>
        </is>
      </c>
      <c r="D216" t="n">
        <v>2515.9397</v>
      </c>
      <c r="E216" t="n">
        <v>2315.9397</v>
      </c>
      <c r="F216" t="n">
        <v>0.8753</v>
      </c>
      <c r="G216" t="n">
        <v>200</v>
      </c>
      <c r="H216" t="n">
        <v>0.22022</v>
      </c>
      <c r="I216" t="n">
        <v>0.19623</v>
      </c>
      <c r="J216" t="n">
        <v>0.02399</v>
      </c>
      <c r="K216" s="4">
        <f>IFERROR(J216/I216,"")</f>
        <v/>
      </c>
      <c r="L216" s="4">
        <f>IFERROR((D216-E216)/E216,"")</f>
        <v/>
      </c>
      <c r="M216" s="19">
        <f>IFERROR(F216*G216/10000,"")</f>
        <v/>
      </c>
    </row>
    <row r="217">
      <c r="A217" t="inlineStr">
        <is>
          <t>2026-10-30</t>
        </is>
      </c>
      <c r="B217" t="inlineStr">
        <is>
          <t>159295</t>
        </is>
      </c>
      <c r="C217" t="inlineStr">
        <is>
          <t>创业综指ETF西部利得</t>
        </is>
      </c>
      <c r="D217" t="n">
        <v>11495.8239</v>
      </c>
      <c r="E217" t="n">
        <v>10895.8239</v>
      </c>
      <c r="F217" t="n">
        <v>0.793</v>
      </c>
      <c r="G217" t="n">
        <v>600</v>
      </c>
      <c r="H217" t="n">
        <v>0.911619</v>
      </c>
      <c r="I217" t="n">
        <v>0.815661</v>
      </c>
      <c r="J217" t="n">
        <v>0.095958</v>
      </c>
      <c r="K217" s="4">
        <f>IFERROR(J217/I217,"")</f>
        <v/>
      </c>
      <c r="L217" s="4">
        <f>IFERROR((D217-E217)/E217,"")</f>
        <v/>
      </c>
      <c r="M217" s="19">
        <f>IFERROR(F217*G217/10000,"")</f>
        <v/>
      </c>
    </row>
    <row r="218">
      <c r="A218" t="inlineStr">
        <is>
          <t>2026-10-30</t>
        </is>
      </c>
      <c r="B218" t="inlineStr">
        <is>
          <t>159296</t>
        </is>
      </c>
      <c r="C218" t="inlineStr">
        <is>
          <t>A500红利低波ETF华宝</t>
        </is>
      </c>
      <c r="D218" t="n">
        <v>3004.2941</v>
      </c>
      <c r="E218" t="n">
        <v>3004.2941</v>
      </c>
      <c r="F218" t="n">
        <v>1.0429</v>
      </c>
      <c r="G218" t="n">
        <v>0</v>
      </c>
      <c r="H218" t="n">
        <v>0.313318</v>
      </c>
      <c r="I218" t="n">
        <v>0.31464</v>
      </c>
      <c r="J218" t="n">
        <v>-0.001322</v>
      </c>
      <c r="K218" s="4">
        <f>IFERROR(J218/I218,"")</f>
        <v/>
      </c>
      <c r="L218" s="4">
        <f>IFERROR((D218-E218)/E218,"")</f>
        <v/>
      </c>
      <c r="M218" s="19">
        <f>IFERROR(F218*G218/10000,"")</f>
        <v/>
      </c>
    </row>
    <row r="219">
      <c r="A219" t="inlineStr">
        <is>
          <t>2026-10-30</t>
        </is>
      </c>
      <c r="B219" t="inlineStr">
        <is>
          <t>159297</t>
        </is>
      </c>
      <c r="C219" t="inlineStr">
        <is>
          <t>港股通创新药ETF南方</t>
        </is>
      </c>
      <c r="D219" t="n">
        <v>329441.8642</v>
      </c>
      <c r="E219" t="n">
        <v>330441.8642</v>
      </c>
      <c r="F219" t="n">
        <v>0.6545</v>
      </c>
      <c r="G219" t="n">
        <v>-1000</v>
      </c>
      <c r="H219" t="n">
        <v>21.56197</v>
      </c>
      <c r="I219" t="n">
        <v>21.37298</v>
      </c>
      <c r="J219" t="n">
        <v>0.18899</v>
      </c>
      <c r="K219" s="4">
        <f>IFERROR(J219/I219,"")</f>
        <v/>
      </c>
      <c r="L219" s="4">
        <f>IFERROR((D219-E219)/E219,"")</f>
        <v/>
      </c>
      <c r="M219" s="19">
        <f>IFERROR(F219*G219/10000,"")</f>
        <v/>
      </c>
    </row>
    <row r="220">
      <c r="A220" t="inlineStr">
        <is>
          <t>2026-10-30</t>
        </is>
      </c>
      <c r="B220" t="inlineStr">
        <is>
          <t>159298</t>
        </is>
      </c>
      <c r="C220" t="inlineStr">
        <is>
          <t>创业板50ETF大成</t>
        </is>
      </c>
      <c r="D220" t="n">
        <v>21128.1082</v>
      </c>
      <c r="E220" t="n">
        <v>20228.1082</v>
      </c>
      <c r="F220" t="n">
        <v>0.9029</v>
      </c>
      <c r="G220" t="n">
        <v>900</v>
      </c>
      <c r="H220" t="n">
        <v>1.907657</v>
      </c>
      <c r="I220" t="n">
        <v>1.76288</v>
      </c>
      <c r="J220" t="n">
        <v>0.144777</v>
      </c>
      <c r="K220" s="4">
        <f>IFERROR(J220/I220,"")</f>
        <v/>
      </c>
      <c r="L220" s="4">
        <f>IFERROR((D220-E220)/E220,"")</f>
        <v/>
      </c>
      <c r="M220" s="19">
        <f>IFERROR(F220*G220/10000,"")</f>
        <v/>
      </c>
    </row>
    <row r="221">
      <c r="A221" t="inlineStr">
        <is>
          <t>2026-10-30</t>
        </is>
      </c>
      <c r="B221" t="inlineStr">
        <is>
          <t>159299</t>
        </is>
      </c>
      <c r="C221" t="inlineStr">
        <is>
          <t>金融科技ETF易方达</t>
        </is>
      </c>
      <c r="D221" t="n">
        <v>67947.2981</v>
      </c>
      <c r="E221" t="n">
        <v>67947.2981</v>
      </c>
      <c r="F221" t="n">
        <v>0.6422</v>
      </c>
      <c r="G221" t="n">
        <v>0</v>
      </c>
      <c r="H221" t="n">
        <v>4.363575</v>
      </c>
      <c r="I221" t="n">
        <v>4.352704</v>
      </c>
      <c r="J221" t="n">
        <v>0.010871</v>
      </c>
      <c r="K221" s="4">
        <f>IFERROR(J221/I221,"")</f>
        <v/>
      </c>
      <c r="L221" s="4">
        <f>IFERROR((D221-E221)/E221,"")</f>
        <v/>
      </c>
      <c r="M221" s="19">
        <f>IFERROR(F221*G221/10000,"")</f>
        <v/>
      </c>
    </row>
    <row r="222">
      <c r="A222" t="inlineStr">
        <is>
          <t>2026-10-30</t>
        </is>
      </c>
      <c r="B222" t="inlineStr">
        <is>
          <t>159300</t>
        </is>
      </c>
      <c r="C222" t="inlineStr">
        <is>
          <t>沪深300ETF富国</t>
        </is>
      </c>
      <c r="D222" t="n">
        <v>53105.8097</v>
      </c>
      <c r="E222" t="n">
        <v>53105.8097</v>
      </c>
      <c r="F222" t="n">
        <v>4.4627</v>
      </c>
      <c r="G222" t="n">
        <v>0</v>
      </c>
      <c r="H222" t="n">
        <v>23.69953</v>
      </c>
      <c r="I222" t="n">
        <v>23.499321</v>
      </c>
      <c r="J222" t="n">
        <v>0.200209</v>
      </c>
      <c r="K222" s="4">
        <f>IFERROR(J222/I222,"")</f>
        <v/>
      </c>
      <c r="L222" s="4">
        <f>IFERROR((D222-E222)/E222,"")</f>
        <v/>
      </c>
      <c r="M222" s="19">
        <f>IFERROR(F222*G222/10000,"")</f>
        <v/>
      </c>
    </row>
    <row r="223">
      <c r="A223" t="inlineStr">
        <is>
          <t>2026-10-30</t>
        </is>
      </c>
      <c r="B223" t="inlineStr">
        <is>
          <t>159301</t>
        </is>
      </c>
      <c r="C223" t="inlineStr">
        <is>
          <t>公用事业ETF华夏</t>
        </is>
      </c>
      <c r="D223" t="n">
        <v>10845.8357</v>
      </c>
      <c r="E223" t="n">
        <v>10845.8357</v>
      </c>
      <c r="F223" t="n">
        <v>0.9618</v>
      </c>
      <c r="G223" t="n">
        <v>0</v>
      </c>
      <c r="H223" t="n">
        <v>1.043152</v>
      </c>
      <c r="I223" t="n">
        <v>1.038597</v>
      </c>
      <c r="J223" t="n">
        <v>0.004555</v>
      </c>
      <c r="K223" s="4">
        <f>IFERROR(J223/I223,"")</f>
        <v/>
      </c>
      <c r="L223" s="4">
        <f>IFERROR((D223-E223)/E223,"")</f>
        <v/>
      </c>
      <c r="M223" s="19">
        <f>IFERROR(F223*G223/10000,"")</f>
        <v/>
      </c>
    </row>
    <row r="224">
      <c r="A224" t="inlineStr">
        <is>
          <t>2026-10-30</t>
        </is>
      </c>
      <c r="B224" t="inlineStr">
        <is>
          <t>159302</t>
        </is>
      </c>
      <c r="C224" t="inlineStr">
        <is>
          <t>港股高股息ETF银华</t>
        </is>
      </c>
      <c r="D224" t="n">
        <v>4729.7609</v>
      </c>
      <c r="E224" t="n">
        <v>4729.7609</v>
      </c>
      <c r="F224" t="n">
        <v>1.2723</v>
      </c>
      <c r="G224" t="n">
        <v>0</v>
      </c>
      <c r="H224" t="n">
        <v>0.6017670000000001</v>
      </c>
      <c r="I224" t="n">
        <v>0.60224</v>
      </c>
      <c r="J224" t="n">
        <v>-0.000473</v>
      </c>
      <c r="K224" s="4">
        <f>IFERROR(J224/I224,"")</f>
        <v/>
      </c>
      <c r="L224" s="4">
        <f>IFERROR((D224-E224)/E224,"")</f>
        <v/>
      </c>
      <c r="M224" s="19">
        <f>IFERROR(F224*G224/10000,"")</f>
        <v/>
      </c>
    </row>
    <row r="225">
      <c r="A225" t="inlineStr">
        <is>
          <t>2026-10-30</t>
        </is>
      </c>
      <c r="B225" t="inlineStr">
        <is>
          <t>159303</t>
        </is>
      </c>
      <c r="C225" t="inlineStr">
        <is>
          <t>恒生医疗ETF大成</t>
        </is>
      </c>
      <c r="D225" t="n">
        <v>6399.1693</v>
      </c>
      <c r="E225" t="n">
        <v>6599.1693</v>
      </c>
      <c r="F225" t="n">
        <v>1.4651</v>
      </c>
      <c r="G225" t="n">
        <v>-200</v>
      </c>
      <c r="H225" t="n">
        <v>0.937542</v>
      </c>
      <c r="I225" t="n">
        <v>0.952194</v>
      </c>
      <c r="J225" t="n">
        <v>-0.014652</v>
      </c>
      <c r="K225" s="4">
        <f>IFERROR(J225/I225,"")</f>
        <v/>
      </c>
      <c r="L225" s="4">
        <f>IFERROR((D225-E225)/E225,"")</f>
        <v/>
      </c>
      <c r="M225" s="19">
        <f>IFERROR(F225*G225/10000,"")</f>
        <v/>
      </c>
    </row>
    <row r="226">
      <c r="A226" t="inlineStr">
        <is>
          <t>2026-10-30</t>
        </is>
      </c>
      <c r="B226" t="inlineStr">
        <is>
          <t>159305</t>
        </is>
      </c>
      <c r="C226" t="inlineStr">
        <is>
          <t>储能电池ETF广发</t>
        </is>
      </c>
      <c r="D226" t="n">
        <v>96964.03019999999</v>
      </c>
      <c r="E226" t="n">
        <v>96664.03019999999</v>
      </c>
      <c r="F226" t="n">
        <v>0.6464</v>
      </c>
      <c r="G226" t="n">
        <v>300</v>
      </c>
      <c r="H226" t="n">
        <v>6.267755</v>
      </c>
      <c r="I226" t="n">
        <v>6.142999</v>
      </c>
      <c r="J226" t="n">
        <v>0.124756</v>
      </c>
      <c r="K226" s="4">
        <f>IFERROR(J226/I226,"")</f>
        <v/>
      </c>
      <c r="L226" s="4">
        <f>IFERROR((D226-E226)/E226,"")</f>
        <v/>
      </c>
      <c r="M226" s="19">
        <f>IFERROR(F226*G226/10000,"")</f>
        <v/>
      </c>
    </row>
    <row r="227">
      <c r="A227" t="inlineStr">
        <is>
          <t>2026-10-30</t>
        </is>
      </c>
      <c r="B227" t="inlineStr">
        <is>
          <t>159306</t>
        </is>
      </c>
      <c r="C227" t="inlineStr">
        <is>
          <t>汽车零部件ETF平安</t>
        </is>
      </c>
      <c r="D227" t="n">
        <v>2324.4616</v>
      </c>
      <c r="E227" t="n">
        <v>2324.4616</v>
      </c>
      <c r="F227" t="n">
        <v>1.0915</v>
      </c>
      <c r="G227" t="n">
        <v>0</v>
      </c>
      <c r="H227" t="n">
        <v>0.253715</v>
      </c>
      <c r="I227" t="n">
        <v>0.243859</v>
      </c>
      <c r="J227" t="n">
        <v>0.009856</v>
      </c>
      <c r="K227" s="4">
        <f>IFERROR(J227/I227,"")</f>
        <v/>
      </c>
      <c r="L227" s="4">
        <f>IFERROR((D227-E227)/E227,"")</f>
        <v/>
      </c>
      <c r="M227" s="19">
        <f>IFERROR(F227*G227/10000,"")</f>
        <v/>
      </c>
    </row>
    <row r="228">
      <c r="A228" t="inlineStr">
        <is>
          <t>2026-10-30</t>
        </is>
      </c>
      <c r="B228" t="inlineStr">
        <is>
          <t>159307</t>
        </is>
      </c>
      <c r="C228" t="inlineStr">
        <is>
          <t>红利低波100ETF博时</t>
        </is>
      </c>
      <c r="D228" t="n">
        <v>651790.3552</v>
      </c>
      <c r="E228" t="n">
        <v>652390.3552</v>
      </c>
      <c r="F228" t="n">
        <v>1.0318</v>
      </c>
      <c r="G228" t="n">
        <v>-600</v>
      </c>
      <c r="H228" t="n">
        <v>67.251729</v>
      </c>
      <c r="I228" t="n">
        <v>67.561545</v>
      </c>
      <c r="J228" t="n">
        <v>-0.309816</v>
      </c>
      <c r="K228" s="4">
        <f>IFERROR(J228/I228,"")</f>
        <v/>
      </c>
      <c r="L228" s="4">
        <f>IFERROR((D228-E228)/E228,"")</f>
        <v/>
      </c>
      <c r="M228" s="19">
        <f>IFERROR(F228*G228/10000,"")</f>
        <v/>
      </c>
    </row>
    <row r="229">
      <c r="A229" t="inlineStr">
        <is>
          <t>2026-10-30</t>
        </is>
      </c>
      <c r="B229" t="inlineStr">
        <is>
          <t>159309</t>
        </is>
      </c>
      <c r="C229" t="inlineStr">
        <is>
          <t>油气ETF汇添富</t>
        </is>
      </c>
      <c r="D229" t="n">
        <v>67537.17359999999</v>
      </c>
      <c r="E229" t="n">
        <v>67637.17359999999</v>
      </c>
      <c r="F229" t="n">
        <v>1.3784</v>
      </c>
      <c r="G229" t="n">
        <v>-100</v>
      </c>
      <c r="H229" t="n">
        <v>9.309324</v>
      </c>
      <c r="I229" t="n">
        <v>9.284554999999999</v>
      </c>
      <c r="J229" t="n">
        <v>0.024769</v>
      </c>
      <c r="K229" s="4">
        <f>IFERROR(J229/I229,"")</f>
        <v/>
      </c>
      <c r="L229" s="4">
        <f>IFERROR((D229-E229)/E229,"")</f>
        <v/>
      </c>
      <c r="M229" s="19">
        <f>IFERROR(F229*G229/10000,"")</f>
        <v/>
      </c>
    </row>
    <row r="230">
      <c r="A230" t="inlineStr">
        <is>
          <t>2026-10-30</t>
        </is>
      </c>
      <c r="B230" t="inlineStr">
        <is>
          <t>159310</t>
        </is>
      </c>
      <c r="C230" t="inlineStr">
        <is>
          <t>芯片ETF天弘</t>
        </is>
      </c>
      <c r="D230" t="n">
        <v>51498.108</v>
      </c>
      <c r="E230" t="n">
        <v>51398.108</v>
      </c>
      <c r="F230" t="n">
        <v>2.1834</v>
      </c>
      <c r="G230" t="n">
        <v>100</v>
      </c>
      <c r="H230" t="n">
        <v>11.244097</v>
      </c>
      <c r="I230" t="n">
        <v>10.766876</v>
      </c>
      <c r="J230" t="n">
        <v>0.477221</v>
      </c>
      <c r="K230" s="4">
        <f>IFERROR(J230/I230,"")</f>
        <v/>
      </c>
      <c r="L230" s="4">
        <f>IFERROR((D230-E230)/E230,"")</f>
        <v/>
      </c>
      <c r="M230" s="19">
        <f>IFERROR(F230*G230/10000,"")</f>
        <v/>
      </c>
    </row>
    <row r="231">
      <c r="A231" t="inlineStr">
        <is>
          <t>2026-10-30</t>
        </is>
      </c>
      <c r="B231" t="inlineStr">
        <is>
          <t>159311</t>
        </is>
      </c>
      <c r="C231" t="inlineStr">
        <is>
          <t>数字经济ETF易方达</t>
        </is>
      </c>
      <c r="D231" t="n">
        <v>4138.3993</v>
      </c>
      <c r="E231" t="n">
        <v>4138.3993</v>
      </c>
      <c r="F231" t="n">
        <v>1.1894</v>
      </c>
      <c r="G231" t="n">
        <v>0</v>
      </c>
      <c r="H231" t="n">
        <v>0.492221</v>
      </c>
      <c r="I231" t="n">
        <v>0.478068</v>
      </c>
      <c r="J231" t="n">
        <v>0.014153</v>
      </c>
      <c r="K231" s="4">
        <f>IFERROR(J231/I231,"")</f>
        <v/>
      </c>
      <c r="L231" s="4">
        <f>IFERROR((D231-E231)/E231,"")</f>
        <v/>
      </c>
      <c r="M231" s="19">
        <f>IFERROR(F231*G231/10000,"")</f>
        <v/>
      </c>
    </row>
    <row r="232">
      <c r="A232" t="inlineStr">
        <is>
          <t>2026-10-30</t>
        </is>
      </c>
      <c r="B232" t="inlineStr">
        <is>
          <t>159312</t>
        </is>
      </c>
      <c r="C232" t="inlineStr">
        <is>
          <t>恒指港股通ETF广发</t>
        </is>
      </c>
      <c r="D232" t="n">
        <v>3122.4353</v>
      </c>
      <c r="E232" t="n">
        <v>3122.4353</v>
      </c>
      <c r="F232" t="n">
        <v>1.0841</v>
      </c>
      <c r="G232" t="n">
        <v>0</v>
      </c>
      <c r="H232" t="n">
        <v>0.338503</v>
      </c>
      <c r="I232" t="n">
        <v>0.337816</v>
      </c>
      <c r="J232" t="n">
        <v>0.000687</v>
      </c>
      <c r="K232" s="4">
        <f>IFERROR(J232/I232,"")</f>
        <v/>
      </c>
      <c r="L232" s="4">
        <f>IFERROR((D232-E232)/E232,"")</f>
        <v/>
      </c>
      <c r="M232" s="19">
        <f>IFERROR(F232*G232/10000,"")</f>
        <v/>
      </c>
    </row>
    <row r="233">
      <c r="A233" t="inlineStr">
        <is>
          <t>2026-10-30</t>
        </is>
      </c>
      <c r="B233" t="inlineStr">
        <is>
          <t>159315</t>
        </is>
      </c>
      <c r="C233" t="inlineStr">
        <is>
          <t>黄金股ETF工银</t>
        </is>
      </c>
      <c r="D233" t="n">
        <v>20808.9621</v>
      </c>
      <c r="E233" t="n">
        <v>20858.9621</v>
      </c>
      <c r="F233" t="n">
        <v>1.3802</v>
      </c>
      <c r="G233" t="n">
        <v>-50</v>
      </c>
      <c r="H233" t="n">
        <v>2.872053</v>
      </c>
      <c r="I233" t="n">
        <v>2.870402</v>
      </c>
      <c r="J233" t="n">
        <v>0.001651</v>
      </c>
      <c r="K233" s="4">
        <f>IFERROR(J233/I233,"")</f>
        <v/>
      </c>
      <c r="L233" s="4">
        <f>IFERROR((D233-E233)/E233,"")</f>
        <v/>
      </c>
      <c r="M233" s="19">
        <f>IFERROR(F233*G233/10000,"")</f>
        <v/>
      </c>
    </row>
    <row r="234">
      <c r="A234" t="inlineStr">
        <is>
          <t>2026-10-30</t>
        </is>
      </c>
      <c r="B234" t="inlineStr">
        <is>
          <t>159316</t>
        </is>
      </c>
      <c r="C234" t="inlineStr">
        <is>
          <t>港股通创新药ETF易方达</t>
        </is>
      </c>
      <c r="D234" t="n">
        <v>529133.6139</v>
      </c>
      <c r="E234" t="n">
        <v>529133.6139</v>
      </c>
      <c r="F234" t="n">
        <v>1.0153</v>
      </c>
      <c r="G234" t="n">
        <v>0</v>
      </c>
      <c r="H234" t="n">
        <v>53.722936</v>
      </c>
      <c r="I234" t="n">
        <v>53.040353</v>
      </c>
      <c r="J234" t="n">
        <v>0.6825830000000001</v>
      </c>
      <c r="K234" s="4">
        <f>IFERROR(J234/I234,"")</f>
        <v/>
      </c>
      <c r="L234" s="4">
        <f>IFERROR((D234-E234)/E234,"")</f>
        <v/>
      </c>
      <c r="M234" s="19">
        <f>IFERROR(F234*G234/10000,"")</f>
        <v/>
      </c>
    </row>
    <row r="235">
      <c r="A235" t="inlineStr">
        <is>
          <t>2026-10-30</t>
        </is>
      </c>
      <c r="B235" t="inlineStr">
        <is>
          <t>159318</t>
        </is>
      </c>
      <c r="C235" t="inlineStr">
        <is>
          <t>恒指港股通ETF银华</t>
        </is>
      </c>
      <c r="D235" t="n">
        <v>1360.1647</v>
      </c>
      <c r="E235" t="n">
        <v>1360.1647</v>
      </c>
      <c r="F235" t="n">
        <v>1.1996</v>
      </c>
      <c r="G235" t="n">
        <v>0</v>
      </c>
      <c r="H235" t="n">
        <v>0.163165</v>
      </c>
      <c r="I235" t="n">
        <v>0.162825</v>
      </c>
      <c r="J235" t="n">
        <v>0.00034</v>
      </c>
      <c r="K235" s="4">
        <f>IFERROR(J235/I235,"")</f>
        <v/>
      </c>
      <c r="L235" s="4">
        <f>IFERROR((D235-E235)/E235,"")</f>
        <v/>
      </c>
      <c r="M235" s="19">
        <f>IFERROR(F235*G235/10000,"")</f>
        <v/>
      </c>
    </row>
    <row r="236">
      <c r="A236" t="inlineStr">
        <is>
          <t>2026-10-30</t>
        </is>
      </c>
      <c r="B236" t="inlineStr">
        <is>
          <t>159320</t>
        </is>
      </c>
      <c r="C236" t="inlineStr">
        <is>
          <t>电网设备ETF广发</t>
        </is>
      </c>
      <c r="D236" t="n">
        <v>161023.5519</v>
      </c>
      <c r="E236" t="n">
        <v>161623.5519</v>
      </c>
      <c r="F236" t="n">
        <v>0.5197000000000001</v>
      </c>
      <c r="G236" t="n">
        <v>-600</v>
      </c>
      <c r="H236" t="n">
        <v>8.368394</v>
      </c>
      <c r="I236" t="n">
        <v>8.267045</v>
      </c>
      <c r="J236" t="n">
        <v>0.101349</v>
      </c>
      <c r="K236" s="4">
        <f>IFERROR(J236/I236,"")</f>
        <v/>
      </c>
      <c r="L236" s="4">
        <f>IFERROR((D236-E236)/E236,"")</f>
        <v/>
      </c>
      <c r="M236" s="19">
        <f>IFERROR(F236*G236/10000,"")</f>
        <v/>
      </c>
    </row>
    <row r="237">
      <c r="A237" t="inlineStr">
        <is>
          <t>2026-10-30</t>
        </is>
      </c>
      <c r="B237" t="inlineStr">
        <is>
          <t>159321</t>
        </is>
      </c>
      <c r="C237" t="inlineStr">
        <is>
          <t>黄金股ETF华安</t>
        </is>
      </c>
      <c r="D237" t="n">
        <v>51640.0397</v>
      </c>
      <c r="E237" t="n">
        <v>51640.0397</v>
      </c>
      <c r="F237" t="n">
        <v>1.286</v>
      </c>
      <c r="G237" t="n">
        <v>0</v>
      </c>
      <c r="H237" t="n">
        <v>6.640909</v>
      </c>
      <c r="I237" t="n">
        <v>6.621286</v>
      </c>
      <c r="J237" t="n">
        <v>0.019623</v>
      </c>
      <c r="K237" s="4">
        <f>IFERROR(J237/I237,"")</f>
        <v/>
      </c>
      <c r="L237" s="4">
        <f>IFERROR((D237-E237)/E237,"")</f>
        <v/>
      </c>
      <c r="M237" s="19">
        <f>IFERROR(F237*G237/10000,"")</f>
        <v/>
      </c>
    </row>
    <row r="238">
      <c r="A238" t="inlineStr">
        <is>
          <t>2026-10-30</t>
        </is>
      </c>
      <c r="B238" t="inlineStr">
        <is>
          <t>159322</t>
        </is>
      </c>
      <c r="C238" t="inlineStr">
        <is>
          <t>黄金股ETF平安</t>
        </is>
      </c>
      <c r="D238" t="n">
        <v>13541.1691</v>
      </c>
      <c r="E238" t="n">
        <v>13541.1691</v>
      </c>
      <c r="F238" t="n">
        <v>1.3509</v>
      </c>
      <c r="G238" t="n">
        <v>0</v>
      </c>
      <c r="H238" t="n">
        <v>1.829277</v>
      </c>
      <c r="I238" t="n">
        <v>1.824131</v>
      </c>
      <c r="J238" t="n">
        <v>0.005146</v>
      </c>
      <c r="K238" s="4">
        <f>IFERROR(J238/I238,"")</f>
        <v/>
      </c>
      <c r="L238" s="4">
        <f>IFERROR((D238-E238)/E238,"")</f>
        <v/>
      </c>
      <c r="M238" s="19">
        <f>IFERROR(F238*G238/10000,"")</f>
        <v/>
      </c>
    </row>
    <row r="239">
      <c r="A239" t="inlineStr">
        <is>
          <t>2026-10-30</t>
        </is>
      </c>
      <c r="B239" t="inlineStr">
        <is>
          <t>159323</t>
        </is>
      </c>
      <c r="C239" t="inlineStr">
        <is>
          <t>港股通汽车ETF华夏</t>
        </is>
      </c>
      <c r="D239" t="n">
        <v>12509.7378</v>
      </c>
      <c r="E239" t="n">
        <v>12509.7378</v>
      </c>
      <c r="F239" t="n">
        <v>0.8542999999999999</v>
      </c>
      <c r="G239" t="n">
        <v>0</v>
      </c>
      <c r="H239" t="n">
        <v>1.068707</v>
      </c>
      <c r="I239" t="n">
        <v>1.047691</v>
      </c>
      <c r="J239" t="n">
        <v>0.021016</v>
      </c>
      <c r="K239" s="4">
        <f>IFERROR(J239/I239,"")</f>
        <v/>
      </c>
      <c r="L239" s="4">
        <f>IFERROR((D239-E239)/E239,"")</f>
        <v/>
      </c>
      <c r="M239" s="19">
        <f>IFERROR(F239*G239/10000,"")</f>
        <v/>
      </c>
    </row>
    <row r="240">
      <c r="A240" t="inlineStr">
        <is>
          <t>2026-10-30</t>
        </is>
      </c>
      <c r="B240" t="inlineStr">
        <is>
          <t>159325</t>
        </is>
      </c>
      <c r="C240" t="inlineStr">
        <is>
          <t>半导体ETF南方</t>
        </is>
      </c>
      <c r="D240" t="n">
        <v>131292.1056</v>
      </c>
      <c r="E240" t="n">
        <v>129292.1056</v>
      </c>
      <c r="F240" t="n">
        <v>0.8235</v>
      </c>
      <c r="G240" t="n">
        <v>2000</v>
      </c>
      <c r="H240" t="n">
        <v>10.811905</v>
      </c>
      <c r="I240" t="n">
        <v>10.214076</v>
      </c>
      <c r="J240" t="n">
        <v>0.5978290000000001</v>
      </c>
      <c r="K240" s="4">
        <f>IFERROR(J240/I240,"")</f>
        <v/>
      </c>
      <c r="L240" s="4">
        <f>IFERROR((D240-E240)/E240,"")</f>
        <v/>
      </c>
      <c r="M240" s="19">
        <f>IFERROR(F240*G240/10000,"")</f>
        <v/>
      </c>
    </row>
    <row r="241">
      <c r="A241" t="inlineStr">
        <is>
          <t>2026-10-30</t>
        </is>
      </c>
      <c r="B241" t="inlineStr">
        <is>
          <t>159326</t>
        </is>
      </c>
      <c r="C241" t="inlineStr">
        <is>
          <t>电网设备ETF华夏</t>
        </is>
      </c>
      <c r="D241" t="n">
        <v>1016426.5525</v>
      </c>
      <c r="E241" t="n">
        <v>1021726.5525</v>
      </c>
      <c r="F241" t="n">
        <v>1.423</v>
      </c>
      <c r="G241" t="n">
        <v>-5300</v>
      </c>
      <c r="H241" t="n">
        <v>144.637498</v>
      </c>
      <c r="I241" t="n">
        <v>143.327801</v>
      </c>
      <c r="J241" t="n">
        <v>1.309697</v>
      </c>
      <c r="K241" s="4">
        <f>IFERROR(J241/I241,"")</f>
        <v/>
      </c>
      <c r="L241" s="4">
        <f>IFERROR((D241-E241)/E241,"")</f>
        <v/>
      </c>
      <c r="M241" s="19">
        <f>IFERROR(F241*G241/10000,"")</f>
        <v/>
      </c>
    </row>
    <row r="242">
      <c r="A242" t="inlineStr">
        <is>
          <t>2026-10-30</t>
        </is>
      </c>
      <c r="B242" t="inlineStr">
        <is>
          <t>159327</t>
        </is>
      </c>
      <c r="C242" t="inlineStr">
        <is>
          <t>半导体设备ETF万家</t>
        </is>
      </c>
      <c r="D242" t="n">
        <v>214657.4091</v>
      </c>
      <c r="E242" t="n">
        <v>220957.4091</v>
      </c>
      <c r="F242" t="n">
        <v>0.8025</v>
      </c>
      <c r="G242" t="n">
        <v>-6300</v>
      </c>
      <c r="H242" t="n">
        <v>17.226257</v>
      </c>
      <c r="I242" t="n">
        <v>17.073379</v>
      </c>
      <c r="J242" t="n">
        <v>0.152878</v>
      </c>
      <c r="K242" s="4">
        <f>IFERROR(J242/I242,"")</f>
        <v/>
      </c>
      <c r="L242" s="4">
        <f>IFERROR((D242-E242)/E242,"")</f>
        <v/>
      </c>
      <c r="M242" s="19">
        <f>IFERROR(F242*G242/10000,"")</f>
        <v/>
      </c>
    </row>
    <row r="243">
      <c r="A243" t="inlineStr">
        <is>
          <t>2026-10-30</t>
        </is>
      </c>
      <c r="B243" t="inlineStr">
        <is>
          <t>159328</t>
        </is>
      </c>
      <c r="C243" t="inlineStr">
        <is>
          <t>家电ETF易方达</t>
        </is>
      </c>
      <c r="D243" t="n">
        <v>16555.67</v>
      </c>
      <c r="E243" t="n">
        <v>16655.67</v>
      </c>
      <c r="F243" t="n">
        <v>0.9669</v>
      </c>
      <c r="G243" t="n">
        <v>-100</v>
      </c>
      <c r="H243" t="n">
        <v>1.600768</v>
      </c>
      <c r="I243" t="n">
        <v>1.582455</v>
      </c>
      <c r="J243" t="n">
        <v>0.018313</v>
      </c>
      <c r="K243" s="4">
        <f>IFERROR(J243/I243,"")</f>
        <v/>
      </c>
      <c r="L243" s="4">
        <f>IFERROR((D243-E243)/E243,"")</f>
        <v/>
      </c>
      <c r="M243" s="19">
        <f>IFERROR(F243*G243/10000,"")</f>
        <v/>
      </c>
    </row>
    <row r="244">
      <c r="A244" t="inlineStr">
        <is>
          <t>2026-10-30</t>
        </is>
      </c>
      <c r="B244" t="inlineStr">
        <is>
          <t>159329</t>
        </is>
      </c>
      <c r="C244" t="inlineStr">
        <is>
          <t>沙特ETF南方</t>
        </is>
      </c>
      <c r="D244" t="n">
        <v>125168.9188</v>
      </c>
      <c r="E244" t="n">
        <v>124168.9188</v>
      </c>
      <c r="F244" t="n">
        <v>0.8299</v>
      </c>
      <c r="G244" t="n">
        <v>1000</v>
      </c>
      <c r="H244" t="n">
        <v>10.387769</v>
      </c>
      <c r="I244" t="n">
        <v>10.068858</v>
      </c>
      <c r="J244" t="n">
        <v>0.318911</v>
      </c>
      <c r="K244" s="4">
        <f>IFERROR(J244/I244,"")</f>
        <v/>
      </c>
      <c r="L244" s="4">
        <f>IFERROR((D244-E244)/E244,"")</f>
        <v/>
      </c>
      <c r="M244" s="19">
        <f>IFERROR(F244*G244/10000,"")</f>
        <v/>
      </c>
    </row>
    <row r="245">
      <c r="A245" t="inlineStr">
        <is>
          <t>2026-10-30</t>
        </is>
      </c>
      <c r="B245" t="inlineStr">
        <is>
          <t>159330</t>
        </is>
      </c>
      <c r="C245" t="inlineStr">
        <is>
          <t>沪深300ETF东财</t>
        </is>
      </c>
      <c r="D245" t="n">
        <v>72580.1009</v>
      </c>
      <c r="E245" t="n">
        <v>72580.1009</v>
      </c>
      <c r="F245" t="n">
        <v>1.288</v>
      </c>
      <c r="G245" t="n">
        <v>0</v>
      </c>
      <c r="H245" t="n">
        <v>9.348317</v>
      </c>
      <c r="I245" t="n">
        <v>9.270656000000001</v>
      </c>
      <c r="J245" t="n">
        <v>0.07766099999999999</v>
      </c>
      <c r="K245" s="4">
        <f>IFERROR(J245/I245,"")</f>
        <v/>
      </c>
      <c r="L245" s="4">
        <f>IFERROR((D245-E245)/E245,"")</f>
        <v/>
      </c>
      <c r="M245" s="19">
        <f>IFERROR(F245*G245/10000,"")</f>
        <v/>
      </c>
    </row>
    <row r="246">
      <c r="A246" t="inlineStr">
        <is>
          <t>2026-10-30</t>
        </is>
      </c>
      <c r="B246" t="inlineStr">
        <is>
          <t>159331</t>
        </is>
      </c>
      <c r="C246" t="inlineStr">
        <is>
          <t>红利港股ETF国泰</t>
        </is>
      </c>
      <c r="D246" t="n">
        <v>15269.4179</v>
      </c>
      <c r="E246" t="n">
        <v>15269.4179</v>
      </c>
      <c r="F246" t="n">
        <v>1.2421</v>
      </c>
      <c r="G246" t="n">
        <v>0</v>
      </c>
      <c r="H246" t="n">
        <v>1.896614</v>
      </c>
      <c r="I246" t="n">
        <v>1.898141</v>
      </c>
      <c r="J246" t="n">
        <v>-0.001527</v>
      </c>
      <c r="K246" s="4">
        <f>IFERROR(J246/I246,"")</f>
        <v/>
      </c>
      <c r="L246" s="4">
        <f>IFERROR((D246-E246)/E246,"")</f>
        <v/>
      </c>
      <c r="M246" s="19">
        <f>IFERROR(F246*G246/10000,"")</f>
        <v/>
      </c>
    </row>
    <row r="247">
      <c r="A247" t="inlineStr">
        <is>
          <t>2026-10-30</t>
        </is>
      </c>
      <c r="B247" t="inlineStr">
        <is>
          <t>159332</t>
        </is>
      </c>
      <c r="C247" t="inlineStr">
        <is>
          <t>央企红利ETF富国</t>
        </is>
      </c>
      <c r="D247" t="n">
        <v>9202.1477</v>
      </c>
      <c r="E247" t="n">
        <v>9202.1477</v>
      </c>
      <c r="F247" t="n">
        <v>1.2394</v>
      </c>
      <c r="G247" t="n">
        <v>0</v>
      </c>
      <c r="H247" t="n">
        <v>1.140514</v>
      </c>
      <c r="I247" t="n">
        <v>1.141802</v>
      </c>
      <c r="J247" t="n">
        <v>-0.001288</v>
      </c>
      <c r="K247" s="4">
        <f>IFERROR(J247/I247,"")</f>
        <v/>
      </c>
      <c r="L247" s="4">
        <f>IFERROR((D247-E247)/E247,"")</f>
        <v/>
      </c>
      <c r="M247" s="19">
        <f>IFERROR(F247*G247/10000,"")</f>
        <v/>
      </c>
    </row>
    <row r="248">
      <c r="A248" t="inlineStr">
        <is>
          <t>2026-10-30</t>
        </is>
      </c>
      <c r="B248" t="inlineStr">
        <is>
          <t>159333</t>
        </is>
      </c>
      <c r="C248" t="inlineStr">
        <is>
          <t>港股央企红利ETF万家</t>
        </is>
      </c>
      <c r="D248" t="n">
        <v>18895.2835</v>
      </c>
      <c r="E248" t="n">
        <v>18895.2835</v>
      </c>
      <c r="F248" t="n">
        <v>1.3457</v>
      </c>
      <c r="G248" t="n">
        <v>0</v>
      </c>
      <c r="H248" t="n">
        <v>2.542738</v>
      </c>
      <c r="I248" t="n">
        <v>2.547084</v>
      </c>
      <c r="J248" t="n">
        <v>-0.004346</v>
      </c>
      <c r="K248" s="4">
        <f>IFERROR(J248/I248,"")</f>
        <v/>
      </c>
      <c r="L248" s="4">
        <f>IFERROR((D248-E248)/E248,"")</f>
        <v/>
      </c>
      <c r="M248" s="19">
        <f>IFERROR(F248*G248/10000,"")</f>
        <v/>
      </c>
    </row>
    <row r="249">
      <c r="A249" t="inlineStr">
        <is>
          <t>2026-10-30</t>
        </is>
      </c>
      <c r="B249" t="inlineStr">
        <is>
          <t>159335</t>
        </is>
      </c>
      <c r="C249" t="inlineStr">
        <is>
          <t>央企科创ETF融通</t>
        </is>
      </c>
      <c r="D249" t="n">
        <v>28848.3689</v>
      </c>
      <c r="E249" t="n">
        <v>28828.3689</v>
      </c>
      <c r="F249" t="n">
        <v>1.3932</v>
      </c>
      <c r="G249" t="n">
        <v>20</v>
      </c>
      <c r="H249" t="n">
        <v>4.019155</v>
      </c>
      <c r="I249" t="n">
        <v>3.992441</v>
      </c>
      <c r="J249" t="n">
        <v>0.026714</v>
      </c>
      <c r="K249" s="4">
        <f>IFERROR(J249/I249,"")</f>
        <v/>
      </c>
      <c r="L249" s="4">
        <f>IFERROR((D249-E249)/E249,"")</f>
        <v/>
      </c>
      <c r="M249" s="19">
        <f>IFERROR(F249*G249/10000,"")</f>
        <v/>
      </c>
    </row>
    <row r="250">
      <c r="A250" t="inlineStr">
        <is>
          <t>2026-10-30</t>
        </is>
      </c>
      <c r="B250" t="inlineStr">
        <is>
          <t>159336</t>
        </is>
      </c>
      <c r="C250" t="inlineStr">
        <is>
          <t>央企红利ETF融通</t>
        </is>
      </c>
      <c r="D250" t="n">
        <v>52890.509</v>
      </c>
      <c r="E250" t="n">
        <v>52890.509</v>
      </c>
      <c r="F250" t="n">
        <v>1.2125</v>
      </c>
      <c r="G250" t="n">
        <v>0</v>
      </c>
      <c r="H250" t="n">
        <v>6.412974</v>
      </c>
      <c r="I250" t="n">
        <v>6.413503</v>
      </c>
      <c r="J250" t="n">
        <v>-0.000529</v>
      </c>
      <c r="K250" s="4">
        <f>IFERROR(J250/I250,"")</f>
        <v/>
      </c>
      <c r="L250" s="4">
        <f>IFERROR((D250-E250)/E250,"")</f>
        <v/>
      </c>
      <c r="M250" s="19">
        <f>IFERROR(F250*G250/10000,"")</f>
        <v/>
      </c>
    </row>
    <row r="251">
      <c r="A251" t="inlineStr">
        <is>
          <t>2026-10-30</t>
        </is>
      </c>
      <c r="B251" t="inlineStr">
        <is>
          <t>159337</t>
        </is>
      </c>
      <c r="C251" t="inlineStr">
        <is>
          <t>中证500ETF东财</t>
        </is>
      </c>
      <c r="D251" t="n">
        <v>30771.0611</v>
      </c>
      <c r="E251" t="n">
        <v>30571.0611</v>
      </c>
      <c r="F251" t="n">
        <v>1.5301</v>
      </c>
      <c r="G251" t="n">
        <v>200</v>
      </c>
      <c r="H251" t="n">
        <v>4.70828</v>
      </c>
      <c r="I251" t="n">
        <v>4.587188</v>
      </c>
      <c r="J251" t="n">
        <v>0.121092</v>
      </c>
      <c r="K251" s="4">
        <f>IFERROR(J251/I251,"")</f>
        <v/>
      </c>
      <c r="L251" s="4">
        <f>IFERROR((D251-E251)/E251,"")</f>
        <v/>
      </c>
      <c r="M251" s="19">
        <f>IFERROR(F251*G251/10000,"")</f>
        <v/>
      </c>
    </row>
    <row r="252">
      <c r="A252" t="inlineStr">
        <is>
          <t>2026-10-30</t>
        </is>
      </c>
      <c r="B252" t="inlineStr">
        <is>
          <t>159338</t>
        </is>
      </c>
      <c r="C252" t="inlineStr">
        <is>
          <t>中证A500ETF国泰</t>
        </is>
      </c>
      <c r="D252" t="n">
        <v>2644108.6664</v>
      </c>
      <c r="E252" t="n">
        <v>2581708.6664</v>
      </c>
      <c r="F252" t="n">
        <v>1.0643</v>
      </c>
      <c r="G252" t="n">
        <v>62400</v>
      </c>
      <c r="H252" t="n">
        <v>281.412485</v>
      </c>
      <c r="I252" t="n">
        <v>271.569935</v>
      </c>
      <c r="J252" t="n">
        <v>9.842549999999999</v>
      </c>
      <c r="K252" s="4">
        <f>IFERROR(J252/I252,"")</f>
        <v/>
      </c>
      <c r="L252" s="4">
        <f>IFERROR((D252-E252)/E252,"")</f>
        <v/>
      </c>
      <c r="M252" s="19">
        <f>IFERROR(F252*G252/10000,"")</f>
        <v/>
      </c>
    </row>
    <row r="253">
      <c r="A253" t="inlineStr">
        <is>
          <t>2026-10-30</t>
        </is>
      </c>
      <c r="B253" t="inlineStr">
        <is>
          <t>159339</t>
        </is>
      </c>
      <c r="C253" t="inlineStr">
        <is>
          <t>A500ETF银华</t>
        </is>
      </c>
      <c r="D253" t="n">
        <v>182608.6841</v>
      </c>
      <c r="E253" t="n">
        <v>182908.6841</v>
      </c>
      <c r="F253" t="n">
        <v>1.0752</v>
      </c>
      <c r="G253" t="n">
        <v>-300</v>
      </c>
      <c r="H253" t="n">
        <v>19.634086</v>
      </c>
      <c r="I253" t="n">
        <v>19.437706</v>
      </c>
      <c r="J253" t="n">
        <v>0.19638</v>
      </c>
      <c r="K253" s="4">
        <f>IFERROR(J253/I253,"")</f>
        <v/>
      </c>
      <c r="L253" s="4">
        <f>IFERROR((D253-E253)/E253,"")</f>
        <v/>
      </c>
      <c r="M253" s="19">
        <f>IFERROR(F253*G253/10000,"")</f>
        <v/>
      </c>
    </row>
    <row r="254">
      <c r="A254" t="inlineStr">
        <is>
          <t>2026-10-30</t>
        </is>
      </c>
      <c r="B254" t="inlineStr">
        <is>
          <t>159350</t>
        </is>
      </c>
      <c r="C254" t="inlineStr">
        <is>
          <t>深证50ETF富国</t>
        </is>
      </c>
      <c r="D254" t="n">
        <v>12800.9642</v>
      </c>
      <c r="E254" t="n">
        <v>12600.9642</v>
      </c>
      <c r="F254" t="n">
        <v>1.2934</v>
      </c>
      <c r="G254" t="n">
        <v>200</v>
      </c>
      <c r="H254" t="n">
        <v>1.655677</v>
      </c>
      <c r="I254" t="n">
        <v>1.599062</v>
      </c>
      <c r="J254" t="n">
        <v>0.056615</v>
      </c>
      <c r="K254" s="4">
        <f>IFERROR(J254/I254,"")</f>
        <v/>
      </c>
      <c r="L254" s="4">
        <f>IFERROR((D254-E254)/E254,"")</f>
        <v/>
      </c>
      <c r="M254" s="19">
        <f>IFERROR(F254*G254/10000,"")</f>
        <v/>
      </c>
    </row>
    <row r="255">
      <c r="A255" t="inlineStr">
        <is>
          <t>2026-10-30</t>
        </is>
      </c>
      <c r="B255" t="inlineStr">
        <is>
          <t>159351</t>
        </is>
      </c>
      <c r="C255" t="inlineStr">
        <is>
          <t>A500ETF嘉实</t>
        </is>
      </c>
      <c r="D255" t="n">
        <v>793412.3357000001</v>
      </c>
      <c r="E255" t="n">
        <v>799412.3357000001</v>
      </c>
      <c r="F255" t="n">
        <v>1.0562</v>
      </c>
      <c r="G255" t="n">
        <v>-6000</v>
      </c>
      <c r="H255" t="n">
        <v>83.800211</v>
      </c>
      <c r="I255" t="n">
        <v>83.44266</v>
      </c>
      <c r="J255" t="n">
        <v>0.357551</v>
      </c>
      <c r="K255" s="4">
        <f>IFERROR(J255/I255,"")</f>
        <v/>
      </c>
      <c r="L255" s="4">
        <f>IFERROR((D255-E255)/E255,"")</f>
        <v/>
      </c>
      <c r="M255" s="19">
        <f>IFERROR(F255*G255/10000,"")</f>
        <v/>
      </c>
    </row>
    <row r="256">
      <c r="A256" t="inlineStr">
        <is>
          <t>2026-10-30</t>
        </is>
      </c>
      <c r="B256" t="inlineStr">
        <is>
          <t>159352</t>
        </is>
      </c>
      <c r="C256" t="inlineStr">
        <is>
          <t>A500ETF南方</t>
        </is>
      </c>
      <c r="D256" t="n">
        <v>2947510.1746</v>
      </c>
      <c r="E256" t="n">
        <v>2908210.1746</v>
      </c>
      <c r="F256" t="n">
        <v>1.1085</v>
      </c>
      <c r="G256" t="n">
        <v>39300</v>
      </c>
      <c r="H256" t="n">
        <v>326.731503</v>
      </c>
      <c r="I256" t="n">
        <v>318.797999</v>
      </c>
      <c r="J256" t="n">
        <v>7.933504</v>
      </c>
      <c r="K256" s="4">
        <f>IFERROR(J256/I256,"")</f>
        <v/>
      </c>
      <c r="L256" s="4">
        <f>IFERROR((D256-E256)/E256,"")</f>
        <v/>
      </c>
      <c r="M256" s="19">
        <f>IFERROR(F256*G256/10000,"")</f>
        <v/>
      </c>
    </row>
    <row r="257">
      <c r="A257" t="inlineStr">
        <is>
          <t>2026-10-30</t>
        </is>
      </c>
      <c r="B257" t="inlineStr">
        <is>
          <t>159353</t>
        </is>
      </c>
      <c r="C257" t="inlineStr">
        <is>
          <t>中证A500ETF景顺</t>
        </is>
      </c>
      <c r="D257" t="n">
        <v>416616.1812</v>
      </c>
      <c r="E257" t="n">
        <v>414516.1812</v>
      </c>
      <c r="F257" t="n">
        <v>1.0831</v>
      </c>
      <c r="G257" t="n">
        <v>2100</v>
      </c>
      <c r="H257" t="n">
        <v>45.123699</v>
      </c>
      <c r="I257" t="n">
        <v>44.369812</v>
      </c>
      <c r="J257" t="n">
        <v>0.753887</v>
      </c>
      <c r="K257" s="4">
        <f>IFERROR(J257/I257,"")</f>
        <v/>
      </c>
      <c r="L257" s="4">
        <f>IFERROR((D257-E257)/E257,"")</f>
        <v/>
      </c>
      <c r="M257" s="19">
        <f>IFERROR(F257*G257/10000,"")</f>
        <v/>
      </c>
    </row>
    <row r="258">
      <c r="A258" t="inlineStr">
        <is>
          <t>2026-10-30</t>
        </is>
      </c>
      <c r="B258" t="inlineStr">
        <is>
          <t>159355</t>
        </is>
      </c>
      <c r="C258" t="inlineStr">
        <is>
          <t>800红利低波ETF华宝</t>
        </is>
      </c>
      <c r="D258" t="n">
        <v>16823.4277</v>
      </c>
      <c r="E258" t="n">
        <v>16823.4277</v>
      </c>
      <c r="F258" t="n">
        <v>1.0541</v>
      </c>
      <c r="G258" t="n">
        <v>0</v>
      </c>
      <c r="H258" t="n">
        <v>1.773358</v>
      </c>
      <c r="I258" t="n">
        <v>1.775376</v>
      </c>
      <c r="J258" t="n">
        <v>-0.002018</v>
      </c>
      <c r="K258" s="4">
        <f>IFERROR(J258/I258,"")</f>
        <v/>
      </c>
      <c r="L258" s="4">
        <f>IFERROR((D258-E258)/E258,"")</f>
        <v/>
      </c>
      <c r="M258" s="19">
        <f>IFERROR(F258*G258/10000,"")</f>
        <v/>
      </c>
    </row>
    <row r="259">
      <c r="A259" t="inlineStr">
        <is>
          <t>2026-10-30</t>
        </is>
      </c>
      <c r="B259" t="inlineStr">
        <is>
          <t>159356</t>
        </is>
      </c>
      <c r="C259" t="inlineStr">
        <is>
          <t>A500ETF万家</t>
        </is>
      </c>
      <c r="D259" t="n">
        <v>68012.0647</v>
      </c>
      <c r="E259" t="n">
        <v>68312.0647</v>
      </c>
      <c r="F259" t="n">
        <v>1.135</v>
      </c>
      <c r="G259" t="n">
        <v>-300</v>
      </c>
      <c r="H259" t="n">
        <v>7.719369</v>
      </c>
      <c r="I259" t="n">
        <v>7.661881</v>
      </c>
      <c r="J259" t="n">
        <v>0.057488</v>
      </c>
      <c r="K259" s="4">
        <f>IFERROR(J259/I259,"")</f>
        <v/>
      </c>
      <c r="L259" s="4">
        <f>IFERROR((D259-E259)/E259,"")</f>
        <v/>
      </c>
      <c r="M259" s="19">
        <f>IFERROR(F259*G259/10000,"")</f>
        <v/>
      </c>
    </row>
    <row r="260">
      <c r="A260" t="inlineStr">
        <is>
          <t>2026-10-30</t>
        </is>
      </c>
      <c r="B260" t="inlineStr">
        <is>
          <t>159357</t>
        </is>
      </c>
      <c r="C260" t="inlineStr">
        <is>
          <t>A500ETF博时</t>
        </is>
      </c>
      <c r="D260" t="n">
        <v>123783.3841</v>
      </c>
      <c r="E260" t="n">
        <v>123783.3841</v>
      </c>
      <c r="F260" t="n">
        <v>1.1283</v>
      </c>
      <c r="G260" t="n">
        <v>0</v>
      </c>
      <c r="H260" t="n">
        <v>13.966479</v>
      </c>
      <c r="I260" t="n">
        <v>13.804323</v>
      </c>
      <c r="J260" t="n">
        <v>0.162156</v>
      </c>
      <c r="K260" s="4">
        <f>IFERROR(J260/I260,"")</f>
        <v/>
      </c>
      <c r="L260" s="4">
        <f>IFERROR((D260-E260)/E260,"")</f>
        <v/>
      </c>
      <c r="M260" s="19">
        <f>IFERROR(F260*G260/10000,"")</f>
        <v/>
      </c>
    </row>
    <row r="261">
      <c r="A261" t="inlineStr">
        <is>
          <t>2026-10-30</t>
        </is>
      </c>
      <c r="B261" t="inlineStr">
        <is>
          <t>159358</t>
        </is>
      </c>
      <c r="C261" t="inlineStr">
        <is>
          <t>中证A500ETF大成</t>
        </is>
      </c>
      <c r="D261" t="n">
        <v>83310.64200000001</v>
      </c>
      <c r="E261" t="n">
        <v>83610.64200000001</v>
      </c>
      <c r="F261" t="n">
        <v>1.1549</v>
      </c>
      <c r="G261" t="n">
        <v>-300</v>
      </c>
      <c r="H261" t="n">
        <v>9.621546</v>
      </c>
      <c r="I261" t="n">
        <v>9.543319</v>
      </c>
      <c r="J261" t="n">
        <v>0.078227</v>
      </c>
      <c r="K261" s="4">
        <f>IFERROR(J261/I261,"")</f>
        <v/>
      </c>
      <c r="L261" s="4">
        <f>IFERROR((D261-E261)/E261,"")</f>
        <v/>
      </c>
      <c r="M261" s="19">
        <f>IFERROR(F261*G261/10000,"")</f>
        <v/>
      </c>
    </row>
    <row r="262">
      <c r="A262" t="inlineStr">
        <is>
          <t>2026-10-30</t>
        </is>
      </c>
      <c r="B262" t="inlineStr">
        <is>
          <t>159359</t>
        </is>
      </c>
      <c r="C262" t="inlineStr">
        <is>
          <t>A500ETF华安</t>
        </is>
      </c>
      <c r="D262" t="n">
        <v>67414.04240000001</v>
      </c>
      <c r="E262" t="n">
        <v>68014.04240000001</v>
      </c>
      <c r="F262" t="n">
        <v>1.1166</v>
      </c>
      <c r="G262" t="n">
        <v>-600</v>
      </c>
      <c r="H262" t="n">
        <v>7.527452</v>
      </c>
      <c r="I262" t="n">
        <v>7.50671</v>
      </c>
      <c r="J262" t="n">
        <v>0.020742</v>
      </c>
      <c r="K262" s="4">
        <f>IFERROR(J262/I262,"")</f>
        <v/>
      </c>
      <c r="L262" s="4">
        <f>IFERROR((D262-E262)/E262,"")</f>
        <v/>
      </c>
      <c r="M262" s="19">
        <f>IFERROR(F262*G262/10000,"")</f>
        <v/>
      </c>
    </row>
    <row r="263">
      <c r="A263" t="inlineStr">
        <is>
          <t>2026-10-30</t>
        </is>
      </c>
      <c r="B263" t="inlineStr">
        <is>
          <t>159360</t>
        </is>
      </c>
      <c r="C263" t="inlineStr">
        <is>
          <t>A500ETF天弘</t>
        </is>
      </c>
      <c r="D263" t="n">
        <v>128318.4526</v>
      </c>
      <c r="E263" t="n">
        <v>128318.4526</v>
      </c>
      <c r="F263" t="n">
        <v>1.1529</v>
      </c>
      <c r="G263" t="n">
        <v>0</v>
      </c>
      <c r="H263" t="n">
        <v>14.793834</v>
      </c>
      <c r="I263" t="n">
        <v>14.618038</v>
      </c>
      <c r="J263" t="n">
        <v>0.175796</v>
      </c>
      <c r="K263" s="4">
        <f>IFERROR(J263/I263,"")</f>
        <v/>
      </c>
      <c r="L263" s="4">
        <f>IFERROR((D263-E263)/E263,"")</f>
        <v/>
      </c>
      <c r="M263" s="19">
        <f>IFERROR(F263*G263/10000,"")</f>
        <v/>
      </c>
    </row>
    <row r="264">
      <c r="A264" t="inlineStr">
        <is>
          <t>2026-10-30</t>
        </is>
      </c>
      <c r="B264" t="inlineStr">
        <is>
          <t>159361</t>
        </is>
      </c>
      <c r="C264" t="inlineStr">
        <is>
          <t>A500ETF易方达</t>
        </is>
      </c>
      <c r="D264" t="n">
        <v>2656109.0279</v>
      </c>
      <c r="E264" t="n">
        <v>2601209.0279</v>
      </c>
      <c r="F264" t="n">
        <v>1.0859</v>
      </c>
      <c r="G264" t="n">
        <v>54900</v>
      </c>
      <c r="H264" t="n">
        <v>288.426879</v>
      </c>
      <c r="I264" t="n">
        <v>279.161753</v>
      </c>
      <c r="J264" t="n">
        <v>9.265126</v>
      </c>
      <c r="K264" s="4">
        <f>IFERROR(J264/I264,"")</f>
        <v/>
      </c>
      <c r="L264" s="4">
        <f>IFERROR((D264-E264)/E264,"")</f>
        <v/>
      </c>
      <c r="M264" s="19">
        <f>IFERROR(F264*G264/10000,"")</f>
        <v/>
      </c>
    </row>
    <row r="265">
      <c r="A265" t="inlineStr">
        <is>
          <t>2026-10-30</t>
        </is>
      </c>
      <c r="B265" t="inlineStr">
        <is>
          <t>159362</t>
        </is>
      </c>
      <c r="C265" t="inlineStr">
        <is>
          <t>A500ETF工银</t>
        </is>
      </c>
      <c r="D265" t="n">
        <v>161618.0191</v>
      </c>
      <c r="E265" t="n">
        <v>161618.0191</v>
      </c>
      <c r="F265" t="n">
        <v>1.1448</v>
      </c>
      <c r="G265" t="n">
        <v>0</v>
      </c>
      <c r="H265" t="n">
        <v>18.502031</v>
      </c>
      <c r="I265" t="n">
        <v>18.285463</v>
      </c>
      <c r="J265" t="n">
        <v>0.216568</v>
      </c>
      <c r="K265" s="4">
        <f>IFERROR(J265/I265,"")</f>
        <v/>
      </c>
      <c r="L265" s="4">
        <f>IFERROR((D265-E265)/E265,"")</f>
        <v/>
      </c>
      <c r="M265" s="19">
        <f>IFERROR(F265*G265/10000,"")</f>
        <v/>
      </c>
    </row>
    <row r="266">
      <c r="A266" t="inlineStr">
        <is>
          <t>2026-10-30</t>
        </is>
      </c>
      <c r="B266" t="inlineStr">
        <is>
          <t>159363</t>
        </is>
      </c>
      <c r="C266" t="inlineStr">
        <is>
          <t>创业板人工智能ETF华宝</t>
        </is>
      </c>
      <c r="D266" t="n">
        <v>592216.9924</v>
      </c>
      <c r="E266" t="n">
        <v>593016.9924</v>
      </c>
      <c r="F266" t="n">
        <v>0.9892</v>
      </c>
      <c r="G266" t="n">
        <v>-800</v>
      </c>
      <c r="H266" t="n">
        <v>58.582105</v>
      </c>
      <c r="I266" t="n">
        <v>55.986734</v>
      </c>
      <c r="J266" t="n">
        <v>2.595371</v>
      </c>
      <c r="K266" s="4">
        <f>IFERROR(J266/I266,"")</f>
        <v/>
      </c>
      <c r="L266" s="4">
        <f>IFERROR((D266-E266)/E266,"")</f>
        <v/>
      </c>
      <c r="M266" s="19">
        <f>IFERROR(F266*G266/10000,"")</f>
        <v/>
      </c>
    </row>
    <row r="267">
      <c r="A267" t="inlineStr">
        <is>
          <t>2026-10-30</t>
        </is>
      </c>
      <c r="B267" t="inlineStr">
        <is>
          <t>159365</t>
        </is>
      </c>
      <c r="C267" t="inlineStr">
        <is>
          <t>恒指港股通ETF富国</t>
        </is>
      </c>
      <c r="D267" t="n">
        <v>4616.2398</v>
      </c>
      <c r="E267" t="n">
        <v>4616.2398</v>
      </c>
      <c r="F267" t="n">
        <v>0.9116</v>
      </c>
      <c r="G267" t="n">
        <v>0</v>
      </c>
      <c r="H267" t="n">
        <v>0.420816</v>
      </c>
      <c r="I267" t="n">
        <v>0.419939</v>
      </c>
      <c r="J267" t="n">
        <v>0.000877</v>
      </c>
      <c r="K267" s="4">
        <f>IFERROR(J267/I267,"")</f>
        <v/>
      </c>
      <c r="L267" s="4">
        <f>IFERROR((D267-E267)/E267,"")</f>
        <v/>
      </c>
      <c r="M267" s="19">
        <f>IFERROR(F267*G267/10000,"")</f>
        <v/>
      </c>
    </row>
    <row r="268">
      <c r="A268" t="inlineStr">
        <is>
          <t>2026-10-30</t>
        </is>
      </c>
      <c r="B268" t="inlineStr">
        <is>
          <t>159366</t>
        </is>
      </c>
      <c r="C268" t="inlineStr">
        <is>
          <t>港股医疗ETF永赢</t>
        </is>
      </c>
      <c r="D268" t="n">
        <v>69133.3072</v>
      </c>
      <c r="E268" t="n">
        <v>59833.3072</v>
      </c>
      <c r="F268" t="n">
        <v>1.3762</v>
      </c>
      <c r="G268" t="n">
        <v>9300</v>
      </c>
      <c r="H268" t="n">
        <v>9.514125999999999</v>
      </c>
      <c r="I268" t="n">
        <v>8.065530000000001</v>
      </c>
      <c r="J268" t="n">
        <v>1.448596</v>
      </c>
      <c r="K268" s="4">
        <f>IFERROR(J268/I268,"")</f>
        <v/>
      </c>
      <c r="L268" s="4">
        <f>IFERROR((D268-E268)/E268,"")</f>
        <v/>
      </c>
      <c r="M268" s="19">
        <f>IFERROR(F268*G268/10000,"")</f>
        <v/>
      </c>
    </row>
    <row r="269">
      <c r="A269" t="inlineStr">
        <is>
          <t>2026-10-30</t>
        </is>
      </c>
      <c r="B269" t="inlineStr">
        <is>
          <t>159367</t>
        </is>
      </c>
      <c r="C269" t="inlineStr">
        <is>
          <t>创业板50ETF华夏</t>
        </is>
      </c>
      <c r="D269" t="n">
        <v>30407.9029</v>
      </c>
      <c r="E269" t="n">
        <v>29207.9029</v>
      </c>
      <c r="F269" t="n">
        <v>1.28</v>
      </c>
      <c r="G269" t="n">
        <v>1200</v>
      </c>
      <c r="H269" t="n">
        <v>3.892212</v>
      </c>
      <c r="I269" t="n">
        <v>3.608052</v>
      </c>
      <c r="J269" t="n">
        <v>0.28416</v>
      </c>
      <c r="K269" s="4">
        <f>IFERROR(J269/I269,"")</f>
        <v/>
      </c>
      <c r="L269" s="4">
        <f>IFERROR((D269-E269)/E269,"")</f>
        <v/>
      </c>
      <c r="M269" s="19">
        <f>IFERROR(F269*G269/10000,"")</f>
        <v/>
      </c>
    </row>
    <row r="270">
      <c r="A270" t="inlineStr">
        <is>
          <t>2026-10-30</t>
        </is>
      </c>
      <c r="B270" t="inlineStr">
        <is>
          <t>159368</t>
        </is>
      </c>
      <c r="C270" t="inlineStr">
        <is>
          <t>创业板新能源ETF华夏</t>
        </is>
      </c>
      <c r="D270" t="n">
        <v>91057.9682</v>
      </c>
      <c r="E270" t="n">
        <v>92857.9682</v>
      </c>
      <c r="F270" t="n">
        <v>0.5169</v>
      </c>
      <c r="G270" t="n">
        <v>-1800</v>
      </c>
      <c r="H270" t="n">
        <v>4.706786</v>
      </c>
      <c r="I270" t="n">
        <v>4.711613</v>
      </c>
      <c r="J270" t="n">
        <v>-0.004827</v>
      </c>
      <c r="K270" s="4">
        <f>IFERROR(J270/I270,"")</f>
        <v/>
      </c>
      <c r="L270" s="4">
        <f>IFERROR((D270-E270)/E270,"")</f>
        <v/>
      </c>
      <c r="M270" s="19">
        <f>IFERROR(F270*G270/10000,"")</f>
        <v/>
      </c>
    </row>
    <row r="271">
      <c r="A271" t="inlineStr">
        <is>
          <t>2026-10-30</t>
        </is>
      </c>
      <c r="B271" t="inlineStr">
        <is>
          <t>159369</t>
        </is>
      </c>
      <c r="C271" t="inlineStr">
        <is>
          <t>创业板50ETF易方达</t>
        </is>
      </c>
      <c r="D271" t="n">
        <v>78575.3492</v>
      </c>
      <c r="E271" t="n">
        <v>73975.3492</v>
      </c>
      <c r="F271" t="n">
        <v>1.0372</v>
      </c>
      <c r="G271" t="n">
        <v>4600</v>
      </c>
      <c r="H271" t="n">
        <v>8.149834999999999</v>
      </c>
      <c r="I271" t="n">
        <v>7.404193</v>
      </c>
      <c r="J271" t="n">
        <v>0.745642</v>
      </c>
      <c r="K271" s="4">
        <f>IFERROR(J271/I271,"")</f>
        <v/>
      </c>
      <c r="L271" s="4">
        <f>IFERROR((D271-E271)/E271,"")</f>
        <v/>
      </c>
      <c r="M271" s="19">
        <f>IFERROR(F271*G271/10000,"")</f>
        <v/>
      </c>
    </row>
    <row r="272">
      <c r="A272" t="inlineStr">
        <is>
          <t>2026-10-30</t>
        </is>
      </c>
      <c r="B272" t="inlineStr">
        <is>
          <t>159370</t>
        </is>
      </c>
      <c r="C272" t="inlineStr">
        <is>
          <t>创50ETF工银</t>
        </is>
      </c>
      <c r="D272" t="n">
        <v>25431.6009</v>
      </c>
      <c r="E272" t="n">
        <v>25431.6009</v>
      </c>
      <c r="F272" t="n">
        <v>1.3487</v>
      </c>
      <c r="G272" t="n">
        <v>0</v>
      </c>
      <c r="H272" t="n">
        <v>3.42996</v>
      </c>
      <c r="I272" t="n">
        <v>3.310177</v>
      </c>
      <c r="J272" t="n">
        <v>0.119783</v>
      </c>
      <c r="K272" s="4">
        <f>IFERROR(J272/I272,"")</f>
        <v/>
      </c>
      <c r="L272" s="4">
        <f>IFERROR((D272-E272)/E272,"")</f>
        <v/>
      </c>
      <c r="M272" s="19">
        <f>IFERROR(F272*G272/10000,"")</f>
        <v/>
      </c>
    </row>
    <row r="273">
      <c r="A273" t="inlineStr">
        <is>
          <t>2026-10-30</t>
        </is>
      </c>
      <c r="B273" t="inlineStr">
        <is>
          <t>159371</t>
        </is>
      </c>
      <c r="C273" t="inlineStr">
        <is>
          <t>创业板50ETF富国</t>
        </is>
      </c>
      <c r="D273" t="n">
        <v>23422.1172</v>
      </c>
      <c r="E273" t="n">
        <v>22622.1172</v>
      </c>
      <c r="F273" t="n">
        <v>1.2746</v>
      </c>
      <c r="G273" t="n">
        <v>800</v>
      </c>
      <c r="H273" t="n">
        <v>2.985383</v>
      </c>
      <c r="I273" t="n">
        <v>2.78252</v>
      </c>
      <c r="J273" t="n">
        <v>0.202863</v>
      </c>
      <c r="K273" s="4">
        <f>IFERROR(J273/I273,"")</f>
        <v/>
      </c>
      <c r="L273" s="4">
        <f>IFERROR((D273-E273)/E273,"")</f>
        <v/>
      </c>
      <c r="M273" s="19">
        <f>IFERROR(F273*G273/10000,"")</f>
        <v/>
      </c>
    </row>
    <row r="274">
      <c r="A274" t="inlineStr">
        <is>
          <t>2026-10-30</t>
        </is>
      </c>
      <c r="B274" t="inlineStr">
        <is>
          <t>159372</t>
        </is>
      </c>
      <c r="C274" t="inlineStr">
        <is>
          <t>创业板50ETF万家</t>
        </is>
      </c>
      <c r="D274" t="n">
        <v>7845.1588</v>
      </c>
      <c r="E274" t="n">
        <v>7045.1588</v>
      </c>
      <c r="F274" t="n">
        <v>1.3665</v>
      </c>
      <c r="G274" t="n">
        <v>800</v>
      </c>
      <c r="H274" t="n">
        <v>1.072041</v>
      </c>
      <c r="I274" t="n">
        <v>0.929327</v>
      </c>
      <c r="J274" t="n">
        <v>0.142714</v>
      </c>
      <c r="K274" s="4">
        <f>IFERROR(J274/I274,"")</f>
        <v/>
      </c>
      <c r="L274" s="4">
        <f>IFERROR((D274-E274)/E274,"")</f>
        <v/>
      </c>
      <c r="M274" s="19">
        <f>IFERROR(F274*G274/10000,"")</f>
        <v/>
      </c>
    </row>
    <row r="275">
      <c r="A275" t="inlineStr">
        <is>
          <t>2026-10-30</t>
        </is>
      </c>
      <c r="B275" t="inlineStr">
        <is>
          <t>159373</t>
        </is>
      </c>
      <c r="C275" t="inlineStr">
        <is>
          <t>创业板50ETF嘉实</t>
        </is>
      </c>
      <c r="D275" t="n">
        <v>15055.7494</v>
      </c>
      <c r="E275" t="n">
        <v>15155.7494</v>
      </c>
      <c r="F275" t="n">
        <v>1.2982</v>
      </c>
      <c r="G275" t="n">
        <v>-100</v>
      </c>
      <c r="H275" t="n">
        <v>1.954537</v>
      </c>
      <c r="I275" t="n">
        <v>1.898712</v>
      </c>
      <c r="J275" t="n">
        <v>0.055825</v>
      </c>
      <c r="K275" s="4">
        <f>IFERROR(J275/I275,"")</f>
        <v/>
      </c>
      <c r="L275" s="4">
        <f>IFERROR((D275-E275)/E275,"")</f>
        <v/>
      </c>
      <c r="M275" s="19">
        <f>IFERROR(F275*G275/10000,"")</f>
        <v/>
      </c>
    </row>
    <row r="276">
      <c r="A276" t="inlineStr">
        <is>
          <t>2026-10-30</t>
        </is>
      </c>
      <c r="B276" t="inlineStr">
        <is>
          <t>159375</t>
        </is>
      </c>
      <c r="C276" t="inlineStr">
        <is>
          <t>创业板50ETF国泰</t>
        </is>
      </c>
      <c r="D276" t="n">
        <v>47759.535</v>
      </c>
      <c r="E276" t="n">
        <v>47559.535</v>
      </c>
      <c r="F276" t="n">
        <v>0.5433</v>
      </c>
      <c r="G276" t="n">
        <v>200</v>
      </c>
      <c r="H276" t="n">
        <v>2.594776</v>
      </c>
      <c r="I276" t="n">
        <v>2.493071</v>
      </c>
      <c r="J276" t="n">
        <v>0.101705</v>
      </c>
      <c r="K276" s="4">
        <f>IFERROR(J276/I276,"")</f>
        <v/>
      </c>
      <c r="L276" s="4">
        <f>IFERROR((D276-E276)/E276,"")</f>
        <v/>
      </c>
      <c r="M276" s="19">
        <f>IFERROR(F276*G276/10000,"")</f>
        <v/>
      </c>
    </row>
    <row r="277">
      <c r="A277" t="inlineStr">
        <is>
          <t>2026-10-30</t>
        </is>
      </c>
      <c r="B277" t="inlineStr">
        <is>
          <t>159376</t>
        </is>
      </c>
      <c r="C277" t="inlineStr">
        <is>
          <t>A500ETF浦银</t>
        </is>
      </c>
      <c r="D277" t="n">
        <v>4592.2317</v>
      </c>
      <c r="E277" t="n">
        <v>4892.2317</v>
      </c>
      <c r="F277" t="n">
        <v>1.1539</v>
      </c>
      <c r="G277" t="n">
        <v>-300</v>
      </c>
      <c r="H277" t="n">
        <v>0.529898</v>
      </c>
      <c r="I277" t="n">
        <v>0.557959</v>
      </c>
      <c r="J277" t="n">
        <v>-0.028061</v>
      </c>
      <c r="K277" s="4">
        <f>IFERROR(J277/I277,"")</f>
        <v/>
      </c>
      <c r="L277" s="4">
        <f>IFERROR((D277-E277)/E277,"")</f>
        <v/>
      </c>
      <c r="M277" s="19">
        <f>IFERROR(F277*G277/10000,"")</f>
        <v/>
      </c>
    </row>
    <row r="278">
      <c r="A278" t="inlineStr">
        <is>
          <t>2026-10-30</t>
        </is>
      </c>
      <c r="B278" t="inlineStr">
        <is>
          <t>159377</t>
        </is>
      </c>
      <c r="C278" t="inlineStr">
        <is>
          <t>创业板医药ETF国泰</t>
        </is>
      </c>
      <c r="D278" t="n">
        <v>11312.9399</v>
      </c>
      <c r="E278" t="n">
        <v>11412.9399</v>
      </c>
      <c r="F278" t="n">
        <v>0.964</v>
      </c>
      <c r="G278" t="n">
        <v>-100</v>
      </c>
      <c r="H278" t="n">
        <v>1.090567</v>
      </c>
      <c r="I278" t="n">
        <v>1.086398</v>
      </c>
      <c r="J278" t="n">
        <v>0.004169</v>
      </c>
      <c r="K278" s="4">
        <f>IFERROR(J278/I278,"")</f>
        <v/>
      </c>
      <c r="L278" s="4">
        <f>IFERROR((D278-E278)/E278,"")</f>
        <v/>
      </c>
      <c r="M278" s="19">
        <f>IFERROR(F278*G278/10000,"")</f>
        <v/>
      </c>
    </row>
    <row r="279">
      <c r="A279" t="inlineStr">
        <is>
          <t>2026-10-30</t>
        </is>
      </c>
      <c r="B279" t="inlineStr">
        <is>
          <t>159378</t>
        </is>
      </c>
      <c r="C279" t="inlineStr">
        <is>
          <t>通用航空ETF永赢</t>
        </is>
      </c>
      <c r="D279" t="n">
        <v>59677.1072</v>
      </c>
      <c r="E279" t="n">
        <v>60127.1072</v>
      </c>
      <c r="F279" t="n">
        <v>0.9353</v>
      </c>
      <c r="G279" t="n">
        <v>-450</v>
      </c>
      <c r="H279" t="n">
        <v>5.5816</v>
      </c>
      <c r="I279" t="n">
        <v>5.552137</v>
      </c>
      <c r="J279" t="n">
        <v>0.029463</v>
      </c>
      <c r="K279" s="4">
        <f>IFERROR(J279/I279,"")</f>
        <v/>
      </c>
      <c r="L279" s="4">
        <f>IFERROR((D279-E279)/E279,"")</f>
        <v/>
      </c>
      <c r="M279" s="19">
        <f>IFERROR(F279*G279/10000,"")</f>
        <v/>
      </c>
    </row>
    <row r="280">
      <c r="A280" t="inlineStr">
        <is>
          <t>2026-10-30</t>
        </is>
      </c>
      <c r="B280" t="inlineStr">
        <is>
          <t>159379</t>
        </is>
      </c>
      <c r="C280" t="inlineStr">
        <is>
          <t>A500ETF融通</t>
        </is>
      </c>
      <c r="D280" t="n">
        <v>15582.1471</v>
      </c>
      <c r="E280" t="n">
        <v>15582.1471</v>
      </c>
      <c r="F280" t="n">
        <v>1.1975</v>
      </c>
      <c r="G280" t="n">
        <v>0</v>
      </c>
      <c r="H280" t="n">
        <v>1.865962</v>
      </c>
      <c r="I280" t="n">
        <v>1.843991</v>
      </c>
      <c r="J280" t="n">
        <v>0.021971</v>
      </c>
      <c r="K280" s="4">
        <f>IFERROR(J280/I280,"")</f>
        <v/>
      </c>
      <c r="L280" s="4">
        <f>IFERROR((D280-E280)/E280,"")</f>
        <v/>
      </c>
      <c r="M280" s="19">
        <f>IFERROR(F280*G280/10000,"")</f>
        <v/>
      </c>
    </row>
    <row r="281">
      <c r="A281" t="inlineStr">
        <is>
          <t>2026-10-30</t>
        </is>
      </c>
      <c r="B281" t="inlineStr">
        <is>
          <t>159380</t>
        </is>
      </c>
      <c r="C281" t="inlineStr">
        <is>
          <t>A500ETF东财</t>
        </is>
      </c>
      <c r="D281" t="n">
        <v>18480.4337</v>
      </c>
      <c r="E281" t="n">
        <v>18480.4337</v>
      </c>
      <c r="F281" t="n">
        <v>1.1903</v>
      </c>
      <c r="G281" t="n">
        <v>0</v>
      </c>
      <c r="H281" t="n">
        <v>2.199726</v>
      </c>
      <c r="I281" t="n">
        <v>2.174223</v>
      </c>
      <c r="J281" t="n">
        <v>0.025503</v>
      </c>
      <c r="K281" s="4">
        <f>IFERROR(J281/I281,"")</f>
        <v/>
      </c>
      <c r="L281" s="4">
        <f>IFERROR((D281-E281)/E281,"")</f>
        <v/>
      </c>
      <c r="M281" s="19">
        <f>IFERROR(F281*G281/10000,"")</f>
        <v/>
      </c>
    </row>
    <row r="282">
      <c r="A282" t="inlineStr">
        <is>
          <t>2026-10-30</t>
        </is>
      </c>
      <c r="B282" t="inlineStr">
        <is>
          <t>159381</t>
        </is>
      </c>
      <c r="C282" t="inlineStr">
        <is>
          <t>创业板人工智能ETF华夏</t>
        </is>
      </c>
      <c r="D282" t="n">
        <v>177715.3206</v>
      </c>
      <c r="E282" t="n">
        <v>169915.3206</v>
      </c>
      <c r="F282" t="n">
        <v>0.9382</v>
      </c>
      <c r="G282" t="n">
        <v>7800</v>
      </c>
      <c r="H282" t="n">
        <v>16.673251</v>
      </c>
      <c r="I282" t="n">
        <v>15.212519</v>
      </c>
      <c r="J282" t="n">
        <v>1.460732</v>
      </c>
      <c r="K282" s="4">
        <f>IFERROR(J282/I282,"")</f>
        <v/>
      </c>
      <c r="L282" s="4">
        <f>IFERROR((D282-E282)/E282,"")</f>
        <v/>
      </c>
      <c r="M282" s="19">
        <f>IFERROR(F282*G282/10000,"")</f>
        <v/>
      </c>
    </row>
    <row r="283">
      <c r="A283" t="inlineStr">
        <is>
          <t>2026-10-30</t>
        </is>
      </c>
      <c r="B283" t="inlineStr">
        <is>
          <t>159382</t>
        </is>
      </c>
      <c r="C283" t="inlineStr">
        <is>
          <t>创业板人工智能ETF南方</t>
        </is>
      </c>
      <c r="D283" t="n">
        <v>83405.5714</v>
      </c>
      <c r="E283" t="n">
        <v>79205.5714</v>
      </c>
      <c r="F283" t="n">
        <v>2.0922</v>
      </c>
      <c r="G283" t="n">
        <v>4200</v>
      </c>
      <c r="H283" t="n">
        <v>17.450114</v>
      </c>
      <c r="I283" t="n">
        <v>15.811016</v>
      </c>
      <c r="J283" t="n">
        <v>1.639098</v>
      </c>
      <c r="K283" s="4">
        <f>IFERROR(J283/I283,"")</f>
        <v/>
      </c>
      <c r="L283" s="4">
        <f>IFERROR((D283-E283)/E283,"")</f>
        <v/>
      </c>
      <c r="M283" s="19">
        <f>IFERROR(F283*G283/10000,"")</f>
        <v/>
      </c>
    </row>
    <row r="284">
      <c r="A284" t="inlineStr">
        <is>
          <t>2026-10-30</t>
        </is>
      </c>
      <c r="B284" t="inlineStr">
        <is>
          <t>159383</t>
        </is>
      </c>
      <c r="C284" t="inlineStr">
        <is>
          <t>创业板50ETF华泰柏瑞</t>
        </is>
      </c>
      <c r="D284" t="n">
        <v>7709.2486</v>
      </c>
      <c r="E284" t="n">
        <v>7209.2486</v>
      </c>
      <c r="F284" t="n">
        <v>1.2768</v>
      </c>
      <c r="G284" t="n">
        <v>500</v>
      </c>
      <c r="H284" t="n">
        <v>0.984317</v>
      </c>
      <c r="I284" t="n">
        <v>0.888972</v>
      </c>
      <c r="J284" t="n">
        <v>0.095345</v>
      </c>
      <c r="K284" s="4">
        <f>IFERROR(J284/I284,"")</f>
        <v/>
      </c>
      <c r="L284" s="4">
        <f>IFERROR((D284-E284)/E284,"")</f>
        <v/>
      </c>
      <c r="M284" s="19">
        <f>IFERROR(F284*G284/10000,"")</f>
        <v/>
      </c>
    </row>
    <row r="285">
      <c r="A285" t="inlineStr">
        <is>
          <t>2026-10-30</t>
        </is>
      </c>
      <c r="B285" t="inlineStr">
        <is>
          <t>159385</t>
        </is>
      </c>
      <c r="C285" t="inlineStr">
        <is>
          <t>数字经济ETF富国</t>
        </is>
      </c>
      <c r="D285" t="n">
        <v>4900.2525</v>
      </c>
      <c r="E285" t="n">
        <v>4900.2525</v>
      </c>
      <c r="F285" t="n">
        <v>1.4114</v>
      </c>
      <c r="G285" t="n">
        <v>0</v>
      </c>
      <c r="H285" t="n">
        <v>0.691622</v>
      </c>
      <c r="I285" t="n">
        <v>0.67501</v>
      </c>
      <c r="J285" t="n">
        <v>0.016612</v>
      </c>
      <c r="K285" s="4">
        <f>IFERROR(J285/I285,"")</f>
        <v/>
      </c>
      <c r="L285" s="4">
        <f>IFERROR((D285-E285)/E285,"")</f>
        <v/>
      </c>
      <c r="M285" s="19">
        <f>IFERROR(F285*G285/10000,"")</f>
        <v/>
      </c>
    </row>
    <row r="286">
      <c r="A286" t="inlineStr">
        <is>
          <t>2026-10-30</t>
        </is>
      </c>
      <c r="B286" t="inlineStr">
        <is>
          <t>159386</t>
        </is>
      </c>
      <c r="C286" t="inlineStr">
        <is>
          <t>A500ETF永赢</t>
        </is>
      </c>
      <c r="D286" t="n">
        <v>7886.9559</v>
      </c>
      <c r="E286" t="n">
        <v>7886.9559</v>
      </c>
      <c r="F286" t="n">
        <v>1.1185</v>
      </c>
      <c r="G286" t="n">
        <v>0</v>
      </c>
      <c r="H286" t="n">
        <v>0.8821560000000001</v>
      </c>
      <c r="I286" t="n">
        <v>0.871982</v>
      </c>
      <c r="J286" t="n">
        <v>0.010174</v>
      </c>
      <c r="K286" s="4">
        <f>IFERROR(J286/I286,"")</f>
        <v/>
      </c>
      <c r="L286" s="4">
        <f>IFERROR((D286-E286)/E286,"")</f>
        <v/>
      </c>
      <c r="M286" s="19">
        <f>IFERROR(F286*G286/10000,"")</f>
        <v/>
      </c>
    </row>
    <row r="287">
      <c r="A287" t="inlineStr">
        <is>
          <t>2026-10-30</t>
        </is>
      </c>
      <c r="B287" t="inlineStr">
        <is>
          <t>159387</t>
        </is>
      </c>
      <c r="C287" t="inlineStr">
        <is>
          <t>创业板新能源ETF国泰</t>
        </is>
      </c>
      <c r="D287" t="n">
        <v>121918.9648</v>
      </c>
      <c r="E287" t="n">
        <v>121718.9648</v>
      </c>
      <c r="F287" t="n">
        <v>0.5701000000000001</v>
      </c>
      <c r="G287" t="n">
        <v>200</v>
      </c>
      <c r="H287" t="n">
        <v>6.9506</v>
      </c>
      <c r="I287" t="n">
        <v>6.81261</v>
      </c>
      <c r="J287" t="n">
        <v>0.13799</v>
      </c>
      <c r="K287" s="4">
        <f>IFERROR(J287/I287,"")</f>
        <v/>
      </c>
      <c r="L287" s="4">
        <f>IFERROR((D287-E287)/E287,"")</f>
        <v/>
      </c>
      <c r="M287" s="19">
        <f>IFERROR(F287*G287/10000,"")</f>
        <v/>
      </c>
    </row>
    <row r="288">
      <c r="A288" t="inlineStr">
        <is>
          <t>2026-10-30</t>
        </is>
      </c>
      <c r="B288" t="inlineStr">
        <is>
          <t>159388</t>
        </is>
      </c>
      <c r="C288" t="inlineStr">
        <is>
          <t>创业板人工智能ETF国泰</t>
        </is>
      </c>
      <c r="D288" t="n">
        <v>89673.69839999999</v>
      </c>
      <c r="E288" t="n">
        <v>88073.69839999999</v>
      </c>
      <c r="F288" t="n">
        <v>0.8108</v>
      </c>
      <c r="G288" t="n">
        <v>1600</v>
      </c>
      <c r="H288" t="n">
        <v>7.270743</v>
      </c>
      <c r="I288" t="n">
        <v>6.815143</v>
      </c>
      <c r="J288" t="n">
        <v>0.4556</v>
      </c>
      <c r="K288" s="4">
        <f>IFERROR(J288/I288,"")</f>
        <v/>
      </c>
      <c r="L288" s="4">
        <f>IFERROR((D288-E288)/E288,"")</f>
        <v/>
      </c>
      <c r="M288" s="19">
        <f>IFERROR(F288*G288/10000,"")</f>
        <v/>
      </c>
    </row>
    <row r="289">
      <c r="A289" t="inlineStr">
        <is>
          <t>2026-10-30</t>
        </is>
      </c>
      <c r="B289" t="inlineStr">
        <is>
          <t>159389</t>
        </is>
      </c>
      <c r="C289" t="inlineStr">
        <is>
          <t>数字经济ETF嘉实</t>
        </is>
      </c>
      <c r="D289" t="n">
        <v>13209.3364</v>
      </c>
      <c r="E289" t="n">
        <v>13309.3364</v>
      </c>
      <c r="F289" t="n">
        <v>1.4402</v>
      </c>
      <c r="G289" t="n">
        <v>-100</v>
      </c>
      <c r="H289" t="n">
        <v>1.902409</v>
      </c>
      <c r="I289" t="n">
        <v>1.871027</v>
      </c>
      <c r="J289" t="n">
        <v>0.031382</v>
      </c>
      <c r="K289" s="4">
        <f>IFERROR(J289/I289,"")</f>
        <v/>
      </c>
      <c r="L289" s="4">
        <f>IFERROR((D289-E289)/E289,"")</f>
        <v/>
      </c>
      <c r="M289" s="19">
        <f>IFERROR(F289*G289/10000,"")</f>
        <v/>
      </c>
    </row>
    <row r="290">
      <c r="A290" t="inlineStr">
        <is>
          <t>2026-10-30</t>
        </is>
      </c>
      <c r="B290" t="inlineStr">
        <is>
          <t>159390</t>
        </is>
      </c>
      <c r="C290" t="inlineStr">
        <is>
          <t>中证A50ETF国联</t>
        </is>
      </c>
      <c r="D290" t="n">
        <v>10626.8771</v>
      </c>
      <c r="E290" t="n">
        <v>10626.8771</v>
      </c>
      <c r="F290" t="n">
        <v>1.1204</v>
      </c>
      <c r="G290" t="n">
        <v>0</v>
      </c>
      <c r="H290" t="n">
        <v>1.190635</v>
      </c>
      <c r="I290" t="n">
        <v>1.184047</v>
      </c>
      <c r="J290" t="n">
        <v>0.006588</v>
      </c>
      <c r="K290" s="4">
        <f>IFERROR(J290/I290,"")</f>
        <v/>
      </c>
      <c r="L290" s="4">
        <f>IFERROR((D290-E290)/E290,"")</f>
        <v/>
      </c>
      <c r="M290" s="19">
        <f>IFERROR(F290*G290/10000,"")</f>
        <v/>
      </c>
    </row>
    <row r="291">
      <c r="A291" t="inlineStr">
        <is>
          <t>2026-10-30</t>
        </is>
      </c>
      <c r="B291" t="inlineStr">
        <is>
          <t>159391</t>
        </is>
      </c>
      <c r="C291" t="inlineStr">
        <is>
          <t>大盘价值ETF博时</t>
        </is>
      </c>
      <c r="D291" t="n">
        <v>8207.639800000001</v>
      </c>
      <c r="E291" t="n">
        <v>8207.639800000001</v>
      </c>
      <c r="F291" t="n">
        <v>1.139</v>
      </c>
      <c r="G291" t="n">
        <v>0</v>
      </c>
      <c r="H291" t="n">
        <v>0.93485</v>
      </c>
      <c r="I291" t="n">
        <v>0.938297</v>
      </c>
      <c r="J291" t="n">
        <v>-0.003447</v>
      </c>
      <c r="K291" s="4">
        <f>IFERROR(J291/I291,"")</f>
        <v/>
      </c>
      <c r="L291" s="4">
        <f>IFERROR((D291-E291)/E291,"")</f>
        <v/>
      </c>
      <c r="M291" s="19">
        <f>IFERROR(F291*G291/10000,"")</f>
        <v/>
      </c>
    </row>
    <row r="292">
      <c r="A292" t="inlineStr">
        <is>
          <t>2026-10-30</t>
        </is>
      </c>
      <c r="B292" t="inlineStr">
        <is>
          <t>159392</t>
        </is>
      </c>
      <c r="C292" t="inlineStr">
        <is>
          <t>航空ETF富国</t>
        </is>
      </c>
      <c r="D292" t="n">
        <v>19128.55</v>
      </c>
      <c r="E292" t="n">
        <v>19228.55</v>
      </c>
      <c r="F292" t="n">
        <v>0.868</v>
      </c>
      <c r="G292" t="n">
        <v>-100</v>
      </c>
      <c r="H292" t="n">
        <v>1.660358</v>
      </c>
      <c r="I292" t="n">
        <v>1.647887</v>
      </c>
      <c r="J292" t="n">
        <v>0.012471</v>
      </c>
      <c r="K292" s="4">
        <f>IFERROR(J292/I292,"")</f>
        <v/>
      </c>
      <c r="L292" s="4">
        <f>IFERROR((D292-E292)/E292,"")</f>
        <v/>
      </c>
      <c r="M292" s="19">
        <f>IFERROR(F292*G292/10000,"")</f>
        <v/>
      </c>
    </row>
    <row r="293">
      <c r="A293" t="inlineStr">
        <is>
          <t>2026-10-30</t>
        </is>
      </c>
      <c r="B293" t="inlineStr">
        <is>
          <t>159393</t>
        </is>
      </c>
      <c r="C293" t="inlineStr">
        <is>
          <t>沪深300ETF万家</t>
        </is>
      </c>
      <c r="D293" t="n">
        <v>10684.6342</v>
      </c>
      <c r="E293" t="n">
        <v>10684.6342</v>
      </c>
      <c r="F293" t="n">
        <v>4.4315</v>
      </c>
      <c r="G293" t="n">
        <v>0</v>
      </c>
      <c r="H293" t="n">
        <v>4.734896</v>
      </c>
      <c r="I293" t="n">
        <v>4.694935</v>
      </c>
      <c r="J293" t="n">
        <v>0.039961</v>
      </c>
      <c r="K293" s="4">
        <f>IFERROR(J293/I293,"")</f>
        <v/>
      </c>
      <c r="L293" s="4">
        <f>IFERROR((D293-E293)/E293,"")</f>
        <v/>
      </c>
      <c r="M293" s="19">
        <f>IFERROR(F293*G293/10000,"")</f>
        <v/>
      </c>
    </row>
    <row r="294">
      <c r="A294" t="inlineStr">
        <is>
          <t>2026-10-30</t>
        </is>
      </c>
      <c r="B294" t="inlineStr">
        <is>
          <t>159395</t>
        </is>
      </c>
      <c r="C294" t="inlineStr">
        <is>
          <t>信用债ETF大成</t>
        </is>
      </c>
      <c r="D294" t="n">
        <v>15526.4202</v>
      </c>
      <c r="E294" t="n">
        <v>15526.4202</v>
      </c>
      <c r="F294" t="n">
        <v>104.2401</v>
      </c>
      <c r="G294" t="n">
        <v>0</v>
      </c>
      <c r="H294" t="n">
        <v>161.847559</v>
      </c>
      <c r="I294" t="n">
        <v>161.846473</v>
      </c>
      <c r="J294" t="n">
        <v>0.001086</v>
      </c>
      <c r="K294" s="4">
        <f>IFERROR(J294/I294,"")</f>
        <v/>
      </c>
      <c r="L294" s="4">
        <f>IFERROR((D294-E294)/E294,"")</f>
        <v/>
      </c>
      <c r="M294" s="19">
        <f>IFERROR(F294*G294/10000,"")</f>
        <v/>
      </c>
    </row>
    <row r="295">
      <c r="A295" t="inlineStr">
        <is>
          <t>2026-10-30</t>
        </is>
      </c>
      <c r="B295" t="inlineStr">
        <is>
          <t>159396</t>
        </is>
      </c>
      <c r="C295" t="inlineStr">
        <is>
          <t>信用债ETF博时</t>
        </is>
      </c>
      <c r="D295" t="n">
        <v>9566.912899999999</v>
      </c>
      <c r="E295" t="n">
        <v>9566.5129</v>
      </c>
      <c r="F295" t="n">
        <v>104.1444</v>
      </c>
      <c r="G295" t="n">
        <v>0.4</v>
      </c>
      <c r="H295" t="n">
        <v>99.63404</v>
      </c>
      <c r="I295" t="n">
        <v>99.632171</v>
      </c>
      <c r="J295" t="n">
        <v>0.001869</v>
      </c>
      <c r="K295" s="4">
        <f>IFERROR(J295/I295,"")</f>
        <v/>
      </c>
      <c r="L295" s="4">
        <f>IFERROR((D295-E295)/E295,"")</f>
        <v/>
      </c>
      <c r="M295" s="19">
        <f>IFERROR(F295*G295/10000,"")</f>
        <v/>
      </c>
    </row>
    <row r="296">
      <c r="A296" t="inlineStr">
        <is>
          <t>2026-10-30</t>
        </is>
      </c>
      <c r="B296" t="inlineStr">
        <is>
          <t>159397</t>
        </is>
      </c>
      <c r="C296" t="inlineStr">
        <is>
          <t>信用债ETF广发</t>
        </is>
      </c>
      <c r="D296" t="n">
        <v>21559.7657</v>
      </c>
      <c r="E296" t="n">
        <v>21539.7657</v>
      </c>
      <c r="F296" t="n">
        <v>103.8955</v>
      </c>
      <c r="G296" t="n">
        <v>20</v>
      </c>
      <c r="H296" t="n">
        <v>223.996264</v>
      </c>
      <c r="I296" t="n">
        <v>223.799889</v>
      </c>
      <c r="J296" t="n">
        <v>0.196375</v>
      </c>
      <c r="K296" s="4">
        <f>IFERROR(J296/I296,"")</f>
        <v/>
      </c>
      <c r="L296" s="4">
        <f>IFERROR((D296-E296)/E296,"")</f>
        <v/>
      </c>
      <c r="M296" s="19">
        <f>IFERROR(F296*G296/10000,"")</f>
        <v/>
      </c>
    </row>
    <row r="297">
      <c r="A297" t="inlineStr">
        <is>
          <t>2026-10-30</t>
        </is>
      </c>
      <c r="B297" t="inlineStr">
        <is>
          <t>159398</t>
        </is>
      </c>
      <c r="C297" t="inlineStr">
        <is>
          <t>信用债ETF天弘</t>
        </is>
      </c>
      <c r="D297" t="n">
        <v>10727.231</v>
      </c>
      <c r="E297" t="n">
        <v>10727.231</v>
      </c>
      <c r="F297" t="n">
        <v>103.2021</v>
      </c>
      <c r="G297" t="n">
        <v>0</v>
      </c>
      <c r="H297" t="n">
        <v>110.707277</v>
      </c>
      <c r="I297" t="n">
        <v>110.706418</v>
      </c>
      <c r="J297" t="n">
        <v>0.000859</v>
      </c>
      <c r="K297" s="4">
        <f>IFERROR(J297/I297,"")</f>
        <v/>
      </c>
      <c r="L297" s="4">
        <f>IFERROR((D297-E297)/E297,"")</f>
        <v/>
      </c>
      <c r="M297" s="19">
        <f>IFERROR(F297*G297/10000,"")</f>
        <v/>
      </c>
    </row>
    <row r="298">
      <c r="A298" t="inlineStr">
        <is>
          <t>2026-10-30</t>
        </is>
      </c>
      <c r="B298" t="inlineStr">
        <is>
          <t>159399</t>
        </is>
      </c>
      <c r="C298" t="inlineStr">
        <is>
          <t>现金流ETF国泰</t>
        </is>
      </c>
      <c r="D298" t="n">
        <v>393219.4835</v>
      </c>
      <c r="E298" t="n">
        <v>393719.4835</v>
      </c>
      <c r="F298" t="n">
        <v>0.9855</v>
      </c>
      <c r="G298" t="n">
        <v>-500</v>
      </c>
      <c r="H298" t="n">
        <v>38.75178</v>
      </c>
      <c r="I298" t="n">
        <v>38.911297</v>
      </c>
      <c r="J298" t="n">
        <v>-0.159517</v>
      </c>
      <c r="K298" s="4">
        <f>IFERROR(J298/I298,"")</f>
        <v/>
      </c>
      <c r="L298" s="4">
        <f>IFERROR((D298-E298)/E298,"")</f>
        <v/>
      </c>
      <c r="M298" s="19">
        <f>IFERROR(F298*G298/10000,"")</f>
        <v/>
      </c>
    </row>
    <row r="299">
      <c r="A299" t="inlineStr">
        <is>
          <t>2026-10-30</t>
        </is>
      </c>
      <c r="B299" t="inlineStr">
        <is>
          <t>159400</t>
        </is>
      </c>
      <c r="C299" t="inlineStr">
        <is>
          <t>科创债ETF景顺</t>
        </is>
      </c>
      <c r="D299" t="n">
        <v>7918.7356</v>
      </c>
      <c r="E299" t="n">
        <v>7908.7356</v>
      </c>
      <c r="F299" t="n">
        <v>101.0839</v>
      </c>
      <c r="G299" t="n">
        <v>10</v>
      </c>
      <c r="H299" t="n">
        <v>80.04566800000001</v>
      </c>
      <c r="I299" t="n">
        <v>79.939364</v>
      </c>
      <c r="J299" t="n">
        <v>0.106304</v>
      </c>
      <c r="K299" s="4">
        <f>IFERROR(J299/I299,"")</f>
        <v/>
      </c>
      <c r="L299" s="4">
        <f>IFERROR((D299-E299)/E299,"")</f>
        <v/>
      </c>
      <c r="M299" s="19">
        <f>IFERROR(F299*G299/10000,"")</f>
        <v/>
      </c>
    </row>
    <row r="300">
      <c r="A300" t="inlineStr">
        <is>
          <t>2026-10-30</t>
        </is>
      </c>
      <c r="B300" t="inlineStr">
        <is>
          <t>159500</t>
        </is>
      </c>
      <c r="C300" t="inlineStr">
        <is>
          <t>中证500ETF富国</t>
        </is>
      </c>
      <c r="D300" t="n">
        <v>26653.8865</v>
      </c>
      <c r="E300" t="n">
        <v>26653.8865</v>
      </c>
      <c r="F300" t="n">
        <v>1.005</v>
      </c>
      <c r="G300" t="n">
        <v>0</v>
      </c>
      <c r="H300" t="n">
        <v>2.678716</v>
      </c>
      <c r="I300" t="n">
        <v>2.626207</v>
      </c>
      <c r="J300" t="n">
        <v>0.052509</v>
      </c>
      <c r="K300" s="4">
        <f>IFERROR(J300/I300,"")</f>
        <v/>
      </c>
      <c r="L300" s="4">
        <f>IFERROR((D300-E300)/E300,"")</f>
        <v/>
      </c>
      <c r="M300" s="19">
        <f>IFERROR(F300*G300/10000,"")</f>
        <v/>
      </c>
    </row>
    <row r="301">
      <c r="A301" t="inlineStr">
        <is>
          <t>2026-10-30</t>
        </is>
      </c>
      <c r="B301" t="inlineStr">
        <is>
          <t>159501</t>
        </is>
      </c>
      <c r="C301" t="inlineStr">
        <is>
          <t>纳指ETF嘉实</t>
        </is>
      </c>
      <c r="D301" t="n">
        <v>708798.6575</v>
      </c>
      <c r="E301" t="n">
        <v>708698.6575</v>
      </c>
      <c r="F301" t="n">
        <v>1.8634</v>
      </c>
      <c r="G301" t="n">
        <v>100</v>
      </c>
      <c r="H301" t="n">
        <v>132.077542</v>
      </c>
      <c r="I301" t="n">
        <v>130.365118</v>
      </c>
      <c r="J301" t="n">
        <v>1.712424</v>
      </c>
      <c r="K301" s="4">
        <f>IFERROR(J301/I301,"")</f>
        <v/>
      </c>
      <c r="L301" s="4">
        <f>IFERROR((D301-E301)/E301,"")</f>
        <v/>
      </c>
      <c r="M301" s="19">
        <f>IFERROR(F301*G301/10000,"")</f>
        <v/>
      </c>
    </row>
    <row r="302">
      <c r="A302" t="inlineStr">
        <is>
          <t>2026-10-30</t>
        </is>
      </c>
      <c r="B302" t="inlineStr">
        <is>
          <t>159502</t>
        </is>
      </c>
      <c r="C302" t="inlineStr">
        <is>
          <t>标普生物科技ETF嘉实</t>
        </is>
      </c>
      <c r="D302" t="n">
        <v>116032.3019</v>
      </c>
      <c r="E302" t="n">
        <v>115932.3019</v>
      </c>
      <c r="F302" t="n">
        <v>1.5336</v>
      </c>
      <c r="G302" t="n">
        <v>100</v>
      </c>
      <c r="H302" t="n">
        <v>17.794714</v>
      </c>
      <c r="I302" t="n">
        <v>17.290144</v>
      </c>
      <c r="J302" t="n">
        <v>0.50457</v>
      </c>
      <c r="K302" s="4">
        <f>IFERROR(J302/I302,"")</f>
        <v/>
      </c>
      <c r="L302" s="4">
        <f>IFERROR((D302-E302)/E302,"")</f>
        <v/>
      </c>
      <c r="M302" s="19">
        <f>IFERROR(F302*G302/10000,"")</f>
        <v/>
      </c>
    </row>
    <row r="303">
      <c r="A303" t="inlineStr">
        <is>
          <t>2026-10-30</t>
        </is>
      </c>
      <c r="B303" t="inlineStr">
        <is>
          <t>159505</t>
        </is>
      </c>
      <c r="C303" t="inlineStr">
        <is>
          <t>国证2000ETF博时</t>
        </is>
      </c>
      <c r="D303" t="n">
        <v>1710.4786</v>
      </c>
      <c r="E303" t="n">
        <v>1710.4786</v>
      </c>
      <c r="F303" t="n">
        <v>1.4147</v>
      </c>
      <c r="G303" t="n">
        <v>0</v>
      </c>
      <c r="H303" t="n">
        <v>0.241981</v>
      </c>
      <c r="I303" t="n">
        <v>0.235225</v>
      </c>
      <c r="J303" t="n">
        <v>0.006756</v>
      </c>
      <c r="K303" s="4">
        <f>IFERROR(J303/I303,"")</f>
        <v/>
      </c>
      <c r="L303" s="4">
        <f>IFERROR((D303-E303)/E303,"")</f>
        <v/>
      </c>
      <c r="M303" s="19">
        <f>IFERROR(F303*G303/10000,"")</f>
        <v/>
      </c>
    </row>
    <row r="304">
      <c r="A304" t="inlineStr">
        <is>
          <t>2026-10-30</t>
        </is>
      </c>
      <c r="B304" t="inlineStr">
        <is>
          <t>159506</t>
        </is>
      </c>
      <c r="C304" t="inlineStr">
        <is>
          <t>港股通创新药医疗ETF富国</t>
        </is>
      </c>
      <c r="D304" t="n">
        <v>261553.6979</v>
      </c>
      <c r="E304" t="n">
        <v>265453.6979</v>
      </c>
      <c r="F304" t="n">
        <v>1.1493</v>
      </c>
      <c r="G304" t="n">
        <v>-3900</v>
      </c>
      <c r="H304" t="n">
        <v>30.060366</v>
      </c>
      <c r="I304" t="n">
        <v>29.990959</v>
      </c>
      <c r="J304" t="n">
        <v>0.069407</v>
      </c>
      <c r="K304" s="4">
        <f>IFERROR(J304/I304,"")</f>
        <v/>
      </c>
      <c r="L304" s="4">
        <f>IFERROR((D304-E304)/E304,"")</f>
        <v/>
      </c>
      <c r="M304" s="19">
        <f>IFERROR(F304*G304/10000,"")</f>
        <v/>
      </c>
    </row>
    <row r="305">
      <c r="A305" t="inlineStr">
        <is>
          <t>2026-10-30</t>
        </is>
      </c>
      <c r="B305" t="inlineStr">
        <is>
          <t>159507</t>
        </is>
      </c>
      <c r="C305" t="inlineStr">
        <is>
          <t>通信ETF广发</t>
        </is>
      </c>
      <c r="D305" t="n">
        <v>86383.09020000001</v>
      </c>
      <c r="E305" t="n">
        <v>86083.09020000001</v>
      </c>
      <c r="F305" t="n">
        <v>0.6985</v>
      </c>
      <c r="G305" t="n">
        <v>300</v>
      </c>
      <c r="H305" t="n">
        <v>6.033859</v>
      </c>
      <c r="I305" t="n">
        <v>5.810609</v>
      </c>
      <c r="J305" t="n">
        <v>0.22325</v>
      </c>
      <c r="K305" s="4">
        <f>IFERROR(J305/I305,"")</f>
        <v/>
      </c>
      <c r="L305" s="4">
        <f>IFERROR((D305-E305)/E305,"")</f>
        <v/>
      </c>
      <c r="M305" s="19">
        <f>IFERROR(F305*G305/10000,"")</f>
        <v/>
      </c>
    </row>
    <row r="306">
      <c r="A306" t="inlineStr">
        <is>
          <t>2026-10-30</t>
        </is>
      </c>
      <c r="B306" t="inlineStr">
        <is>
          <t>159508</t>
        </is>
      </c>
      <c r="C306" t="inlineStr">
        <is>
          <t>生物医药ETF华安</t>
        </is>
      </c>
      <c r="D306" t="n">
        <v>7723.1598</v>
      </c>
      <c r="E306" t="n">
        <v>7843.1598</v>
      </c>
      <c r="F306" t="n">
        <v>0.7484</v>
      </c>
      <c r="G306" t="n">
        <v>-120</v>
      </c>
      <c r="H306" t="n">
        <v>0.578001</v>
      </c>
      <c r="I306" t="n">
        <v>0.580551</v>
      </c>
      <c r="J306" t="n">
        <v>-0.00255</v>
      </c>
      <c r="K306" s="4">
        <f>IFERROR(J306/I306,"")</f>
        <v/>
      </c>
      <c r="L306" s="4">
        <f>IFERROR((D306-E306)/E306,"")</f>
        <v/>
      </c>
      <c r="M306" s="19">
        <f>IFERROR(F306*G306/10000,"")</f>
        <v/>
      </c>
    </row>
    <row r="307">
      <c r="A307" t="inlineStr">
        <is>
          <t>2026-10-30</t>
        </is>
      </c>
      <c r="B307" t="inlineStr">
        <is>
          <t>159509</t>
        </is>
      </c>
      <c r="C307" t="inlineStr">
        <is>
          <t>纳指科技ETF景顺</t>
        </is>
      </c>
      <c r="D307" t="n">
        <v>689456.4118</v>
      </c>
      <c r="E307" t="n">
        <v>688656.4118</v>
      </c>
      <c r="F307" t="n">
        <v>2.262</v>
      </c>
      <c r="G307" t="n">
        <v>800</v>
      </c>
      <c r="H307" t="n">
        <v>155.95504</v>
      </c>
      <c r="I307" t="n">
        <v>153.701225</v>
      </c>
      <c r="J307" t="n">
        <v>2.253815</v>
      </c>
      <c r="K307" s="4">
        <f>IFERROR(J307/I307,"")</f>
        <v/>
      </c>
      <c r="L307" s="4">
        <f>IFERROR((D307-E307)/E307,"")</f>
        <v/>
      </c>
      <c r="M307" s="19">
        <f>IFERROR(F307*G307/10000,"")</f>
        <v/>
      </c>
    </row>
    <row r="308">
      <c r="A308" t="inlineStr">
        <is>
          <t>2026-10-30</t>
        </is>
      </c>
      <c r="B308" t="inlineStr">
        <is>
          <t>159510</t>
        </is>
      </c>
      <c r="C308" t="inlineStr">
        <is>
          <t>沪深300价值ETF华夏</t>
        </is>
      </c>
      <c r="D308" t="n">
        <v>7212.8342</v>
      </c>
      <c r="E308" t="n">
        <v>7212.8342</v>
      </c>
      <c r="F308" t="n">
        <v>1.2054</v>
      </c>
      <c r="G308" t="n">
        <v>0</v>
      </c>
      <c r="H308" t="n">
        <v>0.869435</v>
      </c>
      <c r="I308" t="n">
        <v>0.871238</v>
      </c>
      <c r="J308" t="n">
        <v>-0.001803</v>
      </c>
      <c r="K308" s="4">
        <f>IFERROR(J308/I308,"")</f>
        <v/>
      </c>
      <c r="L308" s="4">
        <f>IFERROR((D308-E308)/E308,"")</f>
        <v/>
      </c>
      <c r="M308" s="19">
        <f>IFERROR(F308*G308/10000,"")</f>
        <v/>
      </c>
    </row>
    <row r="309">
      <c r="A309" t="inlineStr">
        <is>
          <t>2026-10-30</t>
        </is>
      </c>
      <c r="B309" t="inlineStr">
        <is>
          <t>159511</t>
        </is>
      </c>
      <c r="C309" t="inlineStr">
        <is>
          <t>通信ETF南方</t>
        </is>
      </c>
      <c r="D309" t="n">
        <v>13944.4573</v>
      </c>
      <c r="E309" t="n">
        <v>14044.4573</v>
      </c>
      <c r="F309" t="n">
        <v>1.9249</v>
      </c>
      <c r="G309" t="n">
        <v>-100</v>
      </c>
      <c r="H309" t="n">
        <v>2.684169</v>
      </c>
      <c r="I309" t="n">
        <v>2.611567</v>
      </c>
      <c r="J309" t="n">
        <v>0.072602</v>
      </c>
      <c r="K309" s="4">
        <f>IFERROR(J309/I309,"")</f>
        <v/>
      </c>
      <c r="L309" s="4">
        <f>IFERROR((D309-E309)/E309,"")</f>
        <v/>
      </c>
      <c r="M309" s="19">
        <f>IFERROR(F309*G309/10000,"")</f>
        <v/>
      </c>
    </row>
    <row r="310">
      <c r="A310" t="inlineStr">
        <is>
          <t>2026-10-30</t>
        </is>
      </c>
      <c r="B310" t="inlineStr">
        <is>
          <t>159512</t>
        </is>
      </c>
      <c r="C310" t="inlineStr">
        <is>
          <t>汽车ETF广发</t>
        </is>
      </c>
      <c r="D310" t="n">
        <v>10326.4855</v>
      </c>
      <c r="E310" t="n">
        <v>10526.4855</v>
      </c>
      <c r="F310" t="n">
        <v>0.9679</v>
      </c>
      <c r="G310" t="n">
        <v>-200</v>
      </c>
      <c r="H310" t="n">
        <v>0.999501</v>
      </c>
      <c r="I310" t="n">
        <v>1.010227</v>
      </c>
      <c r="J310" t="n">
        <v>-0.010726</v>
      </c>
      <c r="K310" s="4">
        <f>IFERROR(J310/I310,"")</f>
        <v/>
      </c>
      <c r="L310" s="4">
        <f>IFERROR((D310-E310)/E310,"")</f>
        <v/>
      </c>
      <c r="M310" s="19">
        <f>IFERROR(F310*G310/10000,"")</f>
        <v/>
      </c>
    </row>
    <row r="311">
      <c r="A311" t="inlineStr">
        <is>
          <t>2026-10-30</t>
        </is>
      </c>
      <c r="B311" t="inlineStr">
        <is>
          <t>159513</t>
        </is>
      </c>
      <c r="C311" t="inlineStr">
        <is>
          <t>纳斯达克100ETF大成</t>
        </is>
      </c>
      <c r="D311" t="n">
        <v>508654.91</v>
      </c>
      <c r="E311" t="n">
        <v>507154.91</v>
      </c>
      <c r="F311" t="n">
        <v>1.6524</v>
      </c>
      <c r="G311" t="n">
        <v>1500</v>
      </c>
      <c r="H311" t="n">
        <v>84.05013700000001</v>
      </c>
      <c r="I311" t="n">
        <v>82.727109</v>
      </c>
      <c r="J311" t="n">
        <v>1.323028</v>
      </c>
      <c r="K311" s="4">
        <f>IFERROR(J311/I311,"")</f>
        <v/>
      </c>
      <c r="L311" s="4">
        <f>IFERROR((D311-E311)/E311,"")</f>
        <v/>
      </c>
      <c r="M311" s="19">
        <f>IFERROR(F311*G311/10000,"")</f>
        <v/>
      </c>
    </row>
    <row r="312">
      <c r="A312" t="inlineStr">
        <is>
          <t>2026-10-30</t>
        </is>
      </c>
      <c r="B312" t="inlineStr">
        <is>
          <t>159515</t>
        </is>
      </c>
      <c r="C312" t="inlineStr">
        <is>
          <t>国企红利ETF鹏扬</t>
        </is>
      </c>
      <c r="D312" t="n">
        <v>3278.6631</v>
      </c>
      <c r="E312" t="n">
        <v>3278.6631</v>
      </c>
      <c r="F312" t="n">
        <v>1.194</v>
      </c>
      <c r="G312" t="n">
        <v>0</v>
      </c>
      <c r="H312" t="n">
        <v>0.391472</v>
      </c>
      <c r="I312" t="n">
        <v>0.392095</v>
      </c>
      <c r="J312" t="n">
        <v>-0.000623</v>
      </c>
      <c r="K312" s="4">
        <f>IFERROR(J312/I312,"")</f>
        <v/>
      </c>
      <c r="L312" s="4">
        <f>IFERROR((D312-E312)/E312,"")</f>
        <v/>
      </c>
      <c r="M312" s="19">
        <f>IFERROR(F312*G312/10000,"")</f>
        <v/>
      </c>
    </row>
    <row r="313">
      <c r="A313" t="inlineStr">
        <is>
          <t>2026-10-30</t>
        </is>
      </c>
      <c r="B313" t="inlineStr">
        <is>
          <t>159516</t>
        </is>
      </c>
      <c r="C313" t="inlineStr">
        <is>
          <t>半导体设备ETF国泰</t>
        </is>
      </c>
      <c r="D313" t="n">
        <v>5511835.9972</v>
      </c>
      <c r="E313" t="n">
        <v>5571235.9972</v>
      </c>
      <c r="F313" t="n">
        <v>0.4992</v>
      </c>
      <c r="G313" t="n">
        <v>-59400</v>
      </c>
      <c r="H313" t="n">
        <v>275.150853</v>
      </c>
      <c r="I313" t="n">
        <v>267.809314</v>
      </c>
      <c r="J313" t="n">
        <v>7.341539</v>
      </c>
      <c r="K313" s="4">
        <f>IFERROR(J313/I313,"")</f>
        <v/>
      </c>
      <c r="L313" s="4">
        <f>IFERROR((D313-E313)/E313,"")</f>
        <v/>
      </c>
      <c r="M313" s="19">
        <f>IFERROR(F313*G313/10000,"")</f>
        <v/>
      </c>
    </row>
    <row r="314">
      <c r="A314" t="inlineStr">
        <is>
          <t>2026-10-30</t>
        </is>
      </c>
      <c r="B314" t="inlineStr">
        <is>
          <t>159517</t>
        </is>
      </c>
      <c r="C314" t="inlineStr">
        <is>
          <t>中证800增强ETF银华</t>
        </is>
      </c>
      <c r="D314" t="n">
        <v>1174.2624</v>
      </c>
      <c r="E314" t="n">
        <v>874.2624</v>
      </c>
      <c r="F314" t="n">
        <v>1.1668</v>
      </c>
      <c r="G314" t="n">
        <v>300</v>
      </c>
      <c r="H314" t="n">
        <v>0.137013</v>
      </c>
      <c r="I314" t="n">
        <v>0.100488</v>
      </c>
      <c r="J314" t="n">
        <v>0.036525</v>
      </c>
      <c r="K314" s="4">
        <f>IFERROR(J314/I314,"")</f>
        <v/>
      </c>
      <c r="L314" s="4">
        <f>IFERROR((D314-E314)/E314,"")</f>
        <v/>
      </c>
      <c r="M314" s="19">
        <f>IFERROR(F314*G314/10000,"")</f>
        <v/>
      </c>
    </row>
    <row r="315">
      <c r="A315" t="inlineStr">
        <is>
          <t>2026-10-30</t>
        </is>
      </c>
      <c r="B315" t="inlineStr">
        <is>
          <t>159518</t>
        </is>
      </c>
      <c r="C315" t="inlineStr">
        <is>
          <t>标普油气ETF嘉实</t>
        </is>
      </c>
      <c r="D315" t="n">
        <v>168932.5369</v>
      </c>
      <c r="E315" t="n">
        <v>168832.5369</v>
      </c>
      <c r="F315" t="n">
        <v>1.3416</v>
      </c>
      <c r="G315" t="n">
        <v>100</v>
      </c>
      <c r="H315" t="n">
        <v>22.663989</v>
      </c>
      <c r="I315" t="n">
        <v>23.187461</v>
      </c>
      <c r="J315" t="n">
        <v>-0.523472</v>
      </c>
      <c r="K315" s="4">
        <f>IFERROR(J315/I315,"")</f>
        <v/>
      </c>
      <c r="L315" s="4">
        <f>IFERROR((D315-E315)/E315,"")</f>
        <v/>
      </c>
      <c r="M315" s="19">
        <f>IFERROR(F315*G315/10000,"")</f>
        <v/>
      </c>
    </row>
    <row r="316">
      <c r="A316" t="inlineStr">
        <is>
          <t>2026-10-30</t>
        </is>
      </c>
      <c r="B316" t="inlineStr">
        <is>
          <t>159519</t>
        </is>
      </c>
      <c r="C316" t="inlineStr">
        <is>
          <t>港股国企ETF国泰</t>
        </is>
      </c>
      <c r="D316" t="n">
        <v>5115.7854</v>
      </c>
      <c r="E316" t="n">
        <v>5315.7854</v>
      </c>
      <c r="F316" t="n">
        <v>1.714</v>
      </c>
      <c r="G316" t="n">
        <v>-200</v>
      </c>
      <c r="H316" t="n">
        <v>0.876846</v>
      </c>
      <c r="I316" t="n">
        <v>0.911338</v>
      </c>
      <c r="J316" t="n">
        <v>-0.034492</v>
      </c>
      <c r="K316" s="4">
        <f>IFERROR(J316/I316,"")</f>
        <v/>
      </c>
      <c r="L316" s="4">
        <f>IFERROR((D316-E316)/E316,"")</f>
        <v/>
      </c>
      <c r="M316" s="19">
        <f>IFERROR(F316*G316/10000,"")</f>
        <v/>
      </c>
    </row>
    <row r="317">
      <c r="A317" t="inlineStr">
        <is>
          <t>2026-10-30</t>
        </is>
      </c>
      <c r="B317" t="inlineStr">
        <is>
          <t>159520</t>
        </is>
      </c>
      <c r="C317" t="inlineStr">
        <is>
          <t>消费龙头ETF工银</t>
        </is>
      </c>
      <c r="D317" t="n">
        <v>14517.7649</v>
      </c>
      <c r="E317" t="n">
        <v>14617.7649</v>
      </c>
      <c r="F317" t="n">
        <v>0.9099</v>
      </c>
      <c r="G317" t="n">
        <v>-100</v>
      </c>
      <c r="H317" t="n">
        <v>1.320971</v>
      </c>
      <c r="I317" t="n">
        <v>1.328316</v>
      </c>
      <c r="J317" t="n">
        <v>-0.007345</v>
      </c>
      <c r="K317" s="4">
        <f>IFERROR(J317/I317,"")</f>
        <v/>
      </c>
      <c r="L317" s="4">
        <f>IFERROR((D317-E317)/E317,"")</f>
        <v/>
      </c>
      <c r="M317" s="19">
        <f>IFERROR(F317*G317/10000,"")</f>
        <v/>
      </c>
    </row>
    <row r="318">
      <c r="A318" t="inlineStr">
        <is>
          <t>2026-10-30</t>
        </is>
      </c>
      <c r="B318" t="inlineStr">
        <is>
          <t>159521</t>
        </is>
      </c>
      <c r="C318" t="inlineStr">
        <is>
          <t>国证2000ETF平安</t>
        </is>
      </c>
      <c r="D318" t="n">
        <v>2127.4435</v>
      </c>
      <c r="E318" t="n">
        <v>1827.4435</v>
      </c>
      <c r="F318" t="n">
        <v>1.1419</v>
      </c>
      <c r="G318" t="n">
        <v>300</v>
      </c>
      <c r="H318" t="n">
        <v>0.242933</v>
      </c>
      <c r="I318" t="n">
        <v>0.202335</v>
      </c>
      <c r="J318" t="n">
        <v>0.040598</v>
      </c>
      <c r="K318" s="4">
        <f>IFERROR(J318/I318,"")</f>
        <v/>
      </c>
      <c r="L318" s="4">
        <f>IFERROR((D318-E318)/E318,"")</f>
        <v/>
      </c>
      <c r="M318" s="19">
        <f>IFERROR(F318*G318/10000,"")</f>
        <v/>
      </c>
    </row>
    <row r="319">
      <c r="A319" t="inlineStr">
        <is>
          <t>2026-10-30</t>
        </is>
      </c>
      <c r="B319" t="inlineStr">
        <is>
          <t>159523</t>
        </is>
      </c>
      <c r="C319" t="inlineStr">
        <is>
          <t>沪深300成长ETF华夏</t>
        </is>
      </c>
      <c r="D319" t="n">
        <v>8351.7348</v>
      </c>
      <c r="E319" t="n">
        <v>8351.7348</v>
      </c>
      <c r="F319" t="n">
        <v>1.0757</v>
      </c>
      <c r="G319" t="n">
        <v>0</v>
      </c>
      <c r="H319" t="n">
        <v>0.898396</v>
      </c>
      <c r="I319" t="n">
        <v>0.886954</v>
      </c>
      <c r="J319" t="n">
        <v>0.011442</v>
      </c>
      <c r="K319" s="4">
        <f>IFERROR(J319/I319,"")</f>
        <v/>
      </c>
      <c r="L319" s="4">
        <f>IFERROR((D319-E319)/E319,"")</f>
        <v/>
      </c>
      <c r="M319" s="19">
        <f>IFERROR(F319*G319/10000,"")</f>
        <v/>
      </c>
    </row>
    <row r="320">
      <c r="A320" t="inlineStr">
        <is>
          <t>2026-10-30</t>
        </is>
      </c>
      <c r="B320" t="inlineStr">
        <is>
          <t>159525</t>
        </is>
      </c>
      <c r="C320" t="inlineStr">
        <is>
          <t>红利低波ETF富国</t>
        </is>
      </c>
      <c r="D320" t="n">
        <v>45174.3741</v>
      </c>
      <c r="E320" t="n">
        <v>45274.3741</v>
      </c>
      <c r="F320" t="n">
        <v>1.1374</v>
      </c>
      <c r="G320" t="n">
        <v>-100</v>
      </c>
      <c r="H320" t="n">
        <v>5.138133</v>
      </c>
      <c r="I320" t="n">
        <v>5.166259</v>
      </c>
      <c r="J320" t="n">
        <v>-0.028126</v>
      </c>
      <c r="K320" s="4">
        <f>IFERROR(J320/I320,"")</f>
        <v/>
      </c>
      <c r="L320" s="4">
        <f>IFERROR((D320-E320)/E320,"")</f>
        <v/>
      </c>
      <c r="M320" s="19">
        <f>IFERROR(F320*G320/10000,"")</f>
        <v/>
      </c>
    </row>
    <row r="321">
      <c r="A321" t="inlineStr">
        <is>
          <t>2026-10-30</t>
        </is>
      </c>
      <c r="B321" t="inlineStr">
        <is>
          <t>159526</t>
        </is>
      </c>
      <c r="C321" t="inlineStr">
        <is>
          <t>机器人ETF嘉实</t>
        </is>
      </c>
      <c r="D321" t="n">
        <v>56346.2964</v>
      </c>
      <c r="E321" t="n">
        <v>56646.2964</v>
      </c>
      <c r="F321" t="n">
        <v>1.3231</v>
      </c>
      <c r="G321" t="n">
        <v>-300</v>
      </c>
      <c r="H321" t="n">
        <v>7.455178</v>
      </c>
      <c r="I321" t="n">
        <v>7.195779</v>
      </c>
      <c r="J321" t="n">
        <v>0.259399</v>
      </c>
      <c r="K321" s="4">
        <f>IFERROR(J321/I321,"")</f>
        <v/>
      </c>
      <c r="L321" s="4">
        <f>IFERROR((D321-E321)/E321,"")</f>
        <v/>
      </c>
      <c r="M321" s="19">
        <f>IFERROR(F321*G321/10000,"")</f>
        <v/>
      </c>
    </row>
    <row r="322">
      <c r="A322" t="inlineStr">
        <is>
          <t>2026-10-30</t>
        </is>
      </c>
      <c r="B322" t="inlineStr">
        <is>
          <t>159527</t>
        </is>
      </c>
      <c r="C322" t="inlineStr">
        <is>
          <t>云计算ETF广发</t>
        </is>
      </c>
      <c r="D322" t="n">
        <v>41830.135</v>
      </c>
      <c r="E322" t="n">
        <v>41830.135</v>
      </c>
      <c r="F322" t="n">
        <v>0.6201</v>
      </c>
      <c r="G322" t="n">
        <v>0</v>
      </c>
      <c r="H322" t="n">
        <v>2.593887</v>
      </c>
      <c r="I322" t="n">
        <v>2.564606</v>
      </c>
      <c r="J322" t="n">
        <v>0.029281</v>
      </c>
      <c r="K322" s="4">
        <f>IFERROR(J322/I322,"")</f>
        <v/>
      </c>
      <c r="L322" s="4">
        <f>IFERROR((D322-E322)/E322,"")</f>
        <v/>
      </c>
      <c r="M322" s="19">
        <f>IFERROR(F322*G322/10000,"")</f>
        <v/>
      </c>
    </row>
    <row r="323">
      <c r="A323" t="inlineStr">
        <is>
          <t>2026-10-30</t>
        </is>
      </c>
      <c r="B323" t="inlineStr">
        <is>
          <t>159528</t>
        </is>
      </c>
      <c r="C323" t="inlineStr">
        <is>
          <t>国企改革ETF富国</t>
        </is>
      </c>
      <c r="D323" t="n">
        <v>732.0773</v>
      </c>
      <c r="E323" t="n">
        <v>732.0773</v>
      </c>
      <c r="F323" t="n">
        <v>1.1454</v>
      </c>
      <c r="G323" t="n">
        <v>0</v>
      </c>
      <c r="H323" t="n">
        <v>0.083852</v>
      </c>
      <c r="I323" t="n">
        <v>0.083567</v>
      </c>
      <c r="J323" t="n">
        <v>0.000285</v>
      </c>
      <c r="K323" s="4">
        <f>IFERROR(J323/I323,"")</f>
        <v/>
      </c>
      <c r="L323" s="4">
        <f>IFERROR((D323-E323)/E323,"")</f>
        <v/>
      </c>
      <c r="M323" s="19">
        <f>IFERROR(F323*G323/10000,"")</f>
        <v/>
      </c>
    </row>
    <row r="324">
      <c r="A324" t="inlineStr">
        <is>
          <t>2026-10-30</t>
        </is>
      </c>
      <c r="B324" t="inlineStr">
        <is>
          <t>159529</t>
        </is>
      </c>
      <c r="C324" t="inlineStr">
        <is>
          <t>标普消费ETF景顺</t>
        </is>
      </c>
      <c r="D324" t="n">
        <v>81153.67909999999</v>
      </c>
      <c r="E324" t="n">
        <v>81153.67909999999</v>
      </c>
      <c r="F324" t="n">
        <v>1.2874</v>
      </c>
      <c r="G324" t="n">
        <v>0</v>
      </c>
      <c r="H324" t="n">
        <v>10.447725</v>
      </c>
      <c r="I324" t="n">
        <v>10.408771</v>
      </c>
      <c r="J324" t="n">
        <v>0.038954</v>
      </c>
      <c r="K324" s="4">
        <f>IFERROR(J324/I324,"")</f>
        <v/>
      </c>
      <c r="L324" s="4">
        <f>IFERROR((D324-E324)/E324,"")</f>
        <v/>
      </c>
      <c r="M324" s="19">
        <f>IFERROR(F324*G324/10000,"")</f>
        <v/>
      </c>
    </row>
    <row r="325">
      <c r="A325" t="inlineStr">
        <is>
          <t>2026-10-30</t>
        </is>
      </c>
      <c r="B325" t="inlineStr">
        <is>
          <t>159530</t>
        </is>
      </c>
      <c r="C325" t="inlineStr">
        <is>
          <t>机器人ETF易方达</t>
        </is>
      </c>
      <c r="D325" t="n">
        <v>1427561.3169</v>
      </c>
      <c r="E325" t="n">
        <v>1401161.3169</v>
      </c>
      <c r="F325" t="n">
        <v>1.3294</v>
      </c>
      <c r="G325" t="n">
        <v>26400</v>
      </c>
      <c r="H325" t="n">
        <v>189.780001</v>
      </c>
      <c r="I325" t="n">
        <v>177.218883</v>
      </c>
      <c r="J325" t="n">
        <v>12.561118</v>
      </c>
      <c r="K325" s="4">
        <f>IFERROR(J325/I325,"")</f>
        <v/>
      </c>
      <c r="L325" s="4">
        <f>IFERROR((D325-E325)/E325,"")</f>
        <v/>
      </c>
      <c r="M325" s="19">
        <f>IFERROR(F325*G325/10000,"")</f>
        <v/>
      </c>
    </row>
    <row r="326">
      <c r="A326" t="inlineStr">
        <is>
          <t>2026-10-30</t>
        </is>
      </c>
      <c r="B326" t="inlineStr">
        <is>
          <t>159531</t>
        </is>
      </c>
      <c r="C326" t="inlineStr">
        <is>
          <t>中证2000ETF南方</t>
        </is>
      </c>
      <c r="D326" t="n">
        <v>104260.8406</v>
      </c>
      <c r="E326" t="n">
        <v>104860.8406</v>
      </c>
      <c r="F326" t="n">
        <v>1.3147</v>
      </c>
      <c r="G326" t="n">
        <v>-600</v>
      </c>
      <c r="H326" t="n">
        <v>13.707173</v>
      </c>
      <c r="I326" t="n">
        <v>13.421139</v>
      </c>
      <c r="J326" t="n">
        <v>0.286034</v>
      </c>
      <c r="K326" s="4">
        <f>IFERROR(J326/I326,"")</f>
        <v/>
      </c>
      <c r="L326" s="4">
        <f>IFERROR((D326-E326)/E326,"")</f>
        <v/>
      </c>
      <c r="M326" s="19">
        <f>IFERROR(F326*G326/10000,"")</f>
        <v/>
      </c>
    </row>
    <row r="327">
      <c r="A327" t="inlineStr">
        <is>
          <t>2026-10-30</t>
        </is>
      </c>
      <c r="B327" t="inlineStr">
        <is>
          <t>159532</t>
        </is>
      </c>
      <c r="C327" t="inlineStr">
        <is>
          <t>中证2000ETF易方达</t>
        </is>
      </c>
      <c r="D327" t="n">
        <v>18156.4791</v>
      </c>
      <c r="E327" t="n">
        <v>18156.4791</v>
      </c>
      <c r="F327" t="n">
        <v>1.4786</v>
      </c>
      <c r="G327" t="n">
        <v>0</v>
      </c>
      <c r="H327" t="n">
        <v>2.684617</v>
      </c>
      <c r="I327" t="n">
        <v>2.62234</v>
      </c>
      <c r="J327" t="n">
        <v>0.062277</v>
      </c>
      <c r="K327" s="4">
        <f>IFERROR(J327/I327,"")</f>
        <v/>
      </c>
      <c r="L327" s="4">
        <f>IFERROR((D327-E327)/E327,"")</f>
        <v/>
      </c>
      <c r="M327" s="19">
        <f>IFERROR(F327*G327/10000,"")</f>
        <v/>
      </c>
    </row>
    <row r="328">
      <c r="A328" t="inlineStr">
        <is>
          <t>2026-10-30</t>
        </is>
      </c>
      <c r="B328" t="inlineStr">
        <is>
          <t>159533</t>
        </is>
      </c>
      <c r="C328" t="inlineStr">
        <is>
          <t>中证2000ETF博时</t>
        </is>
      </c>
      <c r="D328" t="n">
        <v>1345.8785</v>
      </c>
      <c r="E328" t="n">
        <v>1345.8785</v>
      </c>
      <c r="F328" t="n">
        <v>1.7557</v>
      </c>
      <c r="G328" t="n">
        <v>0</v>
      </c>
      <c r="H328" t="n">
        <v>0.236296</v>
      </c>
      <c r="I328" t="n">
        <v>0.229459</v>
      </c>
      <c r="J328" t="n">
        <v>0.006837</v>
      </c>
      <c r="K328" s="4">
        <f>IFERROR(J328/I328,"")</f>
        <v/>
      </c>
      <c r="L328" s="4">
        <f>IFERROR((D328-E328)/E328,"")</f>
        <v/>
      </c>
      <c r="M328" s="19">
        <f>IFERROR(F328*G328/10000,"")</f>
        <v/>
      </c>
    </row>
    <row r="329">
      <c r="A329" t="inlineStr">
        <is>
          <t>2026-10-30</t>
        </is>
      </c>
      <c r="B329" t="inlineStr">
        <is>
          <t>159535</t>
        </is>
      </c>
      <c r="C329" t="inlineStr">
        <is>
          <t>中证2000ETF嘉实</t>
        </is>
      </c>
      <c r="D329" t="n">
        <v>2198.1088</v>
      </c>
      <c r="E329" t="n">
        <v>2198.1088</v>
      </c>
      <c r="F329" t="n">
        <v>1.3894</v>
      </c>
      <c r="G329" t="n">
        <v>0</v>
      </c>
      <c r="H329" t="n">
        <v>0.305405</v>
      </c>
      <c r="I329" t="n">
        <v>0.297514</v>
      </c>
      <c r="J329" t="n">
        <v>0.007891</v>
      </c>
      <c r="K329" s="4">
        <f>IFERROR(J329/I329,"")</f>
        <v/>
      </c>
      <c r="L329" s="4">
        <f>IFERROR((D329-E329)/E329,"")</f>
        <v/>
      </c>
      <c r="M329" s="19">
        <f>IFERROR(F329*G329/10000,"")</f>
        <v/>
      </c>
    </row>
    <row r="330">
      <c r="A330" t="inlineStr">
        <is>
          <t>2026-10-30</t>
        </is>
      </c>
      <c r="B330" t="inlineStr">
        <is>
          <t>159536</t>
        </is>
      </c>
      <c r="C330" t="inlineStr">
        <is>
          <t>中证2000ETF汇添富</t>
        </is>
      </c>
      <c r="D330" t="n">
        <v>5526.1589</v>
      </c>
      <c r="E330" t="n">
        <v>5526.1589</v>
      </c>
      <c r="F330" t="n">
        <v>1.2464</v>
      </c>
      <c r="G330" t="n">
        <v>0</v>
      </c>
      <c r="H330" t="n">
        <v>0.6887799999999999</v>
      </c>
      <c r="I330" t="n">
        <v>0.672755</v>
      </c>
      <c r="J330" t="n">
        <v>0.016025</v>
      </c>
      <c r="K330" s="4">
        <f>IFERROR(J330/I330,"")</f>
        <v/>
      </c>
      <c r="L330" s="4">
        <f>IFERROR((D330-E330)/E330,"")</f>
        <v/>
      </c>
      <c r="M330" s="19">
        <f>IFERROR(F330*G330/10000,"")</f>
        <v/>
      </c>
    </row>
    <row r="331">
      <c r="A331" t="inlineStr">
        <is>
          <t>2026-10-30</t>
        </is>
      </c>
      <c r="B331" t="inlineStr">
        <is>
          <t>159537</t>
        </is>
      </c>
      <c r="C331" t="inlineStr">
        <is>
          <t>信创ETF国泰</t>
        </is>
      </c>
      <c r="D331" t="n">
        <v>15028.5204</v>
      </c>
      <c r="E331" t="n">
        <v>15028.5204</v>
      </c>
      <c r="F331" t="n">
        <v>0.7158</v>
      </c>
      <c r="G331" t="n">
        <v>0</v>
      </c>
      <c r="H331" t="n">
        <v>1.075741</v>
      </c>
      <c r="I331" t="n">
        <v>1.042378</v>
      </c>
      <c r="J331" t="n">
        <v>0.033363</v>
      </c>
      <c r="K331" s="4">
        <f>IFERROR(J331/I331,"")</f>
        <v/>
      </c>
      <c r="L331" s="4">
        <f>IFERROR((D331-E331)/E331,"")</f>
        <v/>
      </c>
      <c r="M331" s="19">
        <f>IFERROR(F331*G331/10000,"")</f>
        <v/>
      </c>
    </row>
    <row r="332">
      <c r="A332" t="inlineStr">
        <is>
          <t>2026-10-30</t>
        </is>
      </c>
      <c r="B332" t="inlineStr">
        <is>
          <t>159538</t>
        </is>
      </c>
      <c r="C332" t="inlineStr">
        <is>
          <t>信创ETF富国</t>
        </is>
      </c>
      <c r="D332" t="n">
        <v>19260.8966</v>
      </c>
      <c r="E332" t="n">
        <v>18860.8966</v>
      </c>
      <c r="F332" t="n">
        <v>0.7278</v>
      </c>
      <c r="G332" t="n">
        <v>400</v>
      </c>
      <c r="H332" t="n">
        <v>1.401808</v>
      </c>
      <c r="I332" t="n">
        <v>1.330636</v>
      </c>
      <c r="J332" t="n">
        <v>0.071172</v>
      </c>
      <c r="K332" s="4">
        <f>IFERROR(J332/I332,"")</f>
        <v/>
      </c>
      <c r="L332" s="4">
        <f>IFERROR((D332-E332)/E332,"")</f>
        <v/>
      </c>
      <c r="M332" s="19">
        <f>IFERROR(F332*G332/10000,"")</f>
        <v/>
      </c>
    </row>
    <row r="333">
      <c r="A333" t="inlineStr">
        <is>
          <t>2026-10-30</t>
        </is>
      </c>
      <c r="B333" t="inlineStr">
        <is>
          <t>159539</t>
        </is>
      </c>
      <c r="C333" t="inlineStr">
        <is>
          <t>信创ETF广发</t>
        </is>
      </c>
      <c r="D333" t="n">
        <v>5256.5182</v>
      </c>
      <c r="E333" t="n">
        <v>5056.5182</v>
      </c>
      <c r="F333" t="n">
        <v>1.4319</v>
      </c>
      <c r="G333" t="n">
        <v>200</v>
      </c>
      <c r="H333" t="n">
        <v>0.752681</v>
      </c>
      <c r="I333" t="n">
        <v>0.701744</v>
      </c>
      <c r="J333" t="n">
        <v>0.050937</v>
      </c>
      <c r="K333" s="4">
        <f>IFERROR(J333/I333,"")</f>
        <v/>
      </c>
      <c r="L333" s="4">
        <f>IFERROR((D333-E333)/E333,"")</f>
        <v/>
      </c>
      <c r="M333" s="19">
        <f>IFERROR(F333*G333/10000,"")</f>
        <v/>
      </c>
    </row>
    <row r="334">
      <c r="A334" t="inlineStr">
        <is>
          <t>2026-10-30</t>
        </is>
      </c>
      <c r="B334" t="inlineStr">
        <is>
          <t>159540</t>
        </is>
      </c>
      <c r="C334" t="inlineStr">
        <is>
          <t>信创ETF易方达</t>
        </is>
      </c>
      <c r="D334" t="n">
        <v>11250.5191</v>
      </c>
      <c r="E334" t="n">
        <v>11250.5191</v>
      </c>
      <c r="F334" t="n">
        <v>1.5476</v>
      </c>
      <c r="G334" t="n">
        <v>0</v>
      </c>
      <c r="H334" t="n">
        <v>1.74113</v>
      </c>
      <c r="I334" t="n">
        <v>1.687803</v>
      </c>
      <c r="J334" t="n">
        <v>0.053327</v>
      </c>
      <c r="K334" s="4">
        <f>IFERROR(J334/I334,"")</f>
        <v/>
      </c>
      <c r="L334" s="4">
        <f>IFERROR((D334-E334)/E334,"")</f>
        <v/>
      </c>
      <c r="M334" s="19">
        <f>IFERROR(F334*G334/10000,"")</f>
        <v/>
      </c>
    </row>
    <row r="335">
      <c r="A335" t="inlineStr">
        <is>
          <t>2026-10-30</t>
        </is>
      </c>
      <c r="B335" t="inlineStr">
        <is>
          <t>159541</t>
        </is>
      </c>
      <c r="C335" t="inlineStr">
        <is>
          <t>创业板综ETF万家</t>
        </is>
      </c>
      <c r="D335" t="n">
        <v>7059.3326</v>
      </c>
      <c r="E335" t="n">
        <v>6909.3326</v>
      </c>
      <c r="F335" t="n">
        <v>1.2402</v>
      </c>
      <c r="G335" t="n">
        <v>150</v>
      </c>
      <c r="H335" t="n">
        <v>0.875498</v>
      </c>
      <c r="I335" t="n">
        <v>0.8314</v>
      </c>
      <c r="J335" t="n">
        <v>0.044098</v>
      </c>
      <c r="K335" s="4">
        <f>IFERROR(J335/I335,"")</f>
        <v/>
      </c>
      <c r="L335" s="4">
        <f>IFERROR((D335-E335)/E335,"")</f>
        <v/>
      </c>
      <c r="M335" s="19">
        <f>IFERROR(F335*G335/10000,"")</f>
        <v/>
      </c>
    </row>
    <row r="336">
      <c r="A336" t="inlineStr">
        <is>
          <t>2026-10-30</t>
        </is>
      </c>
      <c r="B336" t="inlineStr">
        <is>
          <t>159542</t>
        </is>
      </c>
      <c r="C336" t="inlineStr">
        <is>
          <t>工程机械ETF大成</t>
        </is>
      </c>
      <c r="D336" t="n">
        <v>1309.285</v>
      </c>
      <c r="E336" t="n">
        <v>1309.285</v>
      </c>
      <c r="F336" t="n">
        <v>1.1844</v>
      </c>
      <c r="G336" t="n">
        <v>0</v>
      </c>
      <c r="H336" t="n">
        <v>0.155072</v>
      </c>
      <c r="I336" t="n">
        <v>0.152911</v>
      </c>
      <c r="J336" t="n">
        <v>0.002161</v>
      </c>
      <c r="K336" s="4">
        <f>IFERROR(J336/I336,"")</f>
        <v/>
      </c>
      <c r="L336" s="4">
        <f>IFERROR((D336-E336)/E336,"")</f>
        <v/>
      </c>
      <c r="M336" s="19">
        <f>IFERROR(F336*G336/10000,"")</f>
        <v/>
      </c>
    </row>
    <row r="337">
      <c r="A337" t="inlineStr">
        <is>
          <t>2026-10-30</t>
        </is>
      </c>
      <c r="B337" t="inlineStr">
        <is>
          <t>159543</t>
        </is>
      </c>
      <c r="C337" t="inlineStr">
        <is>
          <t>国证2000ETF工银</t>
        </is>
      </c>
      <c r="D337" t="n">
        <v>5419.6551</v>
      </c>
      <c r="E337" t="n">
        <v>5419.6551</v>
      </c>
      <c r="F337" t="n">
        <v>1.3466</v>
      </c>
      <c r="G337" t="n">
        <v>0</v>
      </c>
      <c r="H337" t="n">
        <v>0.729811</v>
      </c>
      <c r="I337" t="n">
        <v>0.710083</v>
      </c>
      <c r="J337" t="n">
        <v>0.019728</v>
      </c>
      <c r="K337" s="4">
        <f>IFERROR(J337/I337,"")</f>
        <v/>
      </c>
      <c r="L337" s="4">
        <f>IFERROR((D337-E337)/E337,"")</f>
        <v/>
      </c>
      <c r="M337" s="19">
        <f>IFERROR(F337*G337/10000,"")</f>
        <v/>
      </c>
    </row>
    <row r="338">
      <c r="A338" t="inlineStr">
        <is>
          <t>2026-10-30</t>
        </is>
      </c>
      <c r="B338" t="inlineStr">
        <is>
          <t>159545</t>
        </is>
      </c>
      <c r="C338" t="inlineStr">
        <is>
          <t>港股通红利低波ETF易方达</t>
        </is>
      </c>
      <c r="D338" t="n">
        <v>503860.3689</v>
      </c>
      <c r="E338" t="n">
        <v>503860.3689</v>
      </c>
      <c r="F338" t="n">
        <v>1.2514</v>
      </c>
      <c r="G338" t="n">
        <v>0</v>
      </c>
      <c r="H338" t="n">
        <v>63.053087</v>
      </c>
      <c r="I338" t="n">
        <v>63.259669</v>
      </c>
      <c r="J338" t="n">
        <v>-0.206582</v>
      </c>
      <c r="K338" s="4">
        <f>IFERROR(J338/I338,"")</f>
        <v/>
      </c>
      <c r="L338" s="4">
        <f>IFERROR((D338-E338)/E338,"")</f>
        <v/>
      </c>
      <c r="M338" s="19">
        <f>IFERROR(F338*G338/10000,"")</f>
        <v/>
      </c>
    </row>
    <row r="339">
      <c r="A339" t="inlineStr">
        <is>
          <t>2026-10-30</t>
        </is>
      </c>
      <c r="B339" t="inlineStr">
        <is>
          <t>159546</t>
        </is>
      </c>
      <c r="C339" t="inlineStr">
        <is>
          <t>集成电路ETF国泰</t>
        </is>
      </c>
      <c r="D339" t="n">
        <v>79992.7822</v>
      </c>
      <c r="E339" t="n">
        <v>80492.7822</v>
      </c>
      <c r="F339" t="n">
        <v>0.6267</v>
      </c>
      <c r="G339" t="n">
        <v>-500</v>
      </c>
      <c r="H339" t="n">
        <v>5.013148</v>
      </c>
      <c r="I339" t="n">
        <v>4.819103</v>
      </c>
      <c r="J339" t="n">
        <v>0.194045</v>
      </c>
      <c r="K339" s="4">
        <f>IFERROR(J339/I339,"")</f>
        <v/>
      </c>
      <c r="L339" s="4">
        <f>IFERROR((D339-E339)/E339,"")</f>
        <v/>
      </c>
      <c r="M339" s="19">
        <f>IFERROR(F339*G339/10000,"")</f>
        <v/>
      </c>
    </row>
    <row r="340">
      <c r="A340" t="inlineStr">
        <is>
          <t>2026-10-30</t>
        </is>
      </c>
      <c r="B340" t="inlineStr">
        <is>
          <t>159547</t>
        </is>
      </c>
      <c r="C340" t="inlineStr">
        <is>
          <t>红利低波ETF华夏</t>
        </is>
      </c>
      <c r="D340" t="n">
        <v>154578.6075</v>
      </c>
      <c r="E340" t="n">
        <v>154578.6075</v>
      </c>
      <c r="F340" t="n">
        <v>1.2332</v>
      </c>
      <c r="G340" t="n">
        <v>0</v>
      </c>
      <c r="H340" t="n">
        <v>19.062634</v>
      </c>
      <c r="I340" t="n">
        <v>19.124465</v>
      </c>
      <c r="J340" t="n">
        <v>-0.061831</v>
      </c>
      <c r="K340" s="4">
        <f>IFERROR(J340/I340,"")</f>
        <v/>
      </c>
      <c r="L340" s="4">
        <f>IFERROR((D340-E340)/E340,"")</f>
        <v/>
      </c>
      <c r="M340" s="19">
        <f>IFERROR(F340*G340/10000,"")</f>
        <v/>
      </c>
    </row>
    <row r="341">
      <c r="A341" t="inlineStr">
        <is>
          <t>2026-10-30</t>
        </is>
      </c>
      <c r="B341" t="inlineStr">
        <is>
          <t>159549</t>
        </is>
      </c>
      <c r="C341" t="inlineStr">
        <is>
          <t>红利低波ETF天弘</t>
        </is>
      </c>
      <c r="D341" t="n">
        <v>475352.3884</v>
      </c>
      <c r="E341" t="n">
        <v>476952.3884</v>
      </c>
      <c r="F341" t="n">
        <v>1.2062</v>
      </c>
      <c r="G341" t="n">
        <v>-1600</v>
      </c>
      <c r="H341" t="n">
        <v>57.337005</v>
      </c>
      <c r="I341" t="n">
        <v>57.735087</v>
      </c>
      <c r="J341" t="n">
        <v>-0.398082</v>
      </c>
      <c r="K341" s="4">
        <f>IFERROR(J341/I341,"")</f>
        <v/>
      </c>
      <c r="L341" s="4">
        <f>IFERROR((D341-E341)/E341,"")</f>
        <v/>
      </c>
      <c r="M341" s="19">
        <f>IFERROR(F341*G341/10000,"")</f>
        <v/>
      </c>
    </row>
    <row r="342">
      <c r="A342" t="inlineStr">
        <is>
          <t>2026-10-30</t>
        </is>
      </c>
      <c r="B342" t="inlineStr">
        <is>
          <t>159550</t>
        </is>
      </c>
      <c r="C342" t="inlineStr">
        <is>
          <t>互联网ETF东财</t>
        </is>
      </c>
      <c r="D342" t="n">
        <v>19982.8785</v>
      </c>
      <c r="E342" t="n">
        <v>19982.8785</v>
      </c>
      <c r="F342" t="n">
        <v>0.7165</v>
      </c>
      <c r="G342" t="n">
        <v>0</v>
      </c>
      <c r="H342" t="n">
        <v>1.431773</v>
      </c>
      <c r="I342" t="n">
        <v>1.429575</v>
      </c>
      <c r="J342" t="n">
        <v>0.002198</v>
      </c>
      <c r="K342" s="4">
        <f>IFERROR(J342/I342,"")</f>
        <v/>
      </c>
      <c r="L342" s="4">
        <f>IFERROR((D342-E342)/E342,"")</f>
        <v/>
      </c>
      <c r="M342" s="19">
        <f>IFERROR(F342*G342/10000,"")</f>
        <v/>
      </c>
    </row>
    <row r="343">
      <c r="A343" t="inlineStr">
        <is>
          <t>2026-10-30</t>
        </is>
      </c>
      <c r="B343" t="inlineStr">
        <is>
          <t>159551</t>
        </is>
      </c>
      <c r="C343" t="inlineStr">
        <is>
          <t>机器人ETF国泰</t>
        </is>
      </c>
      <c r="D343" t="n">
        <v>30092.0923</v>
      </c>
      <c r="E343" t="n">
        <v>29792.0923</v>
      </c>
      <c r="F343" t="n">
        <v>1.16</v>
      </c>
      <c r="G343" t="n">
        <v>300</v>
      </c>
      <c r="H343" t="n">
        <v>3.490683</v>
      </c>
      <c r="I343" t="n">
        <v>3.317647</v>
      </c>
      <c r="J343" t="n">
        <v>0.173036</v>
      </c>
      <c r="K343" s="4">
        <f>IFERROR(J343/I343,"")</f>
        <v/>
      </c>
      <c r="L343" s="4">
        <f>IFERROR((D343-E343)/E343,"")</f>
        <v/>
      </c>
      <c r="M343" s="19">
        <f>IFERROR(F343*G343/10000,"")</f>
        <v/>
      </c>
    </row>
    <row r="344">
      <c r="A344" t="inlineStr">
        <is>
          <t>2026-10-30</t>
        </is>
      </c>
      <c r="B344" t="inlineStr">
        <is>
          <t>159552</t>
        </is>
      </c>
      <c r="C344" t="inlineStr">
        <is>
          <t>中证2000增强ETF招商</t>
        </is>
      </c>
      <c r="D344" t="n">
        <v>75179.0319</v>
      </c>
      <c r="E344" t="n">
        <v>75029.0319</v>
      </c>
      <c r="F344" t="n">
        <v>1.9761</v>
      </c>
      <c r="G344" t="n">
        <v>150</v>
      </c>
      <c r="H344" t="n">
        <v>14.856128</v>
      </c>
      <c r="I344" t="n">
        <v>14.350053</v>
      </c>
      <c r="J344" t="n">
        <v>0.5060750000000001</v>
      </c>
      <c r="K344" s="4">
        <f>IFERROR(J344/I344,"")</f>
        <v/>
      </c>
      <c r="L344" s="4">
        <f>IFERROR((D344-E344)/E344,"")</f>
        <v/>
      </c>
      <c r="M344" s="19">
        <f>IFERROR(F344*G344/10000,"")</f>
        <v/>
      </c>
    </row>
    <row r="345">
      <c r="A345" t="inlineStr">
        <is>
          <t>2026-10-30</t>
        </is>
      </c>
      <c r="B345" t="inlineStr">
        <is>
          <t>159553</t>
        </is>
      </c>
      <c r="C345" t="inlineStr">
        <is>
          <t>中证2000增强ETF海富通</t>
        </is>
      </c>
      <c r="D345" t="n">
        <v>1532.6751</v>
      </c>
      <c r="E345" t="n">
        <v>1532.6751</v>
      </c>
      <c r="F345" t="n">
        <v>1.6668</v>
      </c>
      <c r="G345" t="n">
        <v>0</v>
      </c>
      <c r="H345" t="n">
        <v>0.255466</v>
      </c>
      <c r="I345" t="n">
        <v>0.248753</v>
      </c>
      <c r="J345" t="n">
        <v>0.006713</v>
      </c>
      <c r="K345" s="4">
        <f>IFERROR(J345/I345,"")</f>
        <v/>
      </c>
      <c r="L345" s="4">
        <f>IFERROR((D345-E345)/E345,"")</f>
        <v/>
      </c>
      <c r="M345" s="19">
        <f>IFERROR(F345*G345/10000,"")</f>
        <v/>
      </c>
    </row>
    <row r="346">
      <c r="A346" t="inlineStr">
        <is>
          <t>2026-10-30</t>
        </is>
      </c>
      <c r="B346" t="inlineStr">
        <is>
          <t>159555</t>
        </is>
      </c>
      <c r="C346" t="inlineStr">
        <is>
          <t>中证2000增强ETF银华</t>
        </is>
      </c>
      <c r="D346" t="n">
        <v>3746.2705</v>
      </c>
      <c r="E346" t="n">
        <v>3746.2705</v>
      </c>
      <c r="F346" t="n">
        <v>1.6088</v>
      </c>
      <c r="G346" t="n">
        <v>0</v>
      </c>
      <c r="H346" t="n">
        <v>0.6027</v>
      </c>
      <c r="I346" t="n">
        <v>0.585542</v>
      </c>
      <c r="J346" t="n">
        <v>0.017158</v>
      </c>
      <c r="K346" s="4">
        <f>IFERROR(J346/I346,"")</f>
        <v/>
      </c>
      <c r="L346" s="4">
        <f>IFERROR((D346-E346)/E346,"")</f>
        <v/>
      </c>
      <c r="M346" s="19">
        <f>IFERROR(F346*G346/10000,"")</f>
        <v/>
      </c>
    </row>
    <row r="347">
      <c r="A347" t="inlineStr">
        <is>
          <t>2026-10-30</t>
        </is>
      </c>
      <c r="B347" t="inlineStr">
        <is>
          <t>159556</t>
        </is>
      </c>
      <c r="C347" t="inlineStr">
        <is>
          <t>中证2000增强ETF平安</t>
        </is>
      </c>
      <c r="D347" t="n">
        <v>2155.6089</v>
      </c>
      <c r="E347" t="n">
        <v>2155.6089</v>
      </c>
      <c r="F347" t="n">
        <v>1.1052</v>
      </c>
      <c r="G347" t="n">
        <v>0</v>
      </c>
      <c r="H347" t="n">
        <v>0.238238</v>
      </c>
      <c r="I347" t="n">
        <v>0.232461</v>
      </c>
      <c r="J347" t="n">
        <v>0.005777</v>
      </c>
      <c r="K347" s="4">
        <f>IFERROR(J347/I347,"")</f>
        <v/>
      </c>
      <c r="L347" s="4">
        <f>IFERROR((D347-E347)/E347,"")</f>
        <v/>
      </c>
      <c r="M347" s="19">
        <f>IFERROR(F347*G347/10000,"")</f>
        <v/>
      </c>
    </row>
    <row r="348">
      <c r="A348" t="inlineStr">
        <is>
          <t>2026-10-30</t>
        </is>
      </c>
      <c r="B348" t="inlineStr">
        <is>
          <t>159557</t>
        </is>
      </c>
      <c r="C348" t="inlineStr">
        <is>
          <t>恒生医疗ETF嘉实</t>
        </is>
      </c>
      <c r="D348" t="n">
        <v>12489.4955</v>
      </c>
      <c r="E348" t="n">
        <v>12389.4955</v>
      </c>
      <c r="F348" t="n">
        <v>1.335</v>
      </c>
      <c r="G348" t="n">
        <v>100</v>
      </c>
      <c r="H348" t="n">
        <v>1.667348</v>
      </c>
      <c r="I348" t="n">
        <v>1.628227</v>
      </c>
      <c r="J348" t="n">
        <v>0.039121</v>
      </c>
      <c r="K348" s="4">
        <f>IFERROR(J348/I348,"")</f>
        <v/>
      </c>
      <c r="L348" s="4">
        <f>IFERROR((D348-E348)/E348,"")</f>
        <v/>
      </c>
      <c r="M348" s="19">
        <f>IFERROR(F348*G348/10000,"")</f>
        <v/>
      </c>
    </row>
    <row r="349">
      <c r="A349" t="inlineStr">
        <is>
          <t>2026-10-30</t>
        </is>
      </c>
      <c r="B349" t="inlineStr">
        <is>
          <t>159558</t>
        </is>
      </c>
      <c r="C349" t="inlineStr">
        <is>
          <t>半导体设备ETF易方达</t>
        </is>
      </c>
      <c r="D349" t="n">
        <v>1833856.3923</v>
      </c>
      <c r="E349" t="n">
        <v>1857556.3923</v>
      </c>
      <c r="F349" t="n">
        <v>0.7831</v>
      </c>
      <c r="G349" t="n">
        <v>-23700</v>
      </c>
      <c r="H349" t="n">
        <v>143.609294</v>
      </c>
      <c r="I349" t="n">
        <v>140.059752</v>
      </c>
      <c r="J349" t="n">
        <v>3.549542</v>
      </c>
      <c r="K349" s="4">
        <f>IFERROR(J349/I349,"")</f>
        <v/>
      </c>
      <c r="L349" s="4">
        <f>IFERROR((D349-E349)/E349,"")</f>
        <v/>
      </c>
      <c r="M349" s="19">
        <f>IFERROR(F349*G349/10000,"")</f>
        <v/>
      </c>
    </row>
    <row r="350">
      <c r="A350" t="inlineStr">
        <is>
          <t>2026-10-30</t>
        </is>
      </c>
      <c r="B350" t="inlineStr">
        <is>
          <t>159559</t>
        </is>
      </c>
      <c r="C350" t="inlineStr">
        <is>
          <t>机器人ETF景顺</t>
        </is>
      </c>
      <c r="D350" t="n">
        <v>173757.6622</v>
      </c>
      <c r="E350" t="n">
        <v>173557.6622</v>
      </c>
      <c r="F350" t="n">
        <v>1.2037</v>
      </c>
      <c r="G350" t="n">
        <v>200</v>
      </c>
      <c r="H350" t="n">
        <v>20.91521</v>
      </c>
      <c r="I350" t="n">
        <v>19.88103</v>
      </c>
      <c r="J350" t="n">
        <v>1.03418</v>
      </c>
      <c r="K350" s="4">
        <f>IFERROR(J350/I350,"")</f>
        <v/>
      </c>
      <c r="L350" s="4">
        <f>IFERROR((D350-E350)/E350,"")</f>
        <v/>
      </c>
      <c r="M350" s="19">
        <f>IFERROR(F350*G350/10000,"")</f>
        <v/>
      </c>
    </row>
    <row r="351">
      <c r="A351" t="inlineStr">
        <is>
          <t>2026-10-30</t>
        </is>
      </c>
      <c r="B351" t="inlineStr">
        <is>
          <t>159560</t>
        </is>
      </c>
      <c r="C351" t="inlineStr">
        <is>
          <t>芯片ETF景顺</t>
        </is>
      </c>
      <c r="D351" t="n">
        <v>42883.292</v>
      </c>
      <c r="E351" t="n">
        <v>42283.292</v>
      </c>
      <c r="F351" t="n">
        <v>0.8834</v>
      </c>
      <c r="G351" t="n">
        <v>600</v>
      </c>
      <c r="H351" t="n">
        <v>3.78831</v>
      </c>
      <c r="I351" t="n">
        <v>3.584777</v>
      </c>
      <c r="J351" t="n">
        <v>0.203533</v>
      </c>
      <c r="K351" s="4">
        <f>IFERROR(J351/I351,"")</f>
        <v/>
      </c>
      <c r="L351" s="4">
        <f>IFERROR((D351-E351)/E351,"")</f>
        <v/>
      </c>
      <c r="M351" s="19">
        <f>IFERROR(F351*G351/10000,"")</f>
        <v/>
      </c>
    </row>
    <row r="352">
      <c r="A352" t="inlineStr">
        <is>
          <t>2026-10-30</t>
        </is>
      </c>
      <c r="B352" t="inlineStr">
        <is>
          <t>159561</t>
        </is>
      </c>
      <c r="C352" t="inlineStr">
        <is>
          <t>德国ETF嘉实</t>
        </is>
      </c>
      <c r="D352" t="n">
        <v>136149.9489</v>
      </c>
      <c r="E352" t="n">
        <v>136049.9489</v>
      </c>
      <c r="F352" t="n">
        <v>1.2777</v>
      </c>
      <c r="G352" t="n">
        <v>100</v>
      </c>
      <c r="H352" t="n">
        <v>17.395879</v>
      </c>
      <c r="I352" t="n">
        <v>17.316437</v>
      </c>
      <c r="J352" t="n">
        <v>0.079442</v>
      </c>
      <c r="K352" s="4">
        <f>IFERROR(J352/I352,"")</f>
        <v/>
      </c>
      <c r="L352" s="4">
        <f>IFERROR((D352-E352)/E352,"")</f>
        <v/>
      </c>
      <c r="M352" s="19">
        <f>IFERROR(F352*G352/10000,"")</f>
        <v/>
      </c>
    </row>
    <row r="353">
      <c r="A353" t="inlineStr">
        <is>
          <t>2026-10-30</t>
        </is>
      </c>
      <c r="B353" t="inlineStr">
        <is>
          <t>159562</t>
        </is>
      </c>
      <c r="C353" t="inlineStr">
        <is>
          <t>黄金股ETF华夏</t>
        </is>
      </c>
      <c r="D353" t="n">
        <v>274513.0504</v>
      </c>
      <c r="E353" t="n">
        <v>277313.0504</v>
      </c>
      <c r="F353" t="n">
        <v>1.8267</v>
      </c>
      <c r="G353" t="n">
        <v>-2800</v>
      </c>
      <c r="H353" t="n">
        <v>50.145299</v>
      </c>
      <c r="I353" t="n">
        <v>50.50148</v>
      </c>
      <c r="J353" t="n">
        <v>-0.356181</v>
      </c>
      <c r="K353" s="4">
        <f>IFERROR(J353/I353,"")</f>
        <v/>
      </c>
      <c r="L353" s="4">
        <f>IFERROR((D353-E353)/E353,"")</f>
        <v/>
      </c>
      <c r="M353" s="19">
        <f>IFERROR(F353*G353/10000,"")</f>
        <v/>
      </c>
    </row>
    <row r="354">
      <c r="A354" t="inlineStr">
        <is>
          <t>2026-10-30</t>
        </is>
      </c>
      <c r="B354" t="inlineStr">
        <is>
          <t>159563</t>
        </is>
      </c>
      <c r="C354" t="inlineStr">
        <is>
          <t>创业板综ETF华夏</t>
        </is>
      </c>
      <c r="D354" t="n">
        <v>3136.0773</v>
      </c>
      <c r="E354" t="n">
        <v>3136.0773</v>
      </c>
      <c r="F354" t="n">
        <v>1.4702</v>
      </c>
      <c r="G354" t="n">
        <v>0</v>
      </c>
      <c r="H354" t="n">
        <v>0.461066</v>
      </c>
      <c r="I354" t="n">
        <v>0.446264</v>
      </c>
      <c r="J354" t="n">
        <v>0.014802</v>
      </c>
      <c r="K354" s="4">
        <f>IFERROR(J354/I354,"")</f>
        <v/>
      </c>
      <c r="L354" s="4">
        <f>IFERROR((D354-E354)/E354,"")</f>
        <v/>
      </c>
      <c r="M354" s="19">
        <f>IFERROR(F354*G354/10000,"")</f>
        <v/>
      </c>
    </row>
    <row r="355">
      <c r="A355" t="inlineStr">
        <is>
          <t>2026-10-30</t>
        </is>
      </c>
      <c r="B355" t="inlineStr">
        <is>
          <t>159565</t>
        </is>
      </c>
      <c r="C355" t="inlineStr">
        <is>
          <t>汽车零部件ETF易方达</t>
        </is>
      </c>
      <c r="D355" t="n">
        <v>13562.7231</v>
      </c>
      <c r="E355" t="n">
        <v>13562.7231</v>
      </c>
      <c r="F355" t="n">
        <v>1.2414</v>
      </c>
      <c r="G355" t="n">
        <v>0</v>
      </c>
      <c r="H355" t="n">
        <v>1.683676</v>
      </c>
      <c r="I355" t="n">
        <v>1.61749</v>
      </c>
      <c r="J355" t="n">
        <v>0.06618599999999999</v>
      </c>
      <c r="K355" s="4">
        <f>IFERROR(J355/I355,"")</f>
        <v/>
      </c>
      <c r="L355" s="4">
        <f>IFERROR((D355-E355)/E355,"")</f>
        <v/>
      </c>
      <c r="M355" s="19">
        <f>IFERROR(F355*G355/10000,"")</f>
        <v/>
      </c>
    </row>
    <row r="356">
      <c r="A356" t="inlineStr">
        <is>
          <t>2026-10-30</t>
        </is>
      </c>
      <c r="B356" t="inlineStr">
        <is>
          <t>159566</t>
        </is>
      </c>
      <c r="C356" t="inlineStr">
        <is>
          <t>储能电池ETF易方达</t>
        </is>
      </c>
      <c r="D356" t="n">
        <v>212873.9776</v>
      </c>
      <c r="E356" t="n">
        <v>211073.9776</v>
      </c>
      <c r="F356" t="n">
        <v>1.4435</v>
      </c>
      <c r="G356" t="n">
        <v>1800</v>
      </c>
      <c r="H356" t="n">
        <v>30.728359</v>
      </c>
      <c r="I356" t="n">
        <v>29.947176</v>
      </c>
      <c r="J356" t="n">
        <v>0.781183</v>
      </c>
      <c r="K356" s="4">
        <f>IFERROR(J356/I356,"")</f>
        <v/>
      </c>
      <c r="L356" s="4">
        <f>IFERROR((D356-E356)/E356,"")</f>
        <v/>
      </c>
      <c r="M356" s="19">
        <f>IFERROR(F356*G356/10000,"")</f>
        <v/>
      </c>
    </row>
    <row r="357">
      <c r="A357" t="inlineStr">
        <is>
          <t>2026-10-30</t>
        </is>
      </c>
      <c r="B357" t="inlineStr">
        <is>
          <t>159567</t>
        </is>
      </c>
      <c r="C357" t="inlineStr">
        <is>
          <t>港股创新药ETF银华</t>
        </is>
      </c>
      <c r="D357" t="n">
        <v>1019272.9726</v>
      </c>
      <c r="E357" t="n">
        <v>1019372.9726</v>
      </c>
      <c r="F357" t="n">
        <v>0.6257</v>
      </c>
      <c r="G357" t="n">
        <v>-100</v>
      </c>
      <c r="H357" t="n">
        <v>63.77591</v>
      </c>
      <c r="I357" t="n">
        <v>63.048218</v>
      </c>
      <c r="J357" t="n">
        <v>0.727692</v>
      </c>
      <c r="K357" s="4">
        <f>IFERROR(J357/I357,"")</f>
        <v/>
      </c>
      <c r="L357" s="4">
        <f>IFERROR((D357-E357)/E357,"")</f>
        <v/>
      </c>
      <c r="M357" s="19">
        <f>IFERROR(F357*G357/10000,"")</f>
        <v/>
      </c>
    </row>
    <row r="358">
      <c r="A358" t="inlineStr">
        <is>
          <t>2026-10-30</t>
        </is>
      </c>
      <c r="B358" t="inlineStr">
        <is>
          <t>159568</t>
        </is>
      </c>
      <c r="C358" t="inlineStr">
        <is>
          <t>港股互联网ETF博时</t>
        </is>
      </c>
      <c r="D358" t="n">
        <v>33985.7901</v>
      </c>
      <c r="E358" t="n">
        <v>33985.7901</v>
      </c>
      <c r="F358" t="n">
        <v>0.9982</v>
      </c>
      <c r="G358" t="n">
        <v>0</v>
      </c>
      <c r="H358" t="n">
        <v>3.392462</v>
      </c>
      <c r="I358" t="n">
        <v>3.375129</v>
      </c>
      <c r="J358" t="n">
        <v>0.017333</v>
      </c>
      <c r="K358" s="4">
        <f>IFERROR(J358/I358,"")</f>
        <v/>
      </c>
      <c r="L358" s="4">
        <f>IFERROR((D358-E358)/E358,"")</f>
        <v/>
      </c>
      <c r="M358" s="19">
        <f>IFERROR(F358*G358/10000,"")</f>
        <v/>
      </c>
    </row>
    <row r="359">
      <c r="A359" t="inlineStr">
        <is>
          <t>2026-10-30</t>
        </is>
      </c>
      <c r="B359" t="inlineStr">
        <is>
          <t>159569</t>
        </is>
      </c>
      <c r="C359" t="inlineStr">
        <is>
          <t>港股红利低波ETF景顺</t>
        </is>
      </c>
      <c r="D359" t="n">
        <v>40914.7241</v>
      </c>
      <c r="E359" t="n">
        <v>41214.7241</v>
      </c>
      <c r="F359" t="n">
        <v>1.3562</v>
      </c>
      <c r="G359" t="n">
        <v>-300</v>
      </c>
      <c r="H359" t="n">
        <v>5.548855</v>
      </c>
      <c r="I359" t="n">
        <v>5.619628</v>
      </c>
      <c r="J359" t="n">
        <v>-0.070773</v>
      </c>
      <c r="K359" s="4">
        <f>IFERROR(J359/I359,"")</f>
        <v/>
      </c>
      <c r="L359" s="4">
        <f>IFERROR((D359-E359)/E359,"")</f>
        <v/>
      </c>
      <c r="M359" s="19">
        <f>IFERROR(F359*G359/10000,"")</f>
        <v/>
      </c>
    </row>
    <row r="360">
      <c r="A360" t="inlineStr">
        <is>
          <t>2026-10-30</t>
        </is>
      </c>
      <c r="B360" t="inlineStr">
        <is>
          <t>159570</t>
        </is>
      </c>
      <c r="C360" t="inlineStr">
        <is>
          <t>港股通创新药ETF汇添富</t>
        </is>
      </c>
      <c r="D360" t="n">
        <v>1360059.7142</v>
      </c>
      <c r="E360" t="n">
        <v>1382059.7142</v>
      </c>
      <c r="F360" t="n">
        <v>1.2949</v>
      </c>
      <c r="G360" t="n">
        <v>-22000</v>
      </c>
      <c r="H360" t="n">
        <v>176.114132</v>
      </c>
      <c r="I360" t="n">
        <v>176.889823</v>
      </c>
      <c r="J360" t="n">
        <v>-0.775691</v>
      </c>
      <c r="K360" s="4">
        <f>IFERROR(J360/I360,"")</f>
        <v/>
      </c>
      <c r="L360" s="4">
        <f>IFERROR((D360-E360)/E360,"")</f>
        <v/>
      </c>
      <c r="M360" s="19">
        <f>IFERROR(F360*G360/10000,"")</f>
        <v/>
      </c>
    </row>
    <row r="361">
      <c r="A361" t="inlineStr">
        <is>
          <t>2026-10-30</t>
        </is>
      </c>
      <c r="B361" t="inlineStr">
        <is>
          <t>159571</t>
        </is>
      </c>
      <c r="C361" t="inlineStr">
        <is>
          <t>创业板200ETF富国</t>
        </is>
      </c>
      <c r="D361" t="n">
        <v>1998.1814</v>
      </c>
      <c r="E361" t="n">
        <v>1998.1814</v>
      </c>
      <c r="F361" t="n">
        <v>1.2736</v>
      </c>
      <c r="G361" t="n">
        <v>0</v>
      </c>
      <c r="H361" t="n">
        <v>0.254488</v>
      </c>
      <c r="I361" t="n">
        <v>0.246476</v>
      </c>
      <c r="J361" t="n">
        <v>0.008012</v>
      </c>
      <c r="K361" s="4">
        <f>IFERROR(J361/I361,"")</f>
        <v/>
      </c>
      <c r="L361" s="4">
        <f>IFERROR((D361-E361)/E361,"")</f>
        <v/>
      </c>
      <c r="M361" s="19">
        <f>IFERROR(F361*G361/10000,"")</f>
        <v/>
      </c>
    </row>
    <row r="362">
      <c r="A362" t="inlineStr">
        <is>
          <t>2026-10-30</t>
        </is>
      </c>
      <c r="B362" t="inlineStr">
        <is>
          <t>159572</t>
        </is>
      </c>
      <c r="C362" t="inlineStr">
        <is>
          <t>创业板200ETF易方达</t>
        </is>
      </c>
      <c r="D362" t="n">
        <v>22774.9107</v>
      </c>
      <c r="E362" t="n">
        <v>22574.9107</v>
      </c>
      <c r="F362" t="n">
        <v>1.283</v>
      </c>
      <c r="G362" t="n">
        <v>200</v>
      </c>
      <c r="H362" t="n">
        <v>2.922021</v>
      </c>
      <c r="I362" t="n">
        <v>2.805158</v>
      </c>
      <c r="J362" t="n">
        <v>0.116863</v>
      </c>
      <c r="K362" s="4">
        <f>IFERROR(J362/I362,"")</f>
        <v/>
      </c>
      <c r="L362" s="4">
        <f>IFERROR((D362-E362)/E362,"")</f>
        <v/>
      </c>
      <c r="M362" s="19">
        <f>IFERROR(F362*G362/10000,"")</f>
        <v/>
      </c>
    </row>
    <row r="363">
      <c r="A363" t="inlineStr">
        <is>
          <t>2026-10-30</t>
        </is>
      </c>
      <c r="B363" t="inlineStr">
        <is>
          <t>159573</t>
        </is>
      </c>
      <c r="C363" t="inlineStr">
        <is>
          <t>创业板200ETF华夏</t>
        </is>
      </c>
      <c r="D363" t="n">
        <v>8545.6297</v>
      </c>
      <c r="E363" t="n">
        <v>8745.6297</v>
      </c>
      <c r="F363" t="n">
        <v>1.2901</v>
      </c>
      <c r="G363" t="n">
        <v>-200</v>
      </c>
      <c r="H363" t="n">
        <v>1.102472</v>
      </c>
      <c r="I363" t="n">
        <v>1.092679</v>
      </c>
      <c r="J363" t="n">
        <v>0.009793</v>
      </c>
      <c r="K363" s="4">
        <f>IFERROR(J363/I363,"")</f>
        <v/>
      </c>
      <c r="L363" s="4">
        <f>IFERROR((D363-E363)/E363,"")</f>
        <v/>
      </c>
      <c r="M363" s="19">
        <f>IFERROR(F363*G363/10000,"")</f>
        <v/>
      </c>
    </row>
    <row r="364">
      <c r="A364" t="inlineStr">
        <is>
          <t>2026-10-30</t>
        </is>
      </c>
      <c r="B364" t="inlineStr">
        <is>
          <t>159575</t>
        </is>
      </c>
      <c r="C364" t="inlineStr">
        <is>
          <t>创业板200ETF银华</t>
        </is>
      </c>
      <c r="D364" t="n">
        <v>1141.0425</v>
      </c>
      <c r="E364" t="n">
        <v>1141.0425</v>
      </c>
      <c r="F364" t="n">
        <v>1.2483</v>
      </c>
      <c r="G364" t="n">
        <v>0</v>
      </c>
      <c r="H364" t="n">
        <v>0.142436</v>
      </c>
      <c r="I364" t="n">
        <v>0.137986</v>
      </c>
      <c r="J364" t="n">
        <v>0.00445</v>
      </c>
      <c r="K364" s="4">
        <f>IFERROR(J364/I364,"")</f>
        <v/>
      </c>
      <c r="L364" s="4">
        <f>IFERROR((D364-E364)/E364,"")</f>
        <v/>
      </c>
      <c r="M364" s="19">
        <f>IFERROR(F364*G364/10000,"")</f>
        <v/>
      </c>
    </row>
    <row r="365">
      <c r="A365" t="inlineStr">
        <is>
          <t>2026-10-30</t>
        </is>
      </c>
      <c r="B365" t="inlineStr">
        <is>
          <t>159576</t>
        </is>
      </c>
      <c r="C365" t="inlineStr">
        <is>
          <t>深证100ETF广发</t>
        </is>
      </c>
      <c r="D365" t="n">
        <v>3900.9612</v>
      </c>
      <c r="E365" t="n">
        <v>3750.9612</v>
      </c>
      <c r="F365" t="n">
        <v>1.2545</v>
      </c>
      <c r="G365" t="n">
        <v>150</v>
      </c>
      <c r="H365" t="n">
        <v>0.489376</v>
      </c>
      <c r="I365" t="n">
        <v>0.462043</v>
      </c>
      <c r="J365" t="n">
        <v>0.027333</v>
      </c>
      <c r="K365" s="4">
        <f>IFERROR(J365/I365,"")</f>
        <v/>
      </c>
      <c r="L365" s="4">
        <f>IFERROR((D365-E365)/E365,"")</f>
        <v/>
      </c>
      <c r="M365" s="19">
        <f>IFERROR(F365*G365/10000,"")</f>
        <v/>
      </c>
    </row>
    <row r="366">
      <c r="A366" t="inlineStr">
        <is>
          <t>2026-10-30</t>
        </is>
      </c>
      <c r="B366" t="inlineStr">
        <is>
          <t>159577</t>
        </is>
      </c>
      <c r="C366" t="inlineStr">
        <is>
          <t>美国50ETF汇添富</t>
        </is>
      </c>
      <c r="D366" t="n">
        <v>83466.5791</v>
      </c>
      <c r="E366" t="n">
        <v>83466.5791</v>
      </c>
      <c r="F366" t="n">
        <v>1.5719</v>
      </c>
      <c r="G366" t="n">
        <v>0</v>
      </c>
      <c r="H366" t="n">
        <v>13.120112</v>
      </c>
      <c r="I366" t="n">
        <v>13.002424</v>
      </c>
      <c r="J366" t="n">
        <v>0.117688</v>
      </c>
      <c r="K366" s="4">
        <f>IFERROR(J366/I366,"")</f>
        <v/>
      </c>
      <c r="L366" s="4">
        <f>IFERROR((D366-E366)/E366,"")</f>
        <v/>
      </c>
      <c r="M366" s="19">
        <f>IFERROR(F366*G366/10000,"")</f>
        <v/>
      </c>
    </row>
    <row r="367">
      <c r="A367" t="inlineStr">
        <is>
          <t>2026-10-30</t>
        </is>
      </c>
      <c r="B367" t="inlineStr">
        <is>
          <t>159578</t>
        </is>
      </c>
      <c r="C367" t="inlineStr">
        <is>
          <t>深证主板50ETF南方</t>
        </is>
      </c>
      <c r="D367" t="n">
        <v>2199.8831</v>
      </c>
      <c r="E367" t="n">
        <v>2199.8831</v>
      </c>
      <c r="F367" t="n">
        <v>1.0828</v>
      </c>
      <c r="G367" t="n">
        <v>0</v>
      </c>
      <c r="H367" t="n">
        <v>0.238203</v>
      </c>
      <c r="I367" t="n">
        <v>0.236685</v>
      </c>
      <c r="J367" t="n">
        <v>0.001518</v>
      </c>
      <c r="K367" s="4">
        <f>IFERROR(J367/I367,"")</f>
        <v/>
      </c>
      <c r="L367" s="4">
        <f>IFERROR((D367-E367)/E367,"")</f>
        <v/>
      </c>
      <c r="M367" s="19">
        <f>IFERROR(F367*G367/10000,"")</f>
        <v/>
      </c>
    </row>
    <row r="368">
      <c r="A368" t="inlineStr">
        <is>
          <t>2026-10-30</t>
        </is>
      </c>
      <c r="B368" t="inlineStr">
        <is>
          <t>159581</t>
        </is>
      </c>
      <c r="C368" t="inlineStr">
        <is>
          <t>红利ETF万家</t>
        </is>
      </c>
      <c r="D368" t="n">
        <v>126522.5708</v>
      </c>
      <c r="E368" t="n">
        <v>127022.5708</v>
      </c>
      <c r="F368" t="n">
        <v>1.0511</v>
      </c>
      <c r="G368" t="n">
        <v>-500</v>
      </c>
      <c r="H368" t="n">
        <v>13.298787</v>
      </c>
      <c r="I368" t="n">
        <v>13.347532</v>
      </c>
      <c r="J368" t="n">
        <v>-0.048745</v>
      </c>
      <c r="K368" s="4">
        <f>IFERROR(J368/I368,"")</f>
        <v/>
      </c>
      <c r="L368" s="4">
        <f>IFERROR((D368-E368)/E368,"")</f>
        <v/>
      </c>
      <c r="M368" s="19">
        <f>IFERROR(F368*G368/10000,"")</f>
        <v/>
      </c>
    </row>
    <row r="369">
      <c r="A369" t="inlineStr">
        <is>
          <t>2026-10-30</t>
        </is>
      </c>
      <c r="B369" t="inlineStr">
        <is>
          <t>159582</t>
        </is>
      </c>
      <c r="C369" t="inlineStr">
        <is>
          <t>半导体ETF博时</t>
        </is>
      </c>
      <c r="D369" t="n">
        <v>128560.8105</v>
      </c>
      <c r="E369" t="n">
        <v>128060.8105</v>
      </c>
      <c r="F369" t="n">
        <v>0.5557</v>
      </c>
      <c r="G369" t="n">
        <v>500</v>
      </c>
      <c r="H369" t="n">
        <v>7.144124</v>
      </c>
      <c r="I369" t="n">
        <v>6.858937</v>
      </c>
      <c r="J369" t="n">
        <v>0.285187</v>
      </c>
      <c r="K369" s="4">
        <f>IFERROR(J369/I369,"")</f>
        <v/>
      </c>
      <c r="L369" s="4">
        <f>IFERROR((D369-E369)/E369,"")</f>
        <v/>
      </c>
      <c r="M369" s="19">
        <f>IFERROR(F369*G369/10000,"")</f>
        <v/>
      </c>
    </row>
    <row r="370">
      <c r="A370" t="inlineStr">
        <is>
          <t>2026-10-30</t>
        </is>
      </c>
      <c r="B370" t="inlineStr">
        <is>
          <t>159583</t>
        </is>
      </c>
      <c r="C370" t="inlineStr">
        <is>
          <t>通信ETF富国</t>
        </is>
      </c>
      <c r="D370" t="n">
        <v>288859.2902</v>
      </c>
      <c r="E370" t="n">
        <v>269859.2902</v>
      </c>
      <c r="F370" t="n">
        <v>1.251</v>
      </c>
      <c r="G370" t="n">
        <v>19000</v>
      </c>
      <c r="H370" t="n">
        <v>36.136297</v>
      </c>
      <c r="I370" t="n">
        <v>32.256281</v>
      </c>
      <c r="J370" t="n">
        <v>3.880016</v>
      </c>
      <c r="K370" s="4">
        <f>IFERROR(J370/I370,"")</f>
        <v/>
      </c>
      <c r="L370" s="4">
        <f>IFERROR((D370-E370)/E370,"")</f>
        <v/>
      </c>
      <c r="M370" s="19">
        <f>IFERROR(F370*G370/10000,"")</f>
        <v/>
      </c>
    </row>
    <row r="371">
      <c r="A371" t="inlineStr">
        <is>
          <t>2026-10-30</t>
        </is>
      </c>
      <c r="B371" t="inlineStr">
        <is>
          <t>159586</t>
        </is>
      </c>
      <c r="C371" t="inlineStr">
        <is>
          <t>计算机ETF南方</t>
        </is>
      </c>
      <c r="D371" t="n">
        <v>25502.5923</v>
      </c>
      <c r="E371" t="n">
        <v>25502.5923</v>
      </c>
      <c r="F371" t="n">
        <v>0.9942</v>
      </c>
      <c r="G371" t="n">
        <v>0</v>
      </c>
      <c r="H371" t="n">
        <v>2.535468</v>
      </c>
      <c r="I371" t="n">
        <v>2.530367</v>
      </c>
      <c r="J371" t="n">
        <v>0.005101</v>
      </c>
      <c r="K371" s="4">
        <f>IFERROR(J371/I371,"")</f>
        <v/>
      </c>
      <c r="L371" s="4">
        <f>IFERROR((D371-E371)/E371,"")</f>
        <v/>
      </c>
      <c r="M371" s="19">
        <f>IFERROR(F371*G371/10000,"")</f>
        <v/>
      </c>
    </row>
    <row r="372">
      <c r="A372" t="inlineStr">
        <is>
          <t>2026-10-30</t>
        </is>
      </c>
      <c r="B372" t="inlineStr">
        <is>
          <t>159587</t>
        </is>
      </c>
      <c r="C372" t="inlineStr">
        <is>
          <t>粮食ETF广发</t>
        </is>
      </c>
      <c r="D372" t="n">
        <v>44244.7031</v>
      </c>
      <c r="E372" t="n">
        <v>44744.7031</v>
      </c>
      <c r="F372" t="n">
        <v>1.0525</v>
      </c>
      <c r="G372" t="n">
        <v>-500</v>
      </c>
      <c r="H372" t="n">
        <v>4.656755</v>
      </c>
      <c r="I372" t="n">
        <v>4.725488</v>
      </c>
      <c r="J372" t="n">
        <v>-0.068733</v>
      </c>
      <c r="K372" s="4">
        <f>IFERROR(J372/I372,"")</f>
        <v/>
      </c>
      <c r="L372" s="4">
        <f>IFERROR((D372-E372)/E372,"")</f>
        <v/>
      </c>
      <c r="M372" s="19">
        <f>IFERROR(F372*G372/10000,"")</f>
        <v/>
      </c>
    </row>
    <row r="373">
      <c r="A373" t="inlineStr">
        <is>
          <t>2026-10-30</t>
        </is>
      </c>
      <c r="B373" t="inlineStr">
        <is>
          <t>159588</t>
        </is>
      </c>
      <c r="C373" t="inlineStr">
        <is>
          <t>石油ETF景顺</t>
        </is>
      </c>
      <c r="D373" t="n">
        <v>41228.4857</v>
      </c>
      <c r="E373" t="n">
        <v>41228.4857</v>
      </c>
      <c r="F373" t="n">
        <v>1.2395</v>
      </c>
      <c r="G373" t="n">
        <v>0</v>
      </c>
      <c r="H373" t="n">
        <v>5.110271</v>
      </c>
      <c r="I373" t="n">
        <v>5.081411</v>
      </c>
      <c r="J373" t="n">
        <v>0.02886</v>
      </c>
      <c r="K373" s="4">
        <f>IFERROR(J373/I373,"")</f>
        <v/>
      </c>
      <c r="L373" s="4">
        <f>IFERROR((D373-E373)/E373,"")</f>
        <v/>
      </c>
      <c r="M373" s="19">
        <f>IFERROR(F373*G373/10000,"")</f>
        <v/>
      </c>
    </row>
    <row r="374">
      <c r="A374" t="inlineStr">
        <is>
          <t>2026-10-30</t>
        </is>
      </c>
      <c r="B374" t="inlineStr">
        <is>
          <t>159589</t>
        </is>
      </c>
      <c r="C374" t="inlineStr">
        <is>
          <t>红利ETF广发</t>
        </is>
      </c>
      <c r="D374" t="n">
        <v>29759.0005</v>
      </c>
      <c r="E374" t="n">
        <v>29759.0005</v>
      </c>
      <c r="F374" t="n">
        <v>1.0893</v>
      </c>
      <c r="G374" t="n">
        <v>0</v>
      </c>
      <c r="H374" t="n">
        <v>3.241648</v>
      </c>
      <c r="I374" t="n">
        <v>3.240755</v>
      </c>
      <c r="J374" t="n">
        <v>0.000893</v>
      </c>
      <c r="K374" s="4">
        <f>IFERROR(J374/I374,"")</f>
        <v/>
      </c>
      <c r="L374" s="4">
        <f>IFERROR((D374-E374)/E374,"")</f>
        <v/>
      </c>
      <c r="M374" s="19">
        <f>IFERROR(F374*G374/10000,"")</f>
        <v/>
      </c>
    </row>
    <row r="375">
      <c r="A375" t="inlineStr">
        <is>
          <t>2026-10-30</t>
        </is>
      </c>
      <c r="B375" t="inlineStr">
        <is>
          <t>159590</t>
        </is>
      </c>
      <c r="C375" t="inlineStr">
        <is>
          <t>软件ETF汇添富</t>
        </is>
      </c>
      <c r="D375" t="n">
        <v>78686.1746</v>
      </c>
      <c r="E375" t="n">
        <v>77936.1746</v>
      </c>
      <c r="F375" t="n">
        <v>0.8365</v>
      </c>
      <c r="G375" t="n">
        <v>750</v>
      </c>
      <c r="H375" t="n">
        <v>6.582099</v>
      </c>
      <c r="I375" t="n">
        <v>6.547418</v>
      </c>
      <c r="J375" t="n">
        <v>0.034681</v>
      </c>
      <c r="K375" s="4">
        <f>IFERROR(J375/I375,"")</f>
        <v/>
      </c>
      <c r="L375" s="4">
        <f>IFERROR((D375-E375)/E375,"")</f>
        <v/>
      </c>
      <c r="M375" s="19">
        <f>IFERROR(F375*G375/10000,"")</f>
        <v/>
      </c>
    </row>
    <row r="376">
      <c r="A376" t="inlineStr">
        <is>
          <t>2026-10-30</t>
        </is>
      </c>
      <c r="B376" t="inlineStr">
        <is>
          <t>159591</t>
        </is>
      </c>
      <c r="C376" t="inlineStr">
        <is>
          <t>A50ETF富国</t>
        </is>
      </c>
      <c r="D376" t="n">
        <v>34140.5682</v>
      </c>
      <c r="E376" t="n">
        <v>34290.5682</v>
      </c>
      <c r="F376" t="n">
        <v>1.2399</v>
      </c>
      <c r="G376" t="n">
        <v>-150</v>
      </c>
      <c r="H376" t="n">
        <v>4.233089</v>
      </c>
      <c r="I376" t="n">
        <v>4.227341</v>
      </c>
      <c r="J376" t="n">
        <v>0.005748</v>
      </c>
      <c r="K376" s="4">
        <f>IFERROR(J376/I376,"")</f>
        <v/>
      </c>
      <c r="L376" s="4">
        <f>IFERROR((D376-E376)/E376,"")</f>
        <v/>
      </c>
      <c r="M376" s="19">
        <f>IFERROR(F376*G376/10000,"")</f>
        <v/>
      </c>
    </row>
    <row r="377">
      <c r="A377" t="inlineStr">
        <is>
          <t>2026-10-30</t>
        </is>
      </c>
      <c r="B377" t="inlineStr">
        <is>
          <t>159592</t>
        </is>
      </c>
      <c r="C377" t="inlineStr">
        <is>
          <t>A50ETF银华</t>
        </is>
      </c>
      <c r="D377" t="n">
        <v>57031.046</v>
      </c>
      <c r="E377" t="n">
        <v>57031.046</v>
      </c>
      <c r="F377" t="n">
        <v>1.212</v>
      </c>
      <c r="G377" t="n">
        <v>0</v>
      </c>
      <c r="H377" t="n">
        <v>6.912163</v>
      </c>
      <c r="I377" t="n">
        <v>6.872811</v>
      </c>
      <c r="J377" t="n">
        <v>0.039352</v>
      </c>
      <c r="K377" s="4">
        <f>IFERROR(J377/I377,"")</f>
        <v/>
      </c>
      <c r="L377" s="4">
        <f>IFERROR((D377-E377)/E377,"")</f>
        <v/>
      </c>
      <c r="M377" s="19">
        <f>IFERROR(F377*G377/10000,"")</f>
        <v/>
      </c>
    </row>
    <row r="378">
      <c r="A378" t="inlineStr">
        <is>
          <t>2026-10-30</t>
        </is>
      </c>
      <c r="B378" t="inlineStr">
        <is>
          <t>159593</t>
        </is>
      </c>
      <c r="C378" t="inlineStr">
        <is>
          <t>A50ETF平安</t>
        </is>
      </c>
      <c r="D378" t="n">
        <v>185769.604</v>
      </c>
      <c r="E378" t="n">
        <v>185769.604</v>
      </c>
      <c r="F378" t="n">
        <v>1.223</v>
      </c>
      <c r="G378" t="n">
        <v>0</v>
      </c>
      <c r="H378" t="n">
        <v>22.719623</v>
      </c>
      <c r="I378" t="n">
        <v>22.591442</v>
      </c>
      <c r="J378" t="n">
        <v>0.128181</v>
      </c>
      <c r="K378" s="4">
        <f>IFERROR(J378/I378,"")</f>
        <v/>
      </c>
      <c r="L378" s="4">
        <f>IFERROR((D378-E378)/E378,"")</f>
        <v/>
      </c>
      <c r="M378" s="19">
        <f>IFERROR(F378*G378/10000,"")</f>
        <v/>
      </c>
    </row>
    <row r="379">
      <c r="A379" t="inlineStr">
        <is>
          <t>2026-10-30</t>
        </is>
      </c>
      <c r="B379" t="inlineStr">
        <is>
          <t>159595</t>
        </is>
      </c>
      <c r="C379" t="inlineStr">
        <is>
          <t>中证A50ETF大成</t>
        </is>
      </c>
      <c r="D379" t="n">
        <v>99111.32550000001</v>
      </c>
      <c r="E379" t="n">
        <v>98511.32550000001</v>
      </c>
      <c r="F379" t="n">
        <v>1.2295</v>
      </c>
      <c r="G379" t="n">
        <v>600</v>
      </c>
      <c r="H379" t="n">
        <v>12.185737</v>
      </c>
      <c r="I379" t="n">
        <v>12.04301</v>
      </c>
      <c r="J379" t="n">
        <v>0.142727</v>
      </c>
      <c r="K379" s="4">
        <f>IFERROR(J379/I379,"")</f>
        <v/>
      </c>
      <c r="L379" s="4">
        <f>IFERROR((D379-E379)/E379,"")</f>
        <v/>
      </c>
      <c r="M379" s="19">
        <f>IFERROR(F379*G379/10000,"")</f>
        <v/>
      </c>
    </row>
    <row r="380">
      <c r="A380" t="inlineStr">
        <is>
          <t>2026-10-30</t>
        </is>
      </c>
      <c r="B380" t="inlineStr">
        <is>
          <t>159596</t>
        </is>
      </c>
      <c r="C380" t="inlineStr">
        <is>
          <t>A50ETF华宝</t>
        </is>
      </c>
      <c r="D380" t="n">
        <v>50368.304</v>
      </c>
      <c r="E380" t="n">
        <v>50668.304</v>
      </c>
      <c r="F380" t="n">
        <v>0.569</v>
      </c>
      <c r="G380" t="n">
        <v>-300</v>
      </c>
      <c r="H380" t="n">
        <v>2.865956</v>
      </c>
      <c r="I380" t="n">
        <v>2.866813</v>
      </c>
      <c r="J380" t="n">
        <v>-0.000857</v>
      </c>
      <c r="K380" s="4">
        <f>IFERROR(J380/I380,"")</f>
        <v/>
      </c>
      <c r="L380" s="4">
        <f>IFERROR((D380-E380)/E380,"")</f>
        <v/>
      </c>
      <c r="M380" s="19">
        <f>IFERROR(F380*G380/10000,"")</f>
        <v/>
      </c>
    </row>
    <row r="381">
      <c r="A381" t="inlineStr">
        <is>
          <t>2026-10-30</t>
        </is>
      </c>
      <c r="B381" t="inlineStr">
        <is>
          <t>159597</t>
        </is>
      </c>
      <c r="C381" t="inlineStr">
        <is>
          <t>创业板成长ETF易方达</t>
        </is>
      </c>
      <c r="D381" t="n">
        <v>125025.7137</v>
      </c>
      <c r="E381" t="n">
        <v>125175.7137</v>
      </c>
      <c r="F381" t="n">
        <v>0.5951</v>
      </c>
      <c r="G381" t="n">
        <v>-150</v>
      </c>
      <c r="H381" t="n">
        <v>7.44028</v>
      </c>
      <c r="I381" t="n">
        <v>7.147533</v>
      </c>
      <c r="J381" t="n">
        <v>0.292747</v>
      </c>
      <c r="K381" s="4">
        <f>IFERROR(J381/I381,"")</f>
        <v/>
      </c>
      <c r="L381" s="4">
        <f>IFERROR((D381-E381)/E381,"")</f>
        <v/>
      </c>
      <c r="M381" s="19">
        <f>IFERROR(F381*G381/10000,"")</f>
        <v/>
      </c>
    </row>
    <row r="382">
      <c r="A382" t="inlineStr">
        <is>
          <t>2026-10-30</t>
        </is>
      </c>
      <c r="B382" t="inlineStr">
        <is>
          <t>159599</t>
        </is>
      </c>
      <c r="C382" t="inlineStr">
        <is>
          <t>芯片ETF东财</t>
        </is>
      </c>
      <c r="D382" t="n">
        <v>80832.2066</v>
      </c>
      <c r="E382" t="n">
        <v>79182.2066</v>
      </c>
      <c r="F382" t="n">
        <v>2.1541</v>
      </c>
      <c r="G382" t="n">
        <v>1650</v>
      </c>
      <c r="H382" t="n">
        <v>17.412066</v>
      </c>
      <c r="I382" t="n">
        <v>16.363003</v>
      </c>
      <c r="J382" t="n">
        <v>1.049063</v>
      </c>
      <c r="K382" s="4">
        <f>IFERROR(J382/I382,"")</f>
        <v/>
      </c>
      <c r="L382" s="4">
        <f>IFERROR((D382-E382)/E382,"")</f>
        <v/>
      </c>
      <c r="M382" s="19">
        <f>IFERROR(F382*G382/10000,"")</f>
        <v/>
      </c>
    </row>
    <row r="383">
      <c r="A383" t="inlineStr">
        <is>
          <t>2026-10-30</t>
        </is>
      </c>
      <c r="B383" t="inlineStr">
        <is>
          <t>159600</t>
        </is>
      </c>
      <c r="C383" t="inlineStr">
        <is>
          <t>科创债ETF嘉实</t>
        </is>
      </c>
      <c r="D383" t="n">
        <v>40300.8913</v>
      </c>
      <c r="E383" t="n">
        <v>40300.8913</v>
      </c>
      <c r="F383" t="n">
        <v>102.4093</v>
      </c>
      <c r="G383" t="n">
        <v>0</v>
      </c>
      <c r="H383" t="n">
        <v>412.718607</v>
      </c>
      <c r="I383" t="n">
        <v>412.717398</v>
      </c>
      <c r="J383" t="n">
        <v>0.001209</v>
      </c>
      <c r="K383" s="4">
        <f>IFERROR(J383/I383,"")</f>
        <v/>
      </c>
      <c r="L383" s="4">
        <f>IFERROR((D383-E383)/E383,"")</f>
        <v/>
      </c>
      <c r="M383" s="19">
        <f>IFERROR(F383*G383/10000,"")</f>
        <v/>
      </c>
    </row>
    <row r="384">
      <c r="A384" t="inlineStr">
        <is>
          <t>2026-10-30</t>
        </is>
      </c>
      <c r="B384" t="inlineStr">
        <is>
          <t>159601</t>
        </is>
      </c>
      <c r="C384" t="inlineStr">
        <is>
          <t>A50ETF华夏</t>
        </is>
      </c>
      <c r="D384" t="n">
        <v>145318.8073</v>
      </c>
      <c r="E384" t="n">
        <v>145318.8073</v>
      </c>
      <c r="F384" t="n">
        <v>0.9818</v>
      </c>
      <c r="G384" t="n">
        <v>0</v>
      </c>
      <c r="H384" t="n">
        <v>14.267401</v>
      </c>
      <c r="I384" t="n">
        <v>14.122082</v>
      </c>
      <c r="J384" t="n">
        <v>0.145319</v>
      </c>
      <c r="K384" s="4">
        <f>IFERROR(J384/I384,"")</f>
        <v/>
      </c>
      <c r="L384" s="4">
        <f>IFERROR((D384-E384)/E384,"")</f>
        <v/>
      </c>
      <c r="M384" s="19">
        <f>IFERROR(F384*G384/10000,"")</f>
        <v/>
      </c>
    </row>
    <row r="385">
      <c r="A385" t="inlineStr">
        <is>
          <t>2026-10-30</t>
        </is>
      </c>
      <c r="B385" t="inlineStr">
        <is>
          <t>159602</t>
        </is>
      </c>
      <c r="C385" t="inlineStr">
        <is>
          <t>中国A50ETF南方</t>
        </is>
      </c>
      <c r="D385" t="n">
        <v>39454.2944</v>
      </c>
      <c r="E385" t="n">
        <v>39254.2944</v>
      </c>
      <c r="F385" t="n">
        <v>0.9535</v>
      </c>
      <c r="G385" t="n">
        <v>200</v>
      </c>
      <c r="H385" t="n">
        <v>3.761967</v>
      </c>
      <c r="I385" t="n">
        <v>3.70325</v>
      </c>
      <c r="J385" t="n">
        <v>0.058717</v>
      </c>
      <c r="K385" s="4">
        <f>IFERROR(J385/I385,"")</f>
        <v/>
      </c>
      <c r="L385" s="4">
        <f>IFERROR((D385-E385)/E385,"")</f>
        <v/>
      </c>
      <c r="M385" s="19">
        <f>IFERROR(F385*G385/10000,"")</f>
        <v/>
      </c>
    </row>
    <row r="386">
      <c r="A386" t="inlineStr">
        <is>
          <t>2026-10-30</t>
        </is>
      </c>
      <c r="B386" t="inlineStr">
        <is>
          <t>159603</t>
        </is>
      </c>
      <c r="C386" t="inlineStr">
        <is>
          <t>科创创业ETF天弘</t>
        </is>
      </c>
      <c r="D386" t="n">
        <v>276407.1922</v>
      </c>
      <c r="E386" t="n">
        <v>275807.1922</v>
      </c>
      <c r="F386" t="n">
        <v>1.238</v>
      </c>
      <c r="G386" t="n">
        <v>600</v>
      </c>
      <c r="H386" t="n">
        <v>34.21921</v>
      </c>
      <c r="I386" t="n">
        <v>32.950685</v>
      </c>
      <c r="J386" t="n">
        <v>1.268525</v>
      </c>
      <c r="K386" s="4">
        <f>IFERROR(J386/I386,"")</f>
        <v/>
      </c>
      <c r="L386" s="4">
        <f>IFERROR((D386-E386)/E386,"")</f>
        <v/>
      </c>
      <c r="M386" s="19">
        <f>IFERROR(F386*G386/10000,"")</f>
        <v/>
      </c>
    </row>
    <row r="387">
      <c r="A387" t="inlineStr">
        <is>
          <t>2026-10-30</t>
        </is>
      </c>
      <c r="B387" t="inlineStr">
        <is>
          <t>159605</t>
        </is>
      </c>
      <c r="C387" t="inlineStr">
        <is>
          <t>中概互联ETF广发</t>
        </is>
      </c>
      <c r="D387" t="n">
        <v>439948.6155</v>
      </c>
      <c r="E387" t="n">
        <v>439448.6155</v>
      </c>
      <c r="F387" t="n">
        <v>0.7047</v>
      </c>
      <c r="G387" t="n">
        <v>500</v>
      </c>
      <c r="H387" t="n">
        <v>31.003179</v>
      </c>
      <c r="I387" t="n">
        <v>31.429365</v>
      </c>
      <c r="J387" t="n">
        <v>-0.426186</v>
      </c>
      <c r="K387" s="4">
        <f>IFERROR(J387/I387,"")</f>
        <v/>
      </c>
      <c r="L387" s="4">
        <f>IFERROR((D387-E387)/E387,"")</f>
        <v/>
      </c>
      <c r="M387" s="19">
        <f>IFERROR(F387*G387/10000,"")</f>
        <v/>
      </c>
    </row>
    <row r="388">
      <c r="A388" t="inlineStr">
        <is>
          <t>2026-10-30</t>
        </is>
      </c>
      <c r="B388" t="inlineStr">
        <is>
          <t>159606</t>
        </is>
      </c>
      <c r="C388" t="inlineStr">
        <is>
          <t>中证500成长ETF易方达</t>
        </is>
      </c>
      <c r="D388" t="n">
        <v>40722.2838</v>
      </c>
      <c r="E388" t="n">
        <v>40922.2838</v>
      </c>
      <c r="F388" t="n">
        <v>1.1982</v>
      </c>
      <c r="G388" t="n">
        <v>-200</v>
      </c>
      <c r="H388" t="n">
        <v>4.879344</v>
      </c>
      <c r="I388" t="n">
        <v>4.827193</v>
      </c>
      <c r="J388" t="n">
        <v>0.052151</v>
      </c>
      <c r="K388" s="4">
        <f>IFERROR(J388/I388,"")</f>
        <v/>
      </c>
      <c r="L388" s="4">
        <f>IFERROR((D388-E388)/E388,"")</f>
        <v/>
      </c>
      <c r="M388" s="19">
        <f>IFERROR(F388*G388/10000,"")</f>
        <v/>
      </c>
    </row>
    <row r="389">
      <c r="A389" t="inlineStr">
        <is>
          <t>2026-10-30</t>
        </is>
      </c>
      <c r="B389" t="inlineStr">
        <is>
          <t>159607</t>
        </is>
      </c>
      <c r="C389" t="inlineStr">
        <is>
          <t>中概互联网ETF嘉实</t>
        </is>
      </c>
      <c r="D389" t="n">
        <v>138982.9139</v>
      </c>
      <c r="E389" t="n">
        <v>138782.9139</v>
      </c>
      <c r="F389" t="n">
        <v>0.7030999999999999</v>
      </c>
      <c r="G389" t="n">
        <v>200</v>
      </c>
      <c r="H389" t="n">
        <v>9.771889</v>
      </c>
      <c r="I389" t="n">
        <v>9.904937</v>
      </c>
      <c r="J389" t="n">
        <v>-0.133048</v>
      </c>
      <c r="K389" s="4">
        <f>IFERROR(J389/I389,"")</f>
        <v/>
      </c>
      <c r="L389" s="4">
        <f>IFERROR((D389-E389)/E389,"")</f>
        <v/>
      </c>
      <c r="M389" s="19">
        <f>IFERROR(F389*G389/10000,"")</f>
        <v/>
      </c>
    </row>
    <row r="390">
      <c r="A390" t="inlineStr">
        <is>
          <t>2026-10-30</t>
        </is>
      </c>
      <c r="B390" t="inlineStr">
        <is>
          <t>159608</t>
        </is>
      </c>
      <c r="C390" t="inlineStr">
        <is>
          <t>稀有金属ETF广发</t>
        </is>
      </c>
      <c r="D390" t="n">
        <v>324881.0066</v>
      </c>
      <c r="E390" t="n">
        <v>327521.0066</v>
      </c>
      <c r="F390" t="n">
        <v>0.8373</v>
      </c>
      <c r="G390" t="n">
        <v>-2640</v>
      </c>
      <c r="H390" t="n">
        <v>27.202287</v>
      </c>
      <c r="I390" t="n">
        <v>27.115464</v>
      </c>
      <c r="J390" t="n">
        <v>0.086823</v>
      </c>
      <c r="K390" s="4">
        <f>IFERROR(J390/I390,"")</f>
        <v/>
      </c>
      <c r="L390" s="4">
        <f>IFERROR((D390-E390)/E390,"")</f>
        <v/>
      </c>
      <c r="M390" s="19">
        <f>IFERROR(F390*G390/10000,"")</f>
        <v/>
      </c>
    </row>
    <row r="391">
      <c r="A391" t="inlineStr">
        <is>
          <t>2026-10-30</t>
        </is>
      </c>
      <c r="B391" t="inlineStr">
        <is>
          <t>159609</t>
        </is>
      </c>
      <c r="C391" t="inlineStr">
        <is>
          <t>光伏ETF浦银</t>
        </is>
      </c>
      <c r="D391" t="n">
        <v>33890.3414</v>
      </c>
      <c r="E391" t="n">
        <v>33890.3414</v>
      </c>
      <c r="F391" t="n">
        <v>0.4114</v>
      </c>
      <c r="G391" t="n">
        <v>0</v>
      </c>
      <c r="H391" t="n">
        <v>1.394249</v>
      </c>
      <c r="I391" t="n">
        <v>1.383404</v>
      </c>
      <c r="J391" t="n">
        <v>0.010845</v>
      </c>
      <c r="K391" s="4">
        <f>IFERROR(J391/I391,"")</f>
        <v/>
      </c>
      <c r="L391" s="4">
        <f>IFERROR((D391-E391)/E391,"")</f>
        <v/>
      </c>
      <c r="M391" s="19">
        <f>IFERROR(F391*G391/10000,"")</f>
        <v/>
      </c>
    </row>
    <row r="392">
      <c r="A392" t="inlineStr">
        <is>
          <t>2026-10-30</t>
        </is>
      </c>
      <c r="B392" t="inlineStr">
        <is>
          <t>159610</t>
        </is>
      </c>
      <c r="C392" t="inlineStr">
        <is>
          <t>中证500增强ETF景顺</t>
        </is>
      </c>
      <c r="D392" t="n">
        <v>15956.8207</v>
      </c>
      <c r="E392" t="n">
        <v>15956.8207</v>
      </c>
      <c r="F392" t="n">
        <v>1.0616</v>
      </c>
      <c r="G392" t="n">
        <v>0</v>
      </c>
      <c r="H392" t="n">
        <v>1.693976</v>
      </c>
      <c r="I392" t="n">
        <v>1.667009</v>
      </c>
      <c r="J392" t="n">
        <v>0.026967</v>
      </c>
      <c r="K392" s="4">
        <f>IFERROR(J392/I392,"")</f>
        <v/>
      </c>
      <c r="L392" s="4">
        <f>IFERROR((D392-E392)/E392,"")</f>
        <v/>
      </c>
      <c r="M392" s="19">
        <f>IFERROR(F392*G392/10000,"")</f>
        <v/>
      </c>
    </row>
    <row r="393">
      <c r="A393" t="inlineStr">
        <is>
          <t>2026-10-30</t>
        </is>
      </c>
      <c r="B393" t="inlineStr">
        <is>
          <t>159611</t>
        </is>
      </c>
      <c r="C393" t="inlineStr">
        <is>
          <t>电力ETF广发</t>
        </is>
      </c>
      <c r="D393" t="n">
        <v>796796.29</v>
      </c>
      <c r="E393" t="n">
        <v>795036.29</v>
      </c>
      <c r="F393" t="n">
        <v>1.0251</v>
      </c>
      <c r="G393" t="n">
        <v>1760</v>
      </c>
      <c r="H393" t="n">
        <v>81.679588</v>
      </c>
      <c r="I393" t="n">
        <v>81.06985</v>
      </c>
      <c r="J393" t="n">
        <v>0.609738</v>
      </c>
      <c r="K393" s="4">
        <f>IFERROR(J393/I393,"")</f>
        <v/>
      </c>
      <c r="L393" s="4">
        <f>IFERROR((D393-E393)/E393,"")</f>
        <v/>
      </c>
      <c r="M393" s="19">
        <f>IFERROR(F393*G393/10000,"")</f>
        <v/>
      </c>
    </row>
    <row r="394">
      <c r="A394" t="inlineStr">
        <is>
          <t>2026-10-30</t>
        </is>
      </c>
      <c r="B394" t="inlineStr">
        <is>
          <t>159612</t>
        </is>
      </c>
      <c r="C394" t="inlineStr">
        <is>
          <t>标普500ETF国泰</t>
        </is>
      </c>
      <c r="D394" t="n">
        <v>51089.8651</v>
      </c>
      <c r="E394" t="n">
        <v>51089.8651</v>
      </c>
      <c r="F394" t="n">
        <v>1.9245</v>
      </c>
      <c r="G394" t="n">
        <v>0</v>
      </c>
      <c r="H394" t="n">
        <v>9.832245</v>
      </c>
      <c r="I394" t="n">
        <v>9.771447999999999</v>
      </c>
      <c r="J394" t="n">
        <v>0.060797</v>
      </c>
      <c r="K394" s="4">
        <f>IFERROR(J394/I394,"")</f>
        <v/>
      </c>
      <c r="L394" s="4">
        <f>IFERROR((D394-E394)/E394,"")</f>
        <v/>
      </c>
      <c r="M394" s="19">
        <f>IFERROR(F394*G394/10000,"")</f>
        <v/>
      </c>
    </row>
    <row r="395">
      <c r="A395" t="inlineStr">
        <is>
          <t>2026-10-30</t>
        </is>
      </c>
      <c r="B395" t="inlineStr">
        <is>
          <t>159613</t>
        </is>
      </c>
      <c r="C395" t="inlineStr">
        <is>
          <t>信息安全ETF嘉实</t>
        </is>
      </c>
      <c r="D395" t="n">
        <v>12059.0217</v>
      </c>
      <c r="E395" t="n">
        <v>11859.0217</v>
      </c>
      <c r="F395" t="n">
        <v>0.801</v>
      </c>
      <c r="G395" t="n">
        <v>200</v>
      </c>
      <c r="H395" t="n">
        <v>0.965928</v>
      </c>
      <c r="I395" t="n">
        <v>0.938286</v>
      </c>
      <c r="J395" t="n">
        <v>0.027642</v>
      </c>
      <c r="K395" s="4">
        <f>IFERROR(J395/I395,"")</f>
        <v/>
      </c>
      <c r="L395" s="4">
        <f>IFERROR((D395-E395)/E395,"")</f>
        <v/>
      </c>
      <c r="M395" s="19">
        <f>IFERROR(F395*G395/10000,"")</f>
        <v/>
      </c>
    </row>
    <row r="396">
      <c r="A396" t="inlineStr">
        <is>
          <t>2026-10-30</t>
        </is>
      </c>
      <c r="B396" t="inlineStr">
        <is>
          <t>159615</t>
        </is>
      </c>
      <c r="C396" t="inlineStr">
        <is>
          <t>恒生生物科技ETF南方</t>
        </is>
      </c>
      <c r="D396" t="n">
        <v>29405.4898</v>
      </c>
      <c r="E396" t="n">
        <v>29405.4898</v>
      </c>
      <c r="F396" t="n">
        <v>1.046</v>
      </c>
      <c r="G396" t="n">
        <v>0</v>
      </c>
      <c r="H396" t="n">
        <v>3.075814</v>
      </c>
      <c r="I396" t="n">
        <v>3.017591</v>
      </c>
      <c r="J396" t="n">
        <v>0.058223</v>
      </c>
      <c r="K396" s="4">
        <f>IFERROR(J396/I396,"")</f>
        <v/>
      </c>
      <c r="L396" s="4">
        <f>IFERROR((D396-E396)/E396,"")</f>
        <v/>
      </c>
      <c r="M396" s="19">
        <f>IFERROR(F396*G396/10000,"")</f>
        <v/>
      </c>
    </row>
    <row r="397">
      <c r="A397" t="inlineStr">
        <is>
          <t>2026-10-30</t>
        </is>
      </c>
      <c r="B397" t="inlineStr">
        <is>
          <t>159616</t>
        </is>
      </c>
      <c r="C397" t="inlineStr">
        <is>
          <t>农牧ETF建信</t>
        </is>
      </c>
      <c r="D397" t="n">
        <v>6656.1112</v>
      </c>
      <c r="E397" t="n">
        <v>6656.1112</v>
      </c>
      <c r="F397" t="n">
        <v>0.7165</v>
      </c>
      <c r="G397" t="n">
        <v>0</v>
      </c>
      <c r="H397" t="n">
        <v>0.47691</v>
      </c>
      <c r="I397" t="n">
        <v>0.478242</v>
      </c>
      <c r="J397" t="n">
        <v>-0.001332</v>
      </c>
      <c r="K397" s="4">
        <f>IFERROR(J397/I397,"")</f>
        <v/>
      </c>
      <c r="L397" s="4">
        <f>IFERROR((D397-E397)/E397,"")</f>
        <v/>
      </c>
      <c r="M397" s="19">
        <f>IFERROR(F397*G397/10000,"")</f>
        <v/>
      </c>
    </row>
    <row r="398">
      <c r="A398" t="inlineStr">
        <is>
          <t>2026-10-30</t>
        </is>
      </c>
      <c r="B398" t="inlineStr">
        <is>
          <t>159617</t>
        </is>
      </c>
      <c r="C398" t="inlineStr">
        <is>
          <t>中证500价值ETF华夏</t>
        </is>
      </c>
      <c r="D398" t="n">
        <v>3141.8382</v>
      </c>
      <c r="E398" t="n">
        <v>3141.8382</v>
      </c>
      <c r="F398" t="n">
        <v>1.3165</v>
      </c>
      <c r="G398" t="n">
        <v>0</v>
      </c>
      <c r="H398" t="n">
        <v>0.413623</v>
      </c>
      <c r="I398" t="n">
        <v>0.412021</v>
      </c>
      <c r="J398" t="n">
        <v>0.001602</v>
      </c>
      <c r="K398" s="4">
        <f>IFERROR(J398/I398,"")</f>
        <v/>
      </c>
      <c r="L398" s="4">
        <f>IFERROR((D398-E398)/E398,"")</f>
        <v/>
      </c>
      <c r="M398" s="19">
        <f>IFERROR(F398*G398/10000,"")</f>
        <v/>
      </c>
    </row>
    <row r="399">
      <c r="A399" t="inlineStr">
        <is>
          <t>2026-10-30</t>
        </is>
      </c>
      <c r="B399" t="inlineStr">
        <is>
          <t>159618</t>
        </is>
      </c>
      <c r="C399" t="inlineStr">
        <is>
          <t>光伏ETF华安</t>
        </is>
      </c>
      <c r="D399" t="n">
        <v>8313.1407</v>
      </c>
      <c r="E399" t="n">
        <v>8313.1407</v>
      </c>
      <c r="F399" t="n">
        <v>0.5555</v>
      </c>
      <c r="G399" t="n">
        <v>0</v>
      </c>
      <c r="H399" t="n">
        <v>0.461795</v>
      </c>
      <c r="I399" t="n">
        <v>0.458303</v>
      </c>
      <c r="J399" t="n">
        <v>0.003492</v>
      </c>
      <c r="K399" s="4">
        <f>IFERROR(J399/I399,"")</f>
        <v/>
      </c>
      <c r="L399" s="4">
        <f>IFERROR((D399-E399)/E399,"")</f>
        <v/>
      </c>
      <c r="M399" s="19">
        <f>IFERROR(F399*G399/10000,"")</f>
        <v/>
      </c>
    </row>
    <row r="400">
      <c r="A400" t="inlineStr">
        <is>
          <t>2026-10-30</t>
        </is>
      </c>
      <c r="B400" t="inlineStr">
        <is>
          <t>159619</t>
        </is>
      </c>
      <c r="C400" t="inlineStr">
        <is>
          <t>基建ETF国泰</t>
        </is>
      </c>
      <c r="D400" t="n">
        <v>7898.1007</v>
      </c>
      <c r="E400" t="n">
        <v>7898.1007</v>
      </c>
      <c r="F400" t="n">
        <v>0.876</v>
      </c>
      <c r="G400" t="n">
        <v>0</v>
      </c>
      <c r="H400" t="n">
        <v>0.691874</v>
      </c>
      <c r="I400" t="n">
        <v>0.689188</v>
      </c>
      <c r="J400" t="n">
        <v>0.002686</v>
      </c>
      <c r="K400" s="4">
        <f>IFERROR(J400/I400,"")</f>
        <v/>
      </c>
      <c r="L400" s="4">
        <f>IFERROR((D400-E400)/E400,"")</f>
        <v/>
      </c>
      <c r="M400" s="19">
        <f>IFERROR(F400*G400/10000,"")</f>
        <v/>
      </c>
    </row>
    <row r="401">
      <c r="A401" t="inlineStr">
        <is>
          <t>2026-10-30</t>
        </is>
      </c>
      <c r="B401" t="inlineStr">
        <is>
          <t>159620</t>
        </is>
      </c>
      <c r="C401" t="inlineStr">
        <is>
          <t>中证500成长ETF华夏</t>
        </is>
      </c>
      <c r="D401" t="n">
        <v>3414.0934</v>
      </c>
      <c r="E401" t="n">
        <v>3414.0934</v>
      </c>
      <c r="F401" t="n">
        <v>1.0849</v>
      </c>
      <c r="G401" t="n">
        <v>0</v>
      </c>
      <c r="H401" t="n">
        <v>0.370395</v>
      </c>
      <c r="I401" t="n">
        <v>0.364898</v>
      </c>
      <c r="J401" t="n">
        <v>0.005497</v>
      </c>
      <c r="K401" s="4">
        <f>IFERROR(J401/I401,"")</f>
        <v/>
      </c>
      <c r="L401" s="4">
        <f>IFERROR((D401-E401)/E401,"")</f>
        <v/>
      </c>
      <c r="M401" s="19">
        <f>IFERROR(F401*G401/10000,"")</f>
        <v/>
      </c>
    </row>
    <row r="402">
      <c r="A402" t="inlineStr">
        <is>
          <t>2026-10-30</t>
        </is>
      </c>
      <c r="B402" t="inlineStr">
        <is>
          <t>159621</t>
        </is>
      </c>
      <c r="C402" t="inlineStr">
        <is>
          <t>ESGETF国泰</t>
        </is>
      </c>
      <c r="D402" t="n">
        <v>1443.4717</v>
      </c>
      <c r="E402" t="n">
        <v>1443.4717</v>
      </c>
      <c r="F402" t="n">
        <v>1.0608</v>
      </c>
      <c r="G402" t="n">
        <v>0</v>
      </c>
      <c r="H402" t="n">
        <v>0.153123</v>
      </c>
      <c r="I402" t="n">
        <v>0.152474</v>
      </c>
      <c r="J402" t="n">
        <v>0.0006489999999999999</v>
      </c>
      <c r="K402" s="4">
        <f>IFERROR(J402/I402,"")</f>
        <v/>
      </c>
      <c r="L402" s="4">
        <f>IFERROR((D402-E402)/E402,"")</f>
        <v/>
      </c>
      <c r="M402" s="19">
        <f>IFERROR(F402*G402/10000,"")</f>
        <v/>
      </c>
    </row>
    <row r="403">
      <c r="A403" t="inlineStr">
        <is>
          <t>2026-10-30</t>
        </is>
      </c>
      <c r="B403" t="inlineStr">
        <is>
          <t>159622</t>
        </is>
      </c>
      <c r="C403" t="inlineStr">
        <is>
          <t>创新药ETF东财</t>
        </is>
      </c>
      <c r="D403" t="n">
        <v>91460.3238</v>
      </c>
      <c r="E403" t="n">
        <v>91660.3238</v>
      </c>
      <c r="F403" t="n">
        <v>1.099</v>
      </c>
      <c r="G403" t="n">
        <v>-200</v>
      </c>
      <c r="H403" t="n">
        <v>10.05149</v>
      </c>
      <c r="I403" t="n">
        <v>9.887399</v>
      </c>
      <c r="J403" t="n">
        <v>0.164091</v>
      </c>
      <c r="K403" s="4">
        <f>IFERROR(J403/I403,"")</f>
        <v/>
      </c>
      <c r="L403" s="4">
        <f>IFERROR((D403-E403)/E403,"")</f>
        <v/>
      </c>
      <c r="M403" s="19">
        <f>IFERROR(F403*G403/10000,"")</f>
        <v/>
      </c>
    </row>
    <row r="404">
      <c r="A404" t="inlineStr">
        <is>
          <t>2026-10-30</t>
        </is>
      </c>
      <c r="B404" t="inlineStr">
        <is>
          <t>159623</t>
        </is>
      </c>
      <c r="C404" t="inlineStr">
        <is>
          <t>成渝经济圈ETF博时</t>
        </is>
      </c>
      <c r="D404" t="n">
        <v>332027.1695</v>
      </c>
      <c r="E404" t="n">
        <v>327827.1695</v>
      </c>
      <c r="F404" t="n">
        <v>0.8522</v>
      </c>
      <c r="G404" t="n">
        <v>4200</v>
      </c>
      <c r="H404" t="n">
        <v>28.295355</v>
      </c>
      <c r="I404" t="n">
        <v>27.780074</v>
      </c>
      <c r="J404" t="n">
        <v>0.515281</v>
      </c>
      <c r="K404" s="4">
        <f>IFERROR(J404/I404,"")</f>
        <v/>
      </c>
      <c r="L404" s="4">
        <f>IFERROR((D404-E404)/E404,"")</f>
        <v/>
      </c>
      <c r="M404" s="19">
        <f>IFERROR(F404*G404/10000,"")</f>
        <v/>
      </c>
    </row>
    <row r="405">
      <c r="A405" t="inlineStr">
        <is>
          <t>2026-10-30</t>
        </is>
      </c>
      <c r="B405" t="inlineStr">
        <is>
          <t>159625</t>
        </is>
      </c>
      <c r="C405" t="inlineStr">
        <is>
          <t>绿色电力ETF嘉实</t>
        </is>
      </c>
      <c r="D405" t="n">
        <v>143811.3777</v>
      </c>
      <c r="E405" t="n">
        <v>144251.3777</v>
      </c>
      <c r="F405" t="n">
        <v>1.1875</v>
      </c>
      <c r="G405" t="n">
        <v>-440</v>
      </c>
      <c r="H405" t="n">
        <v>17.077601</v>
      </c>
      <c r="I405" t="n">
        <v>17.040415</v>
      </c>
      <c r="J405" t="n">
        <v>0.037186</v>
      </c>
      <c r="K405" s="4">
        <f>IFERROR(J405/I405,"")</f>
        <v/>
      </c>
      <c r="L405" s="4">
        <f>IFERROR((D405-E405)/E405,"")</f>
        <v/>
      </c>
      <c r="M405" s="19">
        <f>IFERROR(F405*G405/10000,"")</f>
        <v/>
      </c>
    </row>
    <row r="406">
      <c r="A406" t="inlineStr">
        <is>
          <t>2026-10-30</t>
        </is>
      </c>
      <c r="B406" t="inlineStr">
        <is>
          <t>159627</t>
        </is>
      </c>
      <c r="C406" t="inlineStr">
        <is>
          <t>A100ETF华夏</t>
        </is>
      </c>
      <c r="D406" t="n">
        <v>1711.6776</v>
      </c>
      <c r="E406" t="n">
        <v>1711.6776</v>
      </c>
      <c r="F406" t="n">
        <v>1.1454</v>
      </c>
      <c r="G406" t="n">
        <v>0</v>
      </c>
      <c r="H406" t="n">
        <v>0.196056</v>
      </c>
      <c r="I406" t="n">
        <v>0.194053</v>
      </c>
      <c r="J406" t="n">
        <v>0.002003</v>
      </c>
      <c r="K406" s="4">
        <f>IFERROR(J406/I406,"")</f>
        <v/>
      </c>
      <c r="L406" s="4">
        <f>IFERROR((D406-E406)/E406,"")</f>
        <v/>
      </c>
      <c r="M406" s="19">
        <f>IFERROR(F406*G406/10000,"")</f>
        <v/>
      </c>
    </row>
    <row r="407">
      <c r="A407" t="inlineStr">
        <is>
          <t>2026-10-30</t>
        </is>
      </c>
      <c r="B407" t="inlineStr">
        <is>
          <t>159628</t>
        </is>
      </c>
      <c r="C407" t="inlineStr">
        <is>
          <t>国证2000ETF万家</t>
        </is>
      </c>
      <c r="D407" t="n">
        <v>41028.325</v>
      </c>
      <c r="E407" t="n">
        <v>41028.325</v>
      </c>
      <c r="F407" t="n">
        <v>1.2142</v>
      </c>
      <c r="G407" t="n">
        <v>0</v>
      </c>
      <c r="H407" t="n">
        <v>4.981659</v>
      </c>
      <c r="I407" t="n">
        <v>4.858985</v>
      </c>
      <c r="J407" t="n">
        <v>0.122674</v>
      </c>
      <c r="K407" s="4">
        <f>IFERROR(J407/I407,"")</f>
        <v/>
      </c>
      <c r="L407" s="4">
        <f>IFERROR((D407-E407)/E407,"")</f>
        <v/>
      </c>
      <c r="M407" s="19">
        <f>IFERROR(F407*G407/10000,"")</f>
        <v/>
      </c>
    </row>
    <row r="408">
      <c r="A408" t="inlineStr">
        <is>
          <t>2026-10-30</t>
        </is>
      </c>
      <c r="B408" t="inlineStr">
        <is>
          <t>159629</t>
        </is>
      </c>
      <c r="C408" t="inlineStr">
        <is>
          <t>中证1000ETF富国</t>
        </is>
      </c>
      <c r="D408" t="n">
        <v>91525.2663</v>
      </c>
      <c r="E408" t="n">
        <v>100125.2663</v>
      </c>
      <c r="F408" t="n">
        <v>2.7565</v>
      </c>
      <c r="G408" t="n">
        <v>-8600</v>
      </c>
      <c r="H408" t="n">
        <v>25.22894</v>
      </c>
      <c r="I408" t="n">
        <v>26.972745</v>
      </c>
      <c r="J408" t="n">
        <v>-1.743805</v>
      </c>
      <c r="K408" s="4">
        <f>IFERROR(J408/I408,"")</f>
        <v/>
      </c>
      <c r="L408" s="4">
        <f>IFERROR((D408-E408)/E408,"")</f>
        <v/>
      </c>
      <c r="M408" s="19">
        <f>IFERROR(F408*G408/10000,"")</f>
        <v/>
      </c>
    </row>
    <row r="409">
      <c r="A409" t="inlineStr">
        <is>
          <t>2026-10-30</t>
        </is>
      </c>
      <c r="B409" t="inlineStr">
        <is>
          <t>159630</t>
        </is>
      </c>
      <c r="C409" t="inlineStr">
        <is>
          <t>A100ETF汇添富</t>
        </is>
      </c>
      <c r="D409" t="n">
        <v>1311.3744</v>
      </c>
      <c r="E409" t="n">
        <v>1311.3744</v>
      </c>
      <c r="F409" t="n">
        <v>1.2082</v>
      </c>
      <c r="G409" t="n">
        <v>0</v>
      </c>
      <c r="H409" t="n">
        <v>0.15844</v>
      </c>
      <c r="I409" t="n">
        <v>0.15688</v>
      </c>
      <c r="J409" t="n">
        <v>0.00156</v>
      </c>
      <c r="K409" s="4">
        <f>IFERROR(J409/I409,"")</f>
        <v/>
      </c>
      <c r="L409" s="4">
        <f>IFERROR((D409-E409)/E409,"")</f>
        <v/>
      </c>
      <c r="M409" s="19">
        <f>IFERROR(F409*G409/10000,"")</f>
        <v/>
      </c>
    </row>
    <row r="410">
      <c r="A410" t="inlineStr">
        <is>
          <t>2026-10-30</t>
        </is>
      </c>
      <c r="B410" t="inlineStr">
        <is>
          <t>159631</t>
        </is>
      </c>
      <c r="C410" t="inlineStr">
        <is>
          <t>A100ETF招商</t>
        </is>
      </c>
      <c r="D410" t="n">
        <v>4133.2605</v>
      </c>
      <c r="E410" t="n">
        <v>4133.2605</v>
      </c>
      <c r="F410" t="n">
        <v>1.098</v>
      </c>
      <c r="G410" t="n">
        <v>0</v>
      </c>
      <c r="H410" t="n">
        <v>0.453832</v>
      </c>
      <c r="I410" t="n">
        <v>0.449161</v>
      </c>
      <c r="J410" t="n">
        <v>0.004671</v>
      </c>
      <c r="K410" s="4">
        <f>IFERROR(J410/I410,"")</f>
        <v/>
      </c>
      <c r="L410" s="4">
        <f>IFERROR((D410-E410)/E410,"")</f>
        <v/>
      </c>
      <c r="M410" s="19">
        <f>IFERROR(F410*G410/10000,"")</f>
        <v/>
      </c>
    </row>
    <row r="411">
      <c r="A411" t="inlineStr">
        <is>
          <t>2026-10-30</t>
        </is>
      </c>
      <c r="B411" t="inlineStr">
        <is>
          <t>159632</t>
        </is>
      </c>
      <c r="C411" t="inlineStr">
        <is>
          <t>纳斯达克ETF华安</t>
        </is>
      </c>
      <c r="D411" t="n">
        <v>525072.064</v>
      </c>
      <c r="E411" t="n">
        <v>524072.064</v>
      </c>
      <c r="F411" t="n">
        <v>2.2539</v>
      </c>
      <c r="G411" t="n">
        <v>1000</v>
      </c>
      <c r="H411" t="n">
        <v>118.345993</v>
      </c>
      <c r="I411" t="n">
        <v>116.611275</v>
      </c>
      <c r="J411" t="n">
        <v>1.734718</v>
      </c>
      <c r="K411" s="4">
        <f>IFERROR(J411/I411,"")</f>
        <v/>
      </c>
      <c r="L411" s="4">
        <f>IFERROR((D411-E411)/E411,"")</f>
        <v/>
      </c>
      <c r="M411" s="19">
        <f>IFERROR(F411*G411/10000,"")</f>
        <v/>
      </c>
    </row>
    <row r="412">
      <c r="A412" t="inlineStr">
        <is>
          <t>2026-10-30</t>
        </is>
      </c>
      <c r="B412" t="inlineStr">
        <is>
          <t>159633</t>
        </is>
      </c>
      <c r="C412" t="inlineStr">
        <is>
          <t>中证1000ETF易方达</t>
        </is>
      </c>
      <c r="D412" t="n">
        <v>109216.2658</v>
      </c>
      <c r="E412" t="n">
        <v>125016.2658</v>
      </c>
      <c r="F412" t="n">
        <v>2.8236</v>
      </c>
      <c r="G412" t="n">
        <v>-15800</v>
      </c>
      <c r="H412" t="n">
        <v>30.838305</v>
      </c>
      <c r="I412" t="n">
        <v>34.51074</v>
      </c>
      <c r="J412" t="n">
        <v>-3.672435</v>
      </c>
      <c r="K412" s="4">
        <f>IFERROR(J412/I412,"")</f>
        <v/>
      </c>
      <c r="L412" s="4">
        <f>IFERROR((D412-E412)/E412,"")</f>
        <v/>
      </c>
      <c r="M412" s="19">
        <f>IFERROR(F412*G412/10000,"")</f>
        <v/>
      </c>
    </row>
    <row r="413">
      <c r="A413" t="inlineStr">
        <is>
          <t>2026-10-30</t>
        </is>
      </c>
      <c r="B413" t="inlineStr">
        <is>
          <t>159635</t>
        </is>
      </c>
      <c r="C413" t="inlineStr">
        <is>
          <t>基建ETF华夏</t>
        </is>
      </c>
      <c r="D413" t="n">
        <v>14184.698</v>
      </c>
      <c r="E413" t="n">
        <v>14184.698</v>
      </c>
      <c r="F413" t="n">
        <v>0.9296</v>
      </c>
      <c r="G413" t="n">
        <v>0</v>
      </c>
      <c r="H413" t="n">
        <v>1.31861</v>
      </c>
      <c r="I413" t="n">
        <v>1.313503</v>
      </c>
      <c r="J413" t="n">
        <v>0.005107</v>
      </c>
      <c r="K413" s="4">
        <f>IFERROR(J413/I413,"")</f>
        <v/>
      </c>
      <c r="L413" s="4">
        <f>IFERROR((D413-E413)/E413,"")</f>
        <v/>
      </c>
      <c r="M413" s="19">
        <f>IFERROR(F413*G413/10000,"")</f>
        <v/>
      </c>
    </row>
    <row r="414">
      <c r="A414" t="inlineStr">
        <is>
          <t>2026-10-30</t>
        </is>
      </c>
      <c r="B414" t="inlineStr">
        <is>
          <t>159636</t>
        </is>
      </c>
      <c r="C414" t="inlineStr">
        <is>
          <t>港股通科技30ETF工银</t>
        </is>
      </c>
      <c r="D414" t="n">
        <v>1954650.1206</v>
      </c>
      <c r="E414" t="n">
        <v>1974650.1206</v>
      </c>
      <c r="F414" t="n">
        <v>0.4452</v>
      </c>
      <c r="G414" t="n">
        <v>-20000</v>
      </c>
      <c r="H414" t="n">
        <v>87.021023</v>
      </c>
      <c r="I414" t="n">
        <v>86.70688699999999</v>
      </c>
      <c r="J414" t="n">
        <v>0.314136</v>
      </c>
      <c r="K414" s="4">
        <f>IFERROR(J414/I414,"")</f>
        <v/>
      </c>
      <c r="L414" s="4">
        <f>IFERROR((D414-E414)/E414,"")</f>
        <v/>
      </c>
      <c r="M414" s="19">
        <f>IFERROR(F414*G414/10000,"")</f>
        <v/>
      </c>
    </row>
    <row r="415">
      <c r="A415" t="inlineStr">
        <is>
          <t>2026-10-30</t>
        </is>
      </c>
      <c r="B415" t="inlineStr">
        <is>
          <t>159637</t>
        </is>
      </c>
      <c r="C415" t="inlineStr">
        <is>
          <t>新能源车ETF东财</t>
        </is>
      </c>
      <c r="D415" t="n">
        <v>64376.8094</v>
      </c>
      <c r="E415" t="n">
        <v>63976.8094</v>
      </c>
      <c r="F415" t="n">
        <v>0.6651</v>
      </c>
      <c r="G415" t="n">
        <v>400</v>
      </c>
      <c r="H415" t="n">
        <v>4.281702</v>
      </c>
      <c r="I415" t="n">
        <v>4.189201</v>
      </c>
      <c r="J415" t="n">
        <v>0.092501</v>
      </c>
      <c r="K415" s="4">
        <f>IFERROR(J415/I415,"")</f>
        <v/>
      </c>
      <c r="L415" s="4">
        <f>IFERROR((D415-E415)/E415,"")</f>
        <v/>
      </c>
      <c r="M415" s="19">
        <f>IFERROR(F415*G415/10000,"")</f>
        <v/>
      </c>
    </row>
    <row r="416">
      <c r="A416" t="inlineStr">
        <is>
          <t>2026-10-30</t>
        </is>
      </c>
      <c r="B416" t="inlineStr">
        <is>
          <t>159638</t>
        </is>
      </c>
      <c r="C416" t="inlineStr">
        <is>
          <t>航空航天ETF嘉实</t>
        </is>
      </c>
      <c r="D416" t="n">
        <v>140534.1932</v>
      </c>
      <c r="E416" t="n">
        <v>141034.1932</v>
      </c>
      <c r="F416" t="n">
        <v>0.7746</v>
      </c>
      <c r="G416" t="n">
        <v>-500</v>
      </c>
      <c r="H416" t="n">
        <v>10.885779</v>
      </c>
      <c r="I416" t="n">
        <v>10.798988</v>
      </c>
      <c r="J416" t="n">
        <v>0.08679099999999999</v>
      </c>
      <c r="K416" s="4">
        <f>IFERROR(J416/I416,"")</f>
        <v/>
      </c>
      <c r="L416" s="4">
        <f>IFERROR((D416-E416)/E416,"")</f>
        <v/>
      </c>
      <c r="M416" s="19">
        <f>IFERROR(F416*G416/10000,"")</f>
        <v/>
      </c>
    </row>
    <row r="417">
      <c r="A417" t="inlineStr">
        <is>
          <t>2026-10-30</t>
        </is>
      </c>
      <c r="B417" t="inlineStr">
        <is>
          <t>159639</t>
        </is>
      </c>
      <c r="C417" t="inlineStr">
        <is>
          <t>碳中和ETF南方</t>
        </is>
      </c>
      <c r="D417" t="n">
        <v>20329.0171</v>
      </c>
      <c r="E417" t="n">
        <v>20329.0171</v>
      </c>
      <c r="F417" t="n">
        <v>0.8185</v>
      </c>
      <c r="G417" t="n">
        <v>0</v>
      </c>
      <c r="H417" t="n">
        <v>1.66393</v>
      </c>
      <c r="I417" t="n">
        <v>1.658035</v>
      </c>
      <c r="J417" t="n">
        <v>0.005895</v>
      </c>
      <c r="K417" s="4">
        <f>IFERROR(J417/I417,"")</f>
        <v/>
      </c>
      <c r="L417" s="4">
        <f>IFERROR((D417-E417)/E417,"")</f>
        <v/>
      </c>
      <c r="M417" s="19">
        <f>IFERROR(F417*G417/10000,"")</f>
        <v/>
      </c>
    </row>
    <row r="418">
      <c r="A418" t="inlineStr">
        <is>
          <t>2026-10-30</t>
        </is>
      </c>
      <c r="B418" t="inlineStr">
        <is>
          <t>159640</t>
        </is>
      </c>
      <c r="C418" t="inlineStr">
        <is>
          <t>碳中和龙头ETF工银</t>
        </is>
      </c>
      <c r="D418" t="n">
        <v>6084.5198</v>
      </c>
      <c r="E418" t="n">
        <v>6084.5198</v>
      </c>
      <c r="F418" t="n">
        <v>0.7974</v>
      </c>
      <c r="G418" t="n">
        <v>0</v>
      </c>
      <c r="H418" t="n">
        <v>0.48518</v>
      </c>
      <c r="I418" t="n">
        <v>0.483476</v>
      </c>
      <c r="J418" t="n">
        <v>0.001704</v>
      </c>
      <c r="K418" s="4">
        <f>IFERROR(J418/I418,"")</f>
        <v/>
      </c>
      <c r="L418" s="4">
        <f>IFERROR((D418-E418)/E418,"")</f>
        <v/>
      </c>
      <c r="M418" s="19">
        <f>IFERROR(F418*G418/10000,"")</f>
        <v/>
      </c>
    </row>
    <row r="419">
      <c r="A419" t="inlineStr">
        <is>
          <t>2026-10-30</t>
        </is>
      </c>
      <c r="B419" t="inlineStr">
        <is>
          <t>159641</t>
        </is>
      </c>
      <c r="C419" t="inlineStr">
        <is>
          <t>碳中和ETF招商</t>
        </is>
      </c>
      <c r="D419" t="n">
        <v>8771.9131</v>
      </c>
      <c r="E419" t="n">
        <v>8771.9131</v>
      </c>
      <c r="F419" t="n">
        <v>0.8469</v>
      </c>
      <c r="G419" t="n">
        <v>0</v>
      </c>
      <c r="H419" t="n">
        <v>0.742893</v>
      </c>
      <c r="I419" t="n">
        <v>0.740349</v>
      </c>
      <c r="J419" t="n">
        <v>0.002544</v>
      </c>
      <c r="K419" s="4">
        <f>IFERROR(J419/I419,"")</f>
        <v/>
      </c>
      <c r="L419" s="4">
        <f>IFERROR((D419-E419)/E419,"")</f>
        <v/>
      </c>
      <c r="M419" s="19">
        <f>IFERROR(F419*G419/10000,"")</f>
        <v/>
      </c>
    </row>
    <row r="420">
      <c r="A420" t="inlineStr">
        <is>
          <t>2026-10-30</t>
        </is>
      </c>
      <c r="B420" t="inlineStr">
        <is>
          <t>159642</t>
        </is>
      </c>
      <c r="C420" t="inlineStr">
        <is>
          <t>碳中和ETF大成</t>
        </is>
      </c>
      <c r="D420" t="n">
        <v>2343.9923</v>
      </c>
      <c r="E420" t="n">
        <v>2343.9923</v>
      </c>
      <c r="F420" t="n">
        <v>0.8037</v>
      </c>
      <c r="G420" t="n">
        <v>0</v>
      </c>
      <c r="H420" t="n">
        <v>0.188387</v>
      </c>
      <c r="I420" t="n">
        <v>0.18773</v>
      </c>
      <c r="J420" t="n">
        <v>0.000657</v>
      </c>
      <c r="K420" s="4">
        <f>IFERROR(J420/I420,"")</f>
        <v/>
      </c>
      <c r="L420" s="4">
        <f>IFERROR((D420-E420)/E420,"")</f>
        <v/>
      </c>
      <c r="M420" s="19">
        <f>IFERROR(F420*G420/10000,"")</f>
        <v/>
      </c>
    </row>
    <row r="421">
      <c r="A421" t="inlineStr">
        <is>
          <t>2026-10-30</t>
        </is>
      </c>
      <c r="B421" t="inlineStr">
        <is>
          <t>159643</t>
        </is>
      </c>
      <c r="C421" t="inlineStr">
        <is>
          <t>疫苗ETF国泰</t>
        </is>
      </c>
      <c r="D421" t="n">
        <v>26139.0617</v>
      </c>
      <c r="E421" t="n">
        <v>26139.0617</v>
      </c>
      <c r="F421" t="n">
        <v>0.5271</v>
      </c>
      <c r="G421" t="n">
        <v>0</v>
      </c>
      <c r="H421" t="n">
        <v>1.37779</v>
      </c>
      <c r="I421" t="n">
        <v>1.36655</v>
      </c>
      <c r="J421" t="n">
        <v>0.01124</v>
      </c>
      <c r="K421" s="4">
        <f>IFERROR(J421/I421,"")</f>
        <v/>
      </c>
      <c r="L421" s="4">
        <f>IFERROR((D421-E421)/E421,"")</f>
        <v/>
      </c>
      <c r="M421" s="19">
        <f>IFERROR(F421*G421/10000,"")</f>
        <v/>
      </c>
    </row>
    <row r="422">
      <c r="A422" t="inlineStr">
        <is>
          <t>2026-10-30</t>
        </is>
      </c>
      <c r="B422" t="inlineStr">
        <is>
          <t>159645</t>
        </is>
      </c>
      <c r="C422" t="inlineStr">
        <is>
          <t>疫苗ETF富国</t>
        </is>
      </c>
      <c r="D422" t="n">
        <v>6254.074</v>
      </c>
      <c r="E422" t="n">
        <v>6254.074</v>
      </c>
      <c r="F422" t="n">
        <v>0.5858</v>
      </c>
      <c r="G422" t="n">
        <v>0</v>
      </c>
      <c r="H422" t="n">
        <v>0.366364</v>
      </c>
      <c r="I422" t="n">
        <v>0.363487</v>
      </c>
      <c r="J422" t="n">
        <v>0.002877</v>
      </c>
      <c r="K422" s="4">
        <f>IFERROR(J422/I422,"")</f>
        <v/>
      </c>
      <c r="L422" s="4">
        <f>IFERROR((D422-E422)/E422,"")</f>
        <v/>
      </c>
      <c r="M422" s="19">
        <f>IFERROR(F422*G422/10000,"")</f>
        <v/>
      </c>
    </row>
    <row r="423">
      <c r="A423" t="inlineStr">
        <is>
          <t>2026-10-30</t>
        </is>
      </c>
      <c r="B423" t="inlineStr">
        <is>
          <t>159647</t>
        </is>
      </c>
      <c r="C423" t="inlineStr">
        <is>
          <t>中药ETF鹏华</t>
        </is>
      </c>
      <c r="D423" t="n">
        <v>98996.1752</v>
      </c>
      <c r="E423" t="n">
        <v>99296.1752</v>
      </c>
      <c r="F423" t="n">
        <v>0.878</v>
      </c>
      <c r="G423" t="n">
        <v>-300</v>
      </c>
      <c r="H423" t="n">
        <v>8.691864000000001</v>
      </c>
      <c r="I423" t="n">
        <v>8.727141</v>
      </c>
      <c r="J423" t="n">
        <v>-0.035277</v>
      </c>
      <c r="K423" s="4">
        <f>IFERROR(J423/I423,"")</f>
        <v/>
      </c>
      <c r="L423" s="4">
        <f>IFERROR((D423-E423)/E423,"")</f>
        <v/>
      </c>
      <c r="M423" s="19">
        <f>IFERROR(F423*G423/10000,"")</f>
        <v/>
      </c>
    </row>
    <row r="424">
      <c r="A424" t="inlineStr">
        <is>
          <t>2026-10-30</t>
        </is>
      </c>
      <c r="B424" t="inlineStr">
        <is>
          <t>159649</t>
        </is>
      </c>
      <c r="C424" t="inlineStr">
        <is>
          <t>国开债ETF华安</t>
        </is>
      </c>
      <c r="D424" t="n">
        <v>5441.1877</v>
      </c>
      <c r="E424" t="n">
        <v>5441.1877</v>
      </c>
      <c r="F424" t="n">
        <v>110.8028</v>
      </c>
      <c r="G424" t="n">
        <v>0</v>
      </c>
      <c r="H424" t="n">
        <v>60.289883</v>
      </c>
      <c r="I424" t="n">
        <v>60.284061</v>
      </c>
      <c r="J424" t="n">
        <v>0.005822</v>
      </c>
      <c r="K424" s="4">
        <f>IFERROR(J424/I424,"")</f>
        <v/>
      </c>
      <c r="L424" s="4">
        <f>IFERROR((D424-E424)/E424,"")</f>
        <v/>
      </c>
      <c r="M424" s="19">
        <f>IFERROR(F424*G424/10000,"")</f>
        <v/>
      </c>
    </row>
    <row r="425">
      <c r="A425" t="inlineStr">
        <is>
          <t>2026-10-30</t>
        </is>
      </c>
      <c r="B425" t="inlineStr">
        <is>
          <t>159650</t>
        </is>
      </c>
      <c r="C425" t="inlineStr">
        <is>
          <t>国开债ETF博时</t>
        </is>
      </c>
      <c r="D425" t="n">
        <v>4809.0196</v>
      </c>
      <c r="E425" t="n">
        <v>4849.0196</v>
      </c>
      <c r="F425" t="n">
        <v>108.3061</v>
      </c>
      <c r="G425" t="n">
        <v>-40</v>
      </c>
      <c r="H425" t="n">
        <v>52.084616</v>
      </c>
      <c r="I425" t="n">
        <v>52.513864</v>
      </c>
      <c r="J425" t="n">
        <v>-0.429248</v>
      </c>
      <c r="K425" s="4">
        <f>IFERROR(J425/I425,"")</f>
        <v/>
      </c>
      <c r="L425" s="4">
        <f>IFERROR((D425-E425)/E425,"")</f>
        <v/>
      </c>
      <c r="M425" s="19">
        <f>IFERROR(F425*G425/10000,"")</f>
        <v/>
      </c>
    </row>
    <row r="426">
      <c r="A426" t="inlineStr">
        <is>
          <t>2026-10-30</t>
        </is>
      </c>
      <c r="B426" t="inlineStr">
        <is>
          <t>159651</t>
        </is>
      </c>
      <c r="C426" t="inlineStr">
        <is>
          <t>国开债ETF平安</t>
        </is>
      </c>
      <c r="D426" t="n">
        <v>1040.6448</v>
      </c>
      <c r="E426" t="n">
        <v>1050.6448</v>
      </c>
      <c r="F426" t="n">
        <v>108.3782</v>
      </c>
      <c r="G426" t="n">
        <v>-10</v>
      </c>
      <c r="H426" t="n">
        <v>11.278321</v>
      </c>
      <c r="I426" t="n">
        <v>11.385827</v>
      </c>
      <c r="J426" t="n">
        <v>-0.107506</v>
      </c>
      <c r="K426" s="4">
        <f>IFERROR(J426/I426,"")</f>
        <v/>
      </c>
      <c r="L426" s="4">
        <f>IFERROR((D426-E426)/E426,"")</f>
        <v/>
      </c>
      <c r="M426" s="19">
        <f>IFERROR(F426*G426/10000,"")</f>
        <v/>
      </c>
    </row>
    <row r="427">
      <c r="A427" t="inlineStr">
        <is>
          <t>2026-10-30</t>
        </is>
      </c>
      <c r="B427" t="inlineStr">
        <is>
          <t>159652</t>
        </is>
      </c>
      <c r="C427" t="inlineStr">
        <is>
          <t>有色ETF汇添富</t>
        </is>
      </c>
      <c r="D427" t="n">
        <v>162532.0287</v>
      </c>
      <c r="E427" t="n">
        <v>163332.0287</v>
      </c>
      <c r="F427" t="n">
        <v>1.3213</v>
      </c>
      <c r="G427" t="n">
        <v>-800</v>
      </c>
      <c r="H427" t="n">
        <v>21.475357</v>
      </c>
      <c r="I427" t="n">
        <v>21.553295</v>
      </c>
      <c r="J427" t="n">
        <v>-0.07793799999999999</v>
      </c>
      <c r="K427" s="4">
        <f>IFERROR(J427/I427,"")</f>
        <v/>
      </c>
      <c r="L427" s="4">
        <f>IFERROR((D427-E427)/E427,"")</f>
        <v/>
      </c>
      <c r="M427" s="19">
        <f>IFERROR(F427*G427/10000,"")</f>
        <v/>
      </c>
    </row>
    <row r="428">
      <c r="A428" t="inlineStr">
        <is>
          <t>2026-10-30</t>
        </is>
      </c>
      <c r="B428" t="inlineStr">
        <is>
          <t>159653</t>
        </is>
      </c>
      <c r="C428" t="inlineStr">
        <is>
          <t>ESG300ETF国联安</t>
        </is>
      </c>
      <c r="D428" t="n">
        <v>5597.2068</v>
      </c>
      <c r="E428" t="n">
        <v>5297.2068</v>
      </c>
      <c r="F428" t="n">
        <v>1.0681</v>
      </c>
      <c r="G428" t="n">
        <v>300</v>
      </c>
      <c r="H428" t="n">
        <v>0.597838</v>
      </c>
      <c r="I428" t="n">
        <v>0.561557</v>
      </c>
      <c r="J428" t="n">
        <v>0.036281</v>
      </c>
      <c r="K428" s="4">
        <f>IFERROR(J428/I428,"")</f>
        <v/>
      </c>
      <c r="L428" s="4">
        <f>IFERROR((D428-E428)/E428,"")</f>
        <v/>
      </c>
      <c r="M428" s="19">
        <f>IFERROR(F428*G428/10000,"")</f>
        <v/>
      </c>
    </row>
    <row r="429">
      <c r="A429" t="inlineStr">
        <is>
          <t>2026-10-30</t>
        </is>
      </c>
      <c r="B429" t="inlineStr">
        <is>
          <t>159655</t>
        </is>
      </c>
      <c r="C429" t="inlineStr">
        <is>
          <t>标普500ETF华夏</t>
        </is>
      </c>
      <c r="D429" t="n">
        <v>228414.3045</v>
      </c>
      <c r="E429" t="n">
        <v>228314.3045</v>
      </c>
      <c r="F429" t="n">
        <v>1.8743</v>
      </c>
      <c r="G429" t="n">
        <v>100</v>
      </c>
      <c r="H429" t="n">
        <v>42.811693</v>
      </c>
      <c r="I429" t="n">
        <v>42.539521</v>
      </c>
      <c r="J429" t="n">
        <v>0.272172</v>
      </c>
      <c r="K429" s="4">
        <f>IFERROR(J429/I429,"")</f>
        <v/>
      </c>
      <c r="L429" s="4">
        <f>IFERROR((D429-E429)/E429,"")</f>
        <v/>
      </c>
      <c r="M429" s="19">
        <f>IFERROR(F429*G429/10000,"")</f>
        <v/>
      </c>
    </row>
    <row r="430">
      <c r="A430" t="inlineStr">
        <is>
          <t>2026-10-30</t>
        </is>
      </c>
      <c r="B430" t="inlineStr">
        <is>
          <t>159656</t>
        </is>
      </c>
      <c r="C430" t="inlineStr">
        <is>
          <t>沪深300成长ETF万家</t>
        </is>
      </c>
      <c r="D430" t="n">
        <v>22823.8451</v>
      </c>
      <c r="E430" t="n">
        <v>22823.8451</v>
      </c>
      <c r="F430" t="n">
        <v>1.0012</v>
      </c>
      <c r="G430" t="n">
        <v>0</v>
      </c>
      <c r="H430" t="n">
        <v>2.285123</v>
      </c>
      <c r="I430" t="n">
        <v>2.240389</v>
      </c>
      <c r="J430" t="n">
        <v>0.044734</v>
      </c>
      <c r="K430" s="4">
        <f>IFERROR(J430/I430,"")</f>
        <v/>
      </c>
      <c r="L430" s="4">
        <f>IFERROR((D430-E430)/E430,"")</f>
        <v/>
      </c>
      <c r="M430" s="19">
        <f>IFERROR(F430*G430/10000,"")</f>
        <v/>
      </c>
    </row>
    <row r="431">
      <c r="A431" t="inlineStr">
        <is>
          <t>2026-10-30</t>
        </is>
      </c>
      <c r="B431" t="inlineStr">
        <is>
          <t>159657</t>
        </is>
      </c>
      <c r="C431" t="inlineStr">
        <is>
          <t>疫苗ETF鹏华</t>
        </is>
      </c>
      <c r="D431" t="n">
        <v>15751.4819</v>
      </c>
      <c r="E431" t="n">
        <v>15951.4819</v>
      </c>
      <c r="F431" t="n">
        <v>0.5647</v>
      </c>
      <c r="G431" t="n">
        <v>-200</v>
      </c>
      <c r="H431" t="n">
        <v>0.889486</v>
      </c>
      <c r="I431" t="n">
        <v>0.893602</v>
      </c>
      <c r="J431" t="n">
        <v>-0.004116</v>
      </c>
      <c r="K431" s="4">
        <f>IFERROR(J431/I431,"")</f>
        <v/>
      </c>
      <c r="L431" s="4">
        <f>IFERROR((D431-E431)/E431,"")</f>
        <v/>
      </c>
      <c r="M431" s="19">
        <f>IFERROR(F431*G431/10000,"")</f>
        <v/>
      </c>
    </row>
    <row r="432">
      <c r="A432" t="inlineStr">
        <is>
          <t>2026-10-30</t>
        </is>
      </c>
      <c r="B432" t="inlineStr">
        <is>
          <t>159658</t>
        </is>
      </c>
      <c r="C432" t="inlineStr">
        <is>
          <t>数字经济ETF华安</t>
        </is>
      </c>
      <c r="D432" t="n">
        <v>4589.4877</v>
      </c>
      <c r="E432" t="n">
        <v>4589.4877</v>
      </c>
      <c r="F432" t="n">
        <v>1.4152</v>
      </c>
      <c r="G432" t="n">
        <v>0</v>
      </c>
      <c r="H432" t="n">
        <v>0.649504</v>
      </c>
      <c r="I432" t="n">
        <v>0.631009</v>
      </c>
      <c r="J432" t="n">
        <v>0.018495</v>
      </c>
      <c r="K432" s="4">
        <f>IFERROR(J432/I432,"")</f>
        <v/>
      </c>
      <c r="L432" s="4">
        <f>IFERROR((D432-E432)/E432,"")</f>
        <v/>
      </c>
      <c r="M432" s="19">
        <f>IFERROR(F432*G432/10000,"")</f>
        <v/>
      </c>
    </row>
    <row r="433">
      <c r="A433" t="inlineStr">
        <is>
          <t>2026-10-30</t>
        </is>
      </c>
      <c r="B433" t="inlineStr">
        <is>
          <t>159659</t>
        </is>
      </c>
      <c r="C433" t="inlineStr">
        <is>
          <t>纳斯达克100ETF招商</t>
        </is>
      </c>
      <c r="D433" t="n">
        <v>477274.4064</v>
      </c>
      <c r="E433" t="n">
        <v>476774.4064</v>
      </c>
      <c r="F433" t="n">
        <v>2.1442</v>
      </c>
      <c r="G433" t="n">
        <v>500</v>
      </c>
      <c r="H433" t="n">
        <v>102.337178</v>
      </c>
      <c r="I433" t="n">
        <v>100.918839</v>
      </c>
      <c r="J433" t="n">
        <v>1.418339</v>
      </c>
      <c r="K433" s="4">
        <f>IFERROR(J433/I433,"")</f>
        <v/>
      </c>
      <c r="L433" s="4">
        <f>IFERROR((D433-E433)/E433,"")</f>
        <v/>
      </c>
      <c r="M433" s="19">
        <f>IFERROR(F433*G433/10000,"")</f>
        <v/>
      </c>
    </row>
    <row r="434">
      <c r="A434" t="inlineStr">
        <is>
          <t>2026-10-30</t>
        </is>
      </c>
      <c r="B434" t="inlineStr">
        <is>
          <t>159660</t>
        </is>
      </c>
      <c r="C434" t="inlineStr">
        <is>
          <t>纳指ETF汇添富</t>
        </is>
      </c>
      <c r="D434" t="n">
        <v>258915.1363</v>
      </c>
      <c r="E434" t="n">
        <v>258915.1363</v>
      </c>
      <c r="F434" t="n">
        <v>2.1678</v>
      </c>
      <c r="G434" t="n">
        <v>0</v>
      </c>
      <c r="H434" t="n">
        <v>56.127623</v>
      </c>
      <c r="I434" t="n">
        <v>55.40525</v>
      </c>
      <c r="J434" t="n">
        <v>0.722373</v>
      </c>
      <c r="K434" s="4">
        <f>IFERROR(J434/I434,"")</f>
        <v/>
      </c>
      <c r="L434" s="4">
        <f>IFERROR((D434-E434)/E434,"")</f>
        <v/>
      </c>
      <c r="M434" s="19">
        <f>IFERROR(F434*G434/10000,"")</f>
        <v/>
      </c>
    </row>
    <row r="435">
      <c r="A435" t="inlineStr">
        <is>
          <t>2026-10-30</t>
        </is>
      </c>
      <c r="B435" t="inlineStr">
        <is>
          <t>159661</t>
        </is>
      </c>
      <c r="C435" t="inlineStr">
        <is>
          <t>A100ETF嘉实</t>
        </is>
      </c>
      <c r="D435" t="n">
        <v>2120.8213</v>
      </c>
      <c r="E435" t="n">
        <v>2120.8213</v>
      </c>
      <c r="F435" t="n">
        <v>1.2595</v>
      </c>
      <c r="G435" t="n">
        <v>0</v>
      </c>
      <c r="H435" t="n">
        <v>0.267117</v>
      </c>
      <c r="I435" t="n">
        <v>0.26436</v>
      </c>
      <c r="J435" t="n">
        <v>0.002757</v>
      </c>
      <c r="K435" s="4">
        <f>IFERROR(J435/I435,"")</f>
        <v/>
      </c>
      <c r="L435" s="4">
        <f>IFERROR((D435-E435)/E435,"")</f>
        <v/>
      </c>
      <c r="M435" s="19">
        <f>IFERROR(F435*G435/10000,"")</f>
        <v/>
      </c>
    </row>
    <row r="436">
      <c r="A436" t="inlineStr">
        <is>
          <t>2026-10-30</t>
        </is>
      </c>
      <c r="B436" t="inlineStr">
        <is>
          <t>159662</t>
        </is>
      </c>
      <c r="C436" t="inlineStr">
        <is>
          <t>交运ETF南方</t>
        </is>
      </c>
      <c r="D436" t="n">
        <v>7911.3946</v>
      </c>
      <c r="E436" t="n">
        <v>7911.3946</v>
      </c>
      <c r="F436" t="n">
        <v>0.9694</v>
      </c>
      <c r="G436" t="n">
        <v>0</v>
      </c>
      <c r="H436" t="n">
        <v>0.766931</v>
      </c>
      <c r="I436" t="n">
        <v>0.771361</v>
      </c>
      <c r="J436" t="n">
        <v>-0.00443</v>
      </c>
      <c r="K436" s="4">
        <f>IFERROR(J436/I436,"")</f>
        <v/>
      </c>
      <c r="L436" s="4">
        <f>IFERROR((D436-E436)/E436,"")</f>
        <v/>
      </c>
      <c r="M436" s="19">
        <f>IFERROR(F436*G436/10000,"")</f>
        <v/>
      </c>
    </row>
    <row r="437">
      <c r="A437" t="inlineStr">
        <is>
          <t>2026-10-30</t>
        </is>
      </c>
      <c r="B437" t="inlineStr">
        <is>
          <t>159663</t>
        </is>
      </c>
      <c r="C437" t="inlineStr">
        <is>
          <t>机床ETF华夏</t>
        </is>
      </c>
      <c r="D437" t="n">
        <v>40103.517</v>
      </c>
      <c r="E437" t="n">
        <v>40503.517</v>
      </c>
      <c r="F437" t="n">
        <v>0.7941</v>
      </c>
      <c r="G437" t="n">
        <v>-400</v>
      </c>
      <c r="H437" t="n">
        <v>3.18462</v>
      </c>
      <c r="I437" t="n">
        <v>3.085963</v>
      </c>
      <c r="J437" t="n">
        <v>0.09865699999999999</v>
      </c>
      <c r="K437" s="4">
        <f>IFERROR(J437/I437,"")</f>
        <v/>
      </c>
      <c r="L437" s="4">
        <f>IFERROR((D437-E437)/E437,"")</f>
        <v/>
      </c>
      <c r="M437" s="19">
        <f>IFERROR(F437*G437/10000,"")</f>
        <v/>
      </c>
    </row>
    <row r="438">
      <c r="A438" t="inlineStr">
        <is>
          <t>2026-10-30</t>
        </is>
      </c>
      <c r="B438" t="inlineStr">
        <is>
          <t>159665</t>
        </is>
      </c>
      <c r="C438" t="inlineStr">
        <is>
          <t>半导体龙头ETF工银</t>
        </is>
      </c>
      <c r="D438" t="n">
        <v>26257.686</v>
      </c>
      <c r="E438" t="n">
        <v>26057.686</v>
      </c>
      <c r="F438" t="n">
        <v>1.8519</v>
      </c>
      <c r="G438" t="n">
        <v>200</v>
      </c>
      <c r="H438" t="n">
        <v>4.862661</v>
      </c>
      <c r="I438" t="n">
        <v>4.634359</v>
      </c>
      <c r="J438" t="n">
        <v>0.228302</v>
      </c>
      <c r="K438" s="4">
        <f>IFERROR(J438/I438,"")</f>
        <v/>
      </c>
      <c r="L438" s="4">
        <f>IFERROR((D438-E438)/E438,"")</f>
        <v/>
      </c>
      <c r="M438" s="19">
        <f>IFERROR(F438*G438/10000,"")</f>
        <v/>
      </c>
    </row>
    <row r="439">
      <c r="A439" t="inlineStr">
        <is>
          <t>2026-10-30</t>
        </is>
      </c>
      <c r="B439" t="inlineStr">
        <is>
          <t>159666</t>
        </is>
      </c>
      <c r="C439" t="inlineStr">
        <is>
          <t>交通运输ETF华夏</t>
        </is>
      </c>
      <c r="D439" t="n">
        <v>8983.290499999999</v>
      </c>
      <c r="E439" t="n">
        <v>8983.290499999999</v>
      </c>
      <c r="F439" t="n">
        <v>0.9668</v>
      </c>
      <c r="G439" t="n">
        <v>0</v>
      </c>
      <c r="H439" t="n">
        <v>0.868505</v>
      </c>
      <c r="I439" t="n">
        <v>0.872457</v>
      </c>
      <c r="J439" t="n">
        <v>-0.003952</v>
      </c>
      <c r="K439" s="4">
        <f>IFERROR(J439/I439,"")</f>
        <v/>
      </c>
      <c r="L439" s="4">
        <f>IFERROR((D439-E439)/E439,"")</f>
        <v/>
      </c>
      <c r="M439" s="19">
        <f>IFERROR(F439*G439/10000,"")</f>
        <v/>
      </c>
    </row>
    <row r="440">
      <c r="A440" t="inlineStr">
        <is>
          <t>2026-10-30</t>
        </is>
      </c>
      <c r="B440" t="inlineStr">
        <is>
          <t>159667</t>
        </is>
      </c>
      <c r="C440" t="inlineStr">
        <is>
          <t>工业母机ETF国泰</t>
        </is>
      </c>
      <c r="D440" t="n">
        <v>327605.0718</v>
      </c>
      <c r="E440" t="n">
        <v>326405.0718</v>
      </c>
      <c r="F440" t="n">
        <v>0.5266</v>
      </c>
      <c r="G440" t="n">
        <v>1200</v>
      </c>
      <c r="H440" t="n">
        <v>17.251683</v>
      </c>
      <c r="I440" t="n">
        <v>16.496512</v>
      </c>
      <c r="J440" t="n">
        <v>0.755171</v>
      </c>
      <c r="K440" s="4">
        <f>IFERROR(J440/I440,"")</f>
        <v/>
      </c>
      <c r="L440" s="4">
        <f>IFERROR((D440-E440)/E440,"")</f>
        <v/>
      </c>
      <c r="M440" s="19">
        <f>IFERROR(F440*G440/10000,"")</f>
        <v/>
      </c>
    </row>
    <row r="441">
      <c r="A441" t="inlineStr">
        <is>
          <t>2026-10-30</t>
        </is>
      </c>
      <c r="B441" t="inlineStr">
        <is>
          <t>159669</t>
        </is>
      </c>
      <c r="C441" t="inlineStr">
        <is>
          <t>绿色电力ETF国泰</t>
        </is>
      </c>
      <c r="D441" t="n">
        <v>17175.4781</v>
      </c>
      <c r="E441" t="n">
        <v>17325.4781</v>
      </c>
      <c r="F441" t="n">
        <v>1.0939</v>
      </c>
      <c r="G441" t="n">
        <v>-150</v>
      </c>
      <c r="H441" t="n">
        <v>1.878826</v>
      </c>
      <c r="I441" t="n">
        <v>1.885185</v>
      </c>
      <c r="J441" t="n">
        <v>-0.006359</v>
      </c>
      <c r="K441" s="4">
        <f>IFERROR(J441/I441,"")</f>
        <v/>
      </c>
      <c r="L441" s="4">
        <f>IFERROR((D441-E441)/E441,"")</f>
        <v/>
      </c>
      <c r="M441" s="19">
        <f>IFERROR(F441*G441/10000,"")</f>
        <v/>
      </c>
    </row>
    <row r="442">
      <c r="A442" t="inlineStr">
        <is>
          <t>2026-10-30</t>
        </is>
      </c>
      <c r="B442" t="inlineStr">
        <is>
          <t>159670</t>
        </is>
      </c>
      <c r="C442" t="inlineStr">
        <is>
          <t>消费50ETF国联安</t>
        </is>
      </c>
      <c r="D442" t="n">
        <v>5570.6921</v>
      </c>
      <c r="E442" t="n">
        <v>5970.6921</v>
      </c>
      <c r="F442" t="n">
        <v>0.8582</v>
      </c>
      <c r="G442" t="n">
        <v>-400</v>
      </c>
      <c r="H442" t="n">
        <v>0.478077</v>
      </c>
      <c r="I442" t="n">
        <v>0.514674</v>
      </c>
      <c r="J442" t="n">
        <v>-0.036597</v>
      </c>
      <c r="K442" s="4">
        <f>IFERROR(J442/I442,"")</f>
        <v/>
      </c>
      <c r="L442" s="4">
        <f>IFERROR((D442-E442)/E442,"")</f>
        <v/>
      </c>
      <c r="M442" s="19">
        <f>IFERROR(F442*G442/10000,"")</f>
        <v/>
      </c>
    </row>
    <row r="443">
      <c r="A443" t="inlineStr">
        <is>
          <t>2026-10-30</t>
        </is>
      </c>
      <c r="B443" t="inlineStr">
        <is>
          <t>159671</t>
        </is>
      </c>
      <c r="C443" t="inlineStr">
        <is>
          <t>稀有金属ETF工银</t>
        </is>
      </c>
      <c r="D443" t="n">
        <v>86505.1737</v>
      </c>
      <c r="E443" t="n">
        <v>86755.1737</v>
      </c>
      <c r="F443" t="n">
        <v>1.0306</v>
      </c>
      <c r="G443" t="n">
        <v>-250</v>
      </c>
      <c r="H443" t="n">
        <v>8.915222999999999</v>
      </c>
      <c r="I443" t="n">
        <v>8.839485</v>
      </c>
      <c r="J443" t="n">
        <v>0.075738</v>
      </c>
      <c r="K443" s="4">
        <f>IFERROR(J443/I443,"")</f>
        <v/>
      </c>
      <c r="L443" s="4">
        <f>IFERROR((D443-E443)/E443,"")</f>
        <v/>
      </c>
      <c r="M443" s="19">
        <f>IFERROR(F443*G443/10000,"")</f>
        <v/>
      </c>
    </row>
    <row r="444">
      <c r="A444" t="inlineStr">
        <is>
          <t>2026-10-30</t>
        </is>
      </c>
      <c r="B444" t="inlineStr">
        <is>
          <t>159672</t>
        </is>
      </c>
      <c r="C444" t="inlineStr">
        <is>
          <t>消费ETF博时</t>
        </is>
      </c>
      <c r="D444" t="n">
        <v>12388.7409</v>
      </c>
      <c r="E444" t="n">
        <v>12388.7409</v>
      </c>
      <c r="F444" t="n">
        <v>0.6194</v>
      </c>
      <c r="G444" t="n">
        <v>0</v>
      </c>
      <c r="H444" t="n">
        <v>0.767359</v>
      </c>
      <c r="I444" t="n">
        <v>0.778508</v>
      </c>
      <c r="J444" t="n">
        <v>-0.011149</v>
      </c>
      <c r="K444" s="4">
        <f>IFERROR(J444/I444,"")</f>
        <v/>
      </c>
      <c r="L444" s="4">
        <f>IFERROR((D444-E444)/E444,"")</f>
        <v/>
      </c>
      <c r="M444" s="19">
        <f>IFERROR(F444*G444/10000,"")</f>
        <v/>
      </c>
    </row>
    <row r="445">
      <c r="A445" t="inlineStr">
        <is>
          <t>2026-10-30</t>
        </is>
      </c>
      <c r="B445" t="inlineStr">
        <is>
          <t>159673</t>
        </is>
      </c>
      <c r="C445" t="inlineStr">
        <is>
          <t>沪深300ETF鹏华</t>
        </is>
      </c>
      <c r="D445" t="n">
        <v>256152.8385</v>
      </c>
      <c r="E445" t="n">
        <v>254952.8385</v>
      </c>
      <c r="F445" t="n">
        <v>1.1481</v>
      </c>
      <c r="G445" t="n">
        <v>1200</v>
      </c>
      <c r="H445" t="n">
        <v>29.408907</v>
      </c>
      <c r="I445" t="n">
        <v>29.023831</v>
      </c>
      <c r="J445" t="n">
        <v>0.385076</v>
      </c>
      <c r="K445" s="4">
        <f>IFERROR(J445/I445,"")</f>
        <v/>
      </c>
      <c r="L445" s="4">
        <f>IFERROR((D445-E445)/E445,"")</f>
        <v/>
      </c>
      <c r="M445" s="19">
        <f>IFERROR(F445*G445/10000,"")</f>
        <v/>
      </c>
    </row>
    <row r="446">
      <c r="A446" t="inlineStr">
        <is>
          <t>2026-10-30</t>
        </is>
      </c>
      <c r="B446" t="inlineStr">
        <is>
          <t>159675</t>
        </is>
      </c>
      <c r="C446" t="inlineStr">
        <is>
          <t>创业板增强ETF嘉实</t>
        </is>
      </c>
      <c r="D446" t="n">
        <v>9984.669099999999</v>
      </c>
      <c r="E446" t="n">
        <v>9084.669099999999</v>
      </c>
      <c r="F446" t="n">
        <v>1.104</v>
      </c>
      <c r="G446" t="n">
        <v>900</v>
      </c>
      <c r="H446" t="n">
        <v>1.102307</v>
      </c>
      <c r="I446" t="n">
        <v>0.974422</v>
      </c>
      <c r="J446" t="n">
        <v>0.127885</v>
      </c>
      <c r="K446" s="4">
        <f>IFERROR(J446/I446,"")</f>
        <v/>
      </c>
      <c r="L446" s="4">
        <f>IFERROR((D446-E446)/E446,"")</f>
        <v/>
      </c>
      <c r="M446" s="19">
        <f>IFERROR(F446*G446/10000,"")</f>
        <v/>
      </c>
    </row>
    <row r="447">
      <c r="A447" t="inlineStr">
        <is>
          <t>2026-10-30</t>
        </is>
      </c>
      <c r="B447" t="inlineStr">
        <is>
          <t>159676</t>
        </is>
      </c>
      <c r="C447" t="inlineStr">
        <is>
          <t>创业板增强ETF富国</t>
        </is>
      </c>
      <c r="D447" t="n">
        <v>20856.4183</v>
      </c>
      <c r="E447" t="n">
        <v>20056.4183</v>
      </c>
      <c r="F447" t="n">
        <v>1.2478</v>
      </c>
      <c r="G447" t="n">
        <v>800</v>
      </c>
      <c r="H447" t="n">
        <v>2.602464</v>
      </c>
      <c r="I447" t="n">
        <v>2.418002</v>
      </c>
      <c r="J447" t="n">
        <v>0.184462</v>
      </c>
      <c r="K447" s="4">
        <f>IFERROR(J447/I447,"")</f>
        <v/>
      </c>
      <c r="L447" s="4">
        <f>IFERROR((D447-E447)/E447,"")</f>
        <v/>
      </c>
      <c r="M447" s="19">
        <f>IFERROR(F447*G447/10000,"")</f>
        <v/>
      </c>
    </row>
    <row r="448">
      <c r="A448" t="inlineStr">
        <is>
          <t>2026-10-30</t>
        </is>
      </c>
      <c r="B448" t="inlineStr">
        <is>
          <t>159677</t>
        </is>
      </c>
      <c r="C448" t="inlineStr">
        <is>
          <t>中证1000增强ETF银华</t>
        </is>
      </c>
      <c r="D448" t="n">
        <v>2990.4091</v>
      </c>
      <c r="E448" t="n">
        <v>2990.4091</v>
      </c>
      <c r="F448" t="n">
        <v>1.2773</v>
      </c>
      <c r="G448" t="n">
        <v>0</v>
      </c>
      <c r="H448" t="n">
        <v>0.381965</v>
      </c>
      <c r="I448" t="n">
        <v>0.372725</v>
      </c>
      <c r="J448" t="n">
        <v>0.00924</v>
      </c>
      <c r="K448" s="4">
        <f>IFERROR(J448/I448,"")</f>
        <v/>
      </c>
      <c r="L448" s="4">
        <f>IFERROR((D448-E448)/E448,"")</f>
        <v/>
      </c>
      <c r="M448" s="19">
        <f>IFERROR(F448*G448/10000,"")</f>
        <v/>
      </c>
    </row>
    <row r="449">
      <c r="A449" t="inlineStr">
        <is>
          <t>2026-10-30</t>
        </is>
      </c>
      <c r="B449" t="inlineStr">
        <is>
          <t>159678</t>
        </is>
      </c>
      <c r="C449" t="inlineStr">
        <is>
          <t>500增强ETF博时</t>
        </is>
      </c>
      <c r="D449" t="n">
        <v>8914.3694</v>
      </c>
      <c r="E449" t="n">
        <v>8914.3694</v>
      </c>
      <c r="F449" t="n">
        <v>1.3247</v>
      </c>
      <c r="G449" t="n">
        <v>0</v>
      </c>
      <c r="H449" t="n">
        <v>1.180887</v>
      </c>
      <c r="I449" t="n">
        <v>1.161186</v>
      </c>
      <c r="J449" t="n">
        <v>0.019701</v>
      </c>
      <c r="K449" s="4">
        <f>IFERROR(J449/I449,"")</f>
        <v/>
      </c>
      <c r="L449" s="4">
        <f>IFERROR((D449-E449)/E449,"")</f>
        <v/>
      </c>
      <c r="M449" s="19">
        <f>IFERROR(F449*G449/10000,"")</f>
        <v/>
      </c>
    </row>
    <row r="450">
      <c r="A450" t="inlineStr">
        <is>
          <t>2026-10-30</t>
        </is>
      </c>
      <c r="B450" t="inlineStr">
        <is>
          <t>159679</t>
        </is>
      </c>
      <c r="C450" t="inlineStr">
        <is>
          <t>中证1000增强ETF国泰</t>
        </is>
      </c>
      <c r="D450" t="n">
        <v>6648.9156</v>
      </c>
      <c r="E450" t="n">
        <v>6648.9156</v>
      </c>
      <c r="F450" t="n">
        <v>1.1228</v>
      </c>
      <c r="G450" t="n">
        <v>0</v>
      </c>
      <c r="H450" t="n">
        <v>0.74654</v>
      </c>
      <c r="I450" t="n">
        <v>0.731248</v>
      </c>
      <c r="J450" t="n">
        <v>0.015292</v>
      </c>
      <c r="K450" s="4">
        <f>IFERROR(J450/I450,"")</f>
        <v/>
      </c>
      <c r="L450" s="4">
        <f>IFERROR((D450-E450)/E450,"")</f>
        <v/>
      </c>
      <c r="M450" s="19">
        <f>IFERROR(F450*G450/10000,"")</f>
        <v/>
      </c>
    </row>
    <row r="451">
      <c r="A451" t="inlineStr">
        <is>
          <t>2026-10-30</t>
        </is>
      </c>
      <c r="B451" t="inlineStr">
        <is>
          <t>159680</t>
        </is>
      </c>
      <c r="C451" t="inlineStr">
        <is>
          <t>中证1000增强ETF招商</t>
        </is>
      </c>
      <c r="D451" t="n">
        <v>122743.8087</v>
      </c>
      <c r="E451" t="n">
        <v>121243.8087</v>
      </c>
      <c r="F451" t="n">
        <v>1.4515</v>
      </c>
      <c r="G451" t="n">
        <v>1500</v>
      </c>
      <c r="H451" t="n">
        <v>17.816264</v>
      </c>
      <c r="I451" t="n">
        <v>17.145087</v>
      </c>
      <c r="J451" t="n">
        <v>0.671177</v>
      </c>
      <c r="K451" s="4">
        <f>IFERROR(J451/I451,"")</f>
        <v/>
      </c>
      <c r="L451" s="4">
        <f>IFERROR((D451-E451)/E451,"")</f>
        <v/>
      </c>
      <c r="M451" s="19">
        <f>IFERROR(F451*G451/10000,"")</f>
        <v/>
      </c>
    </row>
    <row r="452">
      <c r="A452" t="inlineStr">
        <is>
          <t>2026-10-30</t>
        </is>
      </c>
      <c r="B452" t="inlineStr">
        <is>
          <t>159681</t>
        </is>
      </c>
      <c r="C452" t="inlineStr">
        <is>
          <t>创业板50ETF鹏华</t>
        </is>
      </c>
      <c r="D452" t="n">
        <v>144777.2337</v>
      </c>
      <c r="E452" t="n">
        <v>142777.2337</v>
      </c>
      <c r="F452" t="n">
        <v>1.1931</v>
      </c>
      <c r="G452" t="n">
        <v>2000</v>
      </c>
      <c r="H452" t="n">
        <v>17.273372</v>
      </c>
      <c r="I452" t="n">
        <v>16.440798</v>
      </c>
      <c r="J452" t="n">
        <v>0.832574</v>
      </c>
      <c r="K452" s="4">
        <f>IFERROR(J452/I452,"")</f>
        <v/>
      </c>
      <c r="L452" s="4">
        <f>IFERROR((D452-E452)/E452,"")</f>
        <v/>
      </c>
      <c r="M452" s="19">
        <f>IFERROR(F452*G452/10000,"")</f>
        <v/>
      </c>
    </row>
    <row r="453">
      <c r="A453" t="inlineStr">
        <is>
          <t>2026-10-30</t>
        </is>
      </c>
      <c r="B453" t="inlineStr">
        <is>
          <t>159682</t>
        </is>
      </c>
      <c r="C453" t="inlineStr">
        <is>
          <t>创业板50ETF景顺</t>
        </is>
      </c>
      <c r="D453" t="n">
        <v>384030.767</v>
      </c>
      <c r="E453" t="n">
        <v>377430.767</v>
      </c>
      <c r="F453" t="n">
        <v>1.1778</v>
      </c>
      <c r="G453" t="n">
        <v>6600</v>
      </c>
      <c r="H453" t="n">
        <v>45.231144</v>
      </c>
      <c r="I453" t="n">
        <v>42.902555</v>
      </c>
      <c r="J453" t="n">
        <v>2.328589</v>
      </c>
      <c r="K453" s="4">
        <f>IFERROR(J453/I453,"")</f>
        <v/>
      </c>
      <c r="L453" s="4">
        <f>IFERROR((D453-E453)/E453,"")</f>
        <v/>
      </c>
      <c r="M453" s="19">
        <f>IFERROR(F453*G453/10000,"")</f>
        <v/>
      </c>
    </row>
    <row r="454">
      <c r="A454" t="inlineStr">
        <is>
          <t>2026-10-30</t>
        </is>
      </c>
      <c r="B454" t="inlineStr">
        <is>
          <t>159685</t>
        </is>
      </c>
      <c r="C454" t="inlineStr">
        <is>
          <t>1000增强ETF天弘</t>
        </is>
      </c>
      <c r="D454" t="n">
        <v>2544.0067</v>
      </c>
      <c r="E454" t="n">
        <v>2544.0067</v>
      </c>
      <c r="F454" t="n">
        <v>1.2646</v>
      </c>
      <c r="G454" t="n">
        <v>0</v>
      </c>
      <c r="H454" t="n">
        <v>0.321715</v>
      </c>
      <c r="I454" t="n">
        <v>0.314363</v>
      </c>
      <c r="J454" t="n">
        <v>0.007352</v>
      </c>
      <c r="K454" s="4">
        <f>IFERROR(J454/I454,"")</f>
        <v/>
      </c>
      <c r="L454" s="4">
        <f>IFERROR((D454-E454)/E454,"")</f>
        <v/>
      </c>
      <c r="M454" s="19">
        <f>IFERROR(F454*G454/10000,"")</f>
        <v/>
      </c>
    </row>
    <row r="455">
      <c r="A455" t="inlineStr">
        <is>
          <t>2026-10-30</t>
        </is>
      </c>
      <c r="B455" t="inlineStr">
        <is>
          <t>159686</t>
        </is>
      </c>
      <c r="C455" t="inlineStr">
        <is>
          <t>A100ETF易方达</t>
        </is>
      </c>
      <c r="D455" t="n">
        <v>4981.5386</v>
      </c>
      <c r="E455" t="n">
        <v>4981.5386</v>
      </c>
      <c r="F455" t="n">
        <v>1.135</v>
      </c>
      <c r="G455" t="n">
        <v>0</v>
      </c>
      <c r="H455" t="n">
        <v>0.565405</v>
      </c>
      <c r="I455" t="n">
        <v>0.559427</v>
      </c>
      <c r="J455" t="n">
        <v>0.005978</v>
      </c>
      <c r="K455" s="4">
        <f>IFERROR(J455/I455,"")</f>
        <v/>
      </c>
      <c r="L455" s="4">
        <f>IFERROR((D455-E455)/E455,"")</f>
        <v/>
      </c>
      <c r="M455" s="19">
        <f>IFERROR(F455*G455/10000,"")</f>
        <v/>
      </c>
    </row>
    <row r="456">
      <c r="A456" t="inlineStr">
        <is>
          <t>2026-10-30</t>
        </is>
      </c>
      <c r="B456" t="inlineStr">
        <is>
          <t>159687</t>
        </is>
      </c>
      <c r="C456" t="inlineStr">
        <is>
          <t>亚太精选ETF南方</t>
        </is>
      </c>
      <c r="D456" t="n">
        <v>166902.8658</v>
      </c>
      <c r="E456" t="n">
        <v>166932.8658</v>
      </c>
      <c r="F456" t="n">
        <v>1.7334</v>
      </c>
      <c r="G456" t="n">
        <v>-30</v>
      </c>
      <c r="H456" t="n">
        <v>28.930943</v>
      </c>
      <c r="I456" t="n">
        <v>28.730816</v>
      </c>
      <c r="J456" t="n">
        <v>0.200127</v>
      </c>
      <c r="K456" s="4">
        <f>IFERROR(J456/I456,"")</f>
        <v/>
      </c>
      <c r="L456" s="4">
        <f>IFERROR((D456-E456)/E456,"")</f>
        <v/>
      </c>
      <c r="M456" s="19">
        <f>IFERROR(F456*G456/10000,"")</f>
        <v/>
      </c>
    </row>
    <row r="457">
      <c r="A457" t="inlineStr">
        <is>
          <t>2026-10-30</t>
        </is>
      </c>
      <c r="B457" t="inlineStr">
        <is>
          <t>159688</t>
        </is>
      </c>
      <c r="C457" t="inlineStr">
        <is>
          <t>恒生互联网ETF华安</t>
        </is>
      </c>
      <c r="D457" t="n">
        <v>149127.848</v>
      </c>
      <c r="E457" t="n">
        <v>147977.848</v>
      </c>
      <c r="F457" t="n">
        <v>0.6461</v>
      </c>
      <c r="G457" t="n">
        <v>1150</v>
      </c>
      <c r="H457" t="n">
        <v>9.635149999999999</v>
      </c>
      <c r="I457" t="n">
        <v>9.485379999999999</v>
      </c>
      <c r="J457" t="n">
        <v>0.14977</v>
      </c>
      <c r="K457" s="4">
        <f>IFERROR(J457/I457,"")</f>
        <v/>
      </c>
      <c r="L457" s="4">
        <f>IFERROR((D457-E457)/E457,"")</f>
        <v/>
      </c>
      <c r="M457" s="19">
        <f>IFERROR(F457*G457/10000,"")</f>
        <v/>
      </c>
    </row>
    <row r="458">
      <c r="A458" t="inlineStr">
        <is>
          <t>2026-10-30</t>
        </is>
      </c>
      <c r="B458" t="inlineStr">
        <is>
          <t>159689</t>
        </is>
      </c>
      <c r="C458" t="inlineStr">
        <is>
          <t>消费ETF南方</t>
        </is>
      </c>
      <c r="D458" t="n">
        <v>8214.778700000001</v>
      </c>
      <c r="E458" t="n">
        <v>8214.778700000001</v>
      </c>
      <c r="F458" t="n">
        <v>0.6234</v>
      </c>
      <c r="G458" t="n">
        <v>0</v>
      </c>
      <c r="H458" t="n">
        <v>0.512109</v>
      </c>
      <c r="I458" t="n">
        <v>0.519585</v>
      </c>
      <c r="J458" t="n">
        <v>-0.007476</v>
      </c>
      <c r="K458" s="4">
        <f>IFERROR(J458/I458,"")</f>
        <v/>
      </c>
      <c r="L458" s="4">
        <f>IFERROR((D458-E458)/E458,"")</f>
        <v/>
      </c>
      <c r="M458" s="19">
        <f>IFERROR(F458*G458/10000,"")</f>
        <v/>
      </c>
    </row>
    <row r="459">
      <c r="A459" t="inlineStr">
        <is>
          <t>2026-10-30</t>
        </is>
      </c>
      <c r="B459" t="inlineStr">
        <is>
          <t>159690</t>
        </is>
      </c>
      <c r="C459" t="inlineStr">
        <is>
          <t>有色矿业ETF招商</t>
        </is>
      </c>
      <c r="D459" t="n">
        <v>27216.3978</v>
      </c>
      <c r="E459" t="n">
        <v>27316.3978</v>
      </c>
      <c r="F459" t="n">
        <v>1.5654</v>
      </c>
      <c r="G459" t="n">
        <v>-100</v>
      </c>
      <c r="H459" t="n">
        <v>4.260455</v>
      </c>
      <c r="I459" t="n">
        <v>4.272011</v>
      </c>
      <c r="J459" t="n">
        <v>-0.011556</v>
      </c>
      <c r="K459" s="4">
        <f>IFERROR(J459/I459,"")</f>
        <v/>
      </c>
      <c r="L459" s="4">
        <f>IFERROR((D459-E459)/E459,"")</f>
        <v/>
      </c>
      <c r="M459" s="19">
        <f>IFERROR(F459*G459/10000,"")</f>
        <v/>
      </c>
    </row>
    <row r="460">
      <c r="A460" t="inlineStr">
        <is>
          <t>2026-10-30</t>
        </is>
      </c>
      <c r="B460" t="inlineStr">
        <is>
          <t>159691</t>
        </is>
      </c>
      <c r="C460" t="inlineStr">
        <is>
          <t>港股红利ETF工银</t>
        </is>
      </c>
      <c r="D460" t="n">
        <v>339830.1386</v>
      </c>
      <c r="E460" t="n">
        <v>341830.1386</v>
      </c>
      <c r="F460" t="n">
        <v>1.1374</v>
      </c>
      <c r="G460" t="n">
        <v>-2000</v>
      </c>
      <c r="H460" t="n">
        <v>38.65228</v>
      </c>
      <c r="I460" t="n">
        <v>39.153224</v>
      </c>
      <c r="J460" t="n">
        <v>-0.5009439999999999</v>
      </c>
      <c r="K460" s="4">
        <f>IFERROR(J460/I460,"")</f>
        <v/>
      </c>
      <c r="L460" s="4">
        <f>IFERROR((D460-E460)/E460,"")</f>
        <v/>
      </c>
      <c r="M460" s="19">
        <f>IFERROR(F460*G460/10000,"")</f>
        <v/>
      </c>
    </row>
    <row r="461">
      <c r="A461" t="inlineStr">
        <is>
          <t>2026-10-30</t>
        </is>
      </c>
      <c r="B461" t="inlineStr">
        <is>
          <t>159692</t>
        </is>
      </c>
      <c r="C461" t="inlineStr">
        <is>
          <t>证券ETF东财</t>
        </is>
      </c>
      <c r="D461" t="n">
        <v>143745.5969</v>
      </c>
      <c r="E461" t="n">
        <v>143045.5969</v>
      </c>
      <c r="F461" t="n">
        <v>1.1076</v>
      </c>
      <c r="G461" t="n">
        <v>700</v>
      </c>
      <c r="H461" t="n">
        <v>15.921262</v>
      </c>
      <c r="I461" t="n">
        <v>15.99822</v>
      </c>
      <c r="J461" t="n">
        <v>-0.076958</v>
      </c>
      <c r="K461" s="4">
        <f>IFERROR(J461/I461,"")</f>
        <v/>
      </c>
      <c r="L461" s="4">
        <f>IFERROR((D461-E461)/E461,"")</f>
        <v/>
      </c>
      <c r="M461" s="19">
        <f>IFERROR(F461*G461/10000,"")</f>
        <v/>
      </c>
    </row>
    <row r="462">
      <c r="A462" t="inlineStr">
        <is>
          <t>2026-10-30</t>
        </is>
      </c>
      <c r="B462" t="inlineStr">
        <is>
          <t>159695</t>
        </is>
      </c>
      <c r="C462" t="inlineStr">
        <is>
          <t>通信ETF嘉实</t>
        </is>
      </c>
      <c r="D462" t="n">
        <v>83743.62579999999</v>
      </c>
      <c r="E462" t="n">
        <v>84143.62579999999</v>
      </c>
      <c r="F462" t="n">
        <v>0.7644</v>
      </c>
      <c r="G462" t="n">
        <v>-400</v>
      </c>
      <c r="H462" t="n">
        <v>6.401363</v>
      </c>
      <c r="I462" t="n">
        <v>6.21569</v>
      </c>
      <c r="J462" t="n">
        <v>0.185673</v>
      </c>
      <c r="K462" s="4">
        <f>IFERROR(J462/I462,"")</f>
        <v/>
      </c>
      <c r="L462" s="4">
        <f>IFERROR((D462-E462)/E462,"")</f>
        <v/>
      </c>
      <c r="M462" s="19">
        <f>IFERROR(F462*G462/10000,"")</f>
        <v/>
      </c>
    </row>
    <row r="463">
      <c r="A463" t="inlineStr">
        <is>
          <t>2026-10-30</t>
        </is>
      </c>
      <c r="B463" t="inlineStr">
        <is>
          <t>159696</t>
        </is>
      </c>
      <c r="C463" t="inlineStr">
        <is>
          <t>纳指ETF易方达</t>
        </is>
      </c>
      <c r="D463" t="n">
        <v>301782.4034</v>
      </c>
      <c r="E463" t="n">
        <v>301682.4034</v>
      </c>
      <c r="F463" t="n">
        <v>1.8474</v>
      </c>
      <c r="G463" t="n">
        <v>100</v>
      </c>
      <c r="H463" t="n">
        <v>55.751281</v>
      </c>
      <c r="I463" t="n">
        <v>55.01782</v>
      </c>
      <c r="J463" t="n">
        <v>0.733461</v>
      </c>
      <c r="K463" s="4">
        <f>IFERROR(J463/I463,"")</f>
        <v/>
      </c>
      <c r="L463" s="4">
        <f>IFERROR((D463-E463)/E463,"")</f>
        <v/>
      </c>
      <c r="M463" s="19">
        <f>IFERROR(F463*G463/10000,"")</f>
        <v/>
      </c>
    </row>
    <row r="464">
      <c r="A464" t="inlineStr">
        <is>
          <t>2026-10-30</t>
        </is>
      </c>
      <c r="B464" t="inlineStr">
        <is>
          <t>159697</t>
        </is>
      </c>
      <c r="C464" t="inlineStr">
        <is>
          <t>石油ETF鹏华</t>
        </is>
      </c>
      <c r="D464" t="n">
        <v>91002.2006</v>
      </c>
      <c r="E464" t="n">
        <v>90002.2006</v>
      </c>
      <c r="F464" t="n">
        <v>1.3076</v>
      </c>
      <c r="G464" t="n">
        <v>1000</v>
      </c>
      <c r="H464" t="n">
        <v>11.899448</v>
      </c>
      <c r="I464" t="n">
        <v>11.702086</v>
      </c>
      <c r="J464" t="n">
        <v>0.197362</v>
      </c>
      <c r="K464" s="4">
        <f>IFERROR(J464/I464,"")</f>
        <v/>
      </c>
      <c r="L464" s="4">
        <f>IFERROR((D464-E464)/E464,"")</f>
        <v/>
      </c>
      <c r="M464" s="19">
        <f>IFERROR(F464*G464/10000,"")</f>
        <v/>
      </c>
    </row>
    <row r="465">
      <c r="A465" t="inlineStr">
        <is>
          <t>2026-10-30</t>
        </is>
      </c>
      <c r="B465" t="inlineStr">
        <is>
          <t>159698</t>
        </is>
      </c>
      <c r="C465" t="inlineStr">
        <is>
          <t>粮食ETF鹏华</t>
        </is>
      </c>
      <c r="D465" t="n">
        <v>164644.4378</v>
      </c>
      <c r="E465" t="n">
        <v>164644.4378</v>
      </c>
      <c r="F465" t="n">
        <v>0.8152</v>
      </c>
      <c r="G465" t="n">
        <v>0</v>
      </c>
      <c r="H465" t="n">
        <v>13.421815</v>
      </c>
      <c r="I465" t="n">
        <v>13.467915</v>
      </c>
      <c r="J465" t="n">
        <v>-0.0461</v>
      </c>
      <c r="K465" s="4">
        <f>IFERROR(J465/I465,"")</f>
        <v/>
      </c>
      <c r="L465" s="4">
        <f>IFERROR((D465-E465)/E465,"")</f>
        <v/>
      </c>
      <c r="M465" s="19">
        <f>IFERROR(F465*G465/10000,"")</f>
        <v/>
      </c>
    </row>
    <row r="466">
      <c r="A466" t="inlineStr">
        <is>
          <t>2026-10-30</t>
        </is>
      </c>
      <c r="B466" t="inlineStr">
        <is>
          <t>159699</t>
        </is>
      </c>
      <c r="C466" t="inlineStr">
        <is>
          <t>恒生消费ETF广发</t>
        </is>
      </c>
      <c r="D466" t="n">
        <v>50416.4255</v>
      </c>
      <c r="E466" t="n">
        <v>50416.4255</v>
      </c>
      <c r="F466" t="n">
        <v>0.8194</v>
      </c>
      <c r="G466" t="n">
        <v>0</v>
      </c>
      <c r="H466" t="n">
        <v>4.131122</v>
      </c>
      <c r="I466" t="n">
        <v>4.147255</v>
      </c>
      <c r="J466" t="n">
        <v>-0.016133</v>
      </c>
      <c r="K466" s="4">
        <f>IFERROR(J466/I466,"")</f>
        <v/>
      </c>
      <c r="L466" s="4">
        <f>IFERROR((D466-E466)/E466,"")</f>
        <v/>
      </c>
      <c r="M466" s="19">
        <f>IFERROR(F466*G466/10000,"")</f>
        <v/>
      </c>
    </row>
    <row r="467">
      <c r="A467" t="inlineStr">
        <is>
          <t>2026-10-30</t>
        </is>
      </c>
      <c r="B467" t="inlineStr">
        <is>
          <t>159700</t>
        </is>
      </c>
      <c r="C467" t="inlineStr">
        <is>
          <t>科创债ETF南方</t>
        </is>
      </c>
      <c r="D467" t="n">
        <v>16156.9191</v>
      </c>
      <c r="E467" t="n">
        <v>16154.9191</v>
      </c>
      <c r="F467" t="n">
        <v>102.5316</v>
      </c>
      <c r="G467" t="n">
        <v>2</v>
      </c>
      <c r="H467" t="n">
        <v>165.659477</v>
      </c>
      <c r="I467" t="n">
        <v>165.642201</v>
      </c>
      <c r="J467" t="n">
        <v>0.017276</v>
      </c>
      <c r="K467" s="4">
        <f>IFERROR(J467/I467,"")</f>
        <v/>
      </c>
      <c r="L467" s="4">
        <f>IFERROR((D467-E467)/E467,"")</f>
        <v/>
      </c>
      <c r="M467" s="19">
        <f>IFERROR(F467*G467/10000,"")</f>
        <v/>
      </c>
    </row>
    <row r="468">
      <c r="A468" t="inlineStr">
        <is>
          <t>2026-10-30</t>
        </is>
      </c>
      <c r="B468" t="inlineStr">
        <is>
          <t>159701</t>
        </is>
      </c>
      <c r="C468" t="inlineStr">
        <is>
          <t>物联网ETF招商</t>
        </is>
      </c>
      <c r="D468" t="n">
        <v>1570.5601</v>
      </c>
      <c r="E468" t="n">
        <v>1670.5601</v>
      </c>
      <c r="F468" t="n">
        <v>1.0693</v>
      </c>
      <c r="G468" t="n">
        <v>-100</v>
      </c>
      <c r="H468" t="n">
        <v>0.16794</v>
      </c>
      <c r="I468" t="n">
        <v>0.172786</v>
      </c>
      <c r="J468" t="n">
        <v>-0.004846</v>
      </c>
      <c r="K468" s="4">
        <f>IFERROR(J468/I468,"")</f>
        <v/>
      </c>
      <c r="L468" s="4">
        <f>IFERROR((D468-E468)/E468,"")</f>
        <v/>
      </c>
      <c r="M468" s="19">
        <f>IFERROR(F468*G468/10000,"")</f>
        <v/>
      </c>
    </row>
    <row r="469">
      <c r="A469" t="inlineStr">
        <is>
          <t>2026-10-30</t>
        </is>
      </c>
      <c r="B469" t="inlineStr">
        <is>
          <t>159703</t>
        </is>
      </c>
      <c r="C469" t="inlineStr">
        <is>
          <t>新材料ETF天弘</t>
        </is>
      </c>
      <c r="D469" t="n">
        <v>6078.1591</v>
      </c>
      <c r="E469" t="n">
        <v>6078.1591</v>
      </c>
      <c r="F469" t="n">
        <v>0.7096</v>
      </c>
      <c r="G469" t="n">
        <v>0</v>
      </c>
      <c r="H469" t="n">
        <v>0.431306</v>
      </c>
      <c r="I469" t="n">
        <v>0.423344</v>
      </c>
      <c r="J469" t="n">
        <v>0.007962</v>
      </c>
      <c r="K469" s="4">
        <f>IFERROR(J469/I469,"")</f>
        <v/>
      </c>
      <c r="L469" s="4">
        <f>IFERROR((D469-E469)/E469,"")</f>
        <v/>
      </c>
      <c r="M469" s="19">
        <f>IFERROR(F469*G469/10000,"")</f>
        <v/>
      </c>
    </row>
    <row r="470">
      <c r="A470" t="inlineStr">
        <is>
          <t>2026-10-30</t>
        </is>
      </c>
      <c r="B470" t="inlineStr">
        <is>
          <t>159706</t>
        </is>
      </c>
      <c r="C470" t="inlineStr">
        <is>
          <t>深证100ETF华安</t>
        </is>
      </c>
      <c r="D470" t="n">
        <v>4288.68</v>
      </c>
      <c r="E470" t="n">
        <v>4288.68</v>
      </c>
      <c r="F470" t="n">
        <v>0.756</v>
      </c>
      <c r="G470" t="n">
        <v>0</v>
      </c>
      <c r="H470" t="n">
        <v>0.324224</v>
      </c>
      <c r="I470" t="n">
        <v>0.318392</v>
      </c>
      <c r="J470" t="n">
        <v>0.005832</v>
      </c>
      <c r="K470" s="4">
        <f>IFERROR(J470/I470,"")</f>
        <v/>
      </c>
      <c r="L470" s="4">
        <f>IFERROR((D470-E470)/E470,"")</f>
        <v/>
      </c>
      <c r="M470" s="19">
        <f>IFERROR(F470*G470/10000,"")</f>
        <v/>
      </c>
    </row>
    <row r="471">
      <c r="A471" t="inlineStr">
        <is>
          <t>2026-10-30</t>
        </is>
      </c>
      <c r="B471" t="inlineStr">
        <is>
          <t>159707</t>
        </is>
      </c>
      <c r="C471" t="inlineStr">
        <is>
          <t>地产ETF华宝</t>
        </is>
      </c>
      <c r="D471" t="n">
        <v>158304.8214</v>
      </c>
      <c r="E471" t="n">
        <v>159604.8214</v>
      </c>
      <c r="F471" t="n">
        <v>0.4943</v>
      </c>
      <c r="G471" t="n">
        <v>-1300</v>
      </c>
      <c r="H471" t="n">
        <v>7.825007</v>
      </c>
      <c r="I471" t="n">
        <v>7.902035</v>
      </c>
      <c r="J471" t="n">
        <v>-0.077028</v>
      </c>
      <c r="K471" s="4">
        <f>IFERROR(J471/I471,"")</f>
        <v/>
      </c>
      <c r="L471" s="4">
        <f>IFERROR((D471-E471)/E471,"")</f>
        <v/>
      </c>
      <c r="M471" s="19">
        <f>IFERROR(F471*G471/10000,"")</f>
        <v/>
      </c>
    </row>
    <row r="472">
      <c r="A472" t="inlineStr">
        <is>
          <t>2026-10-30</t>
        </is>
      </c>
      <c r="B472" t="inlineStr">
        <is>
          <t>159708</t>
        </is>
      </c>
      <c r="C472" t="inlineStr">
        <is>
          <t>红利ETF西部利得</t>
        </is>
      </c>
      <c r="D472" t="n">
        <v>19002.8306</v>
      </c>
      <c r="E472" t="n">
        <v>19002.8306</v>
      </c>
      <c r="F472" t="n">
        <v>0.7229</v>
      </c>
      <c r="G472" t="n">
        <v>0</v>
      </c>
      <c r="H472" t="n">
        <v>1.373715</v>
      </c>
      <c r="I472" t="n">
        <v>1.374285</v>
      </c>
      <c r="J472" t="n">
        <v>-0.00057</v>
      </c>
      <c r="K472" s="4">
        <f>IFERROR(J472/I472,"")</f>
        <v/>
      </c>
      <c r="L472" s="4">
        <f>IFERROR((D472-E472)/E472,"")</f>
        <v/>
      </c>
      <c r="M472" s="19">
        <f>IFERROR(F472*G472/10000,"")</f>
        <v/>
      </c>
    </row>
    <row r="473">
      <c r="A473" t="inlineStr">
        <is>
          <t>2026-10-30</t>
        </is>
      </c>
      <c r="B473" t="inlineStr">
        <is>
          <t>159709</t>
        </is>
      </c>
      <c r="C473" t="inlineStr">
        <is>
          <t>物联网ETF工银</t>
        </is>
      </c>
      <c r="D473" t="n">
        <v>3748.406</v>
      </c>
      <c r="E473" t="n">
        <v>3848.406</v>
      </c>
      <c r="F473" t="n">
        <v>1.4102</v>
      </c>
      <c r="G473" t="n">
        <v>-100</v>
      </c>
      <c r="H473" t="n">
        <v>0.5286</v>
      </c>
      <c r="I473" t="n">
        <v>0.524692</v>
      </c>
      <c r="J473" t="n">
        <v>0.003908</v>
      </c>
      <c r="K473" s="4">
        <f>IFERROR(J473/I473,"")</f>
        <v/>
      </c>
      <c r="L473" s="4">
        <f>IFERROR((D473-E473)/E473,"")</f>
        <v/>
      </c>
      <c r="M473" s="19">
        <f>IFERROR(F473*G473/10000,"")</f>
        <v/>
      </c>
    </row>
    <row r="474">
      <c r="A474" t="inlineStr">
        <is>
          <t>2026-10-30</t>
        </is>
      </c>
      <c r="B474" t="inlineStr">
        <is>
          <t>159711</t>
        </is>
      </c>
      <c r="C474" t="inlineStr">
        <is>
          <t>港股通50ETF华夏</t>
        </is>
      </c>
      <c r="D474" t="n">
        <v>3246.5157</v>
      </c>
      <c r="E474" t="n">
        <v>3246.5157</v>
      </c>
      <c r="F474" t="n">
        <v>1.2236</v>
      </c>
      <c r="G474" t="n">
        <v>0</v>
      </c>
      <c r="H474" t="n">
        <v>0.397244</v>
      </c>
      <c r="I474" t="n">
        <v>0.395978</v>
      </c>
      <c r="J474" t="n">
        <v>0.001266</v>
      </c>
      <c r="K474" s="4">
        <f>IFERROR(J474/I474,"")</f>
        <v/>
      </c>
      <c r="L474" s="4">
        <f>IFERROR((D474-E474)/E474,"")</f>
        <v/>
      </c>
      <c r="M474" s="19">
        <f>IFERROR(F474*G474/10000,"")</f>
        <v/>
      </c>
    </row>
    <row r="475">
      <c r="A475" t="inlineStr">
        <is>
          <t>2026-10-30</t>
        </is>
      </c>
      <c r="B475" t="inlineStr">
        <is>
          <t>159712</t>
        </is>
      </c>
      <c r="C475" t="inlineStr">
        <is>
          <t>港股通50ETF国泰</t>
        </is>
      </c>
      <c r="D475" t="n">
        <v>8377.881299999999</v>
      </c>
      <c r="E475" t="n">
        <v>8377.881299999999</v>
      </c>
      <c r="F475" t="n">
        <v>1.1403</v>
      </c>
      <c r="G475" t="n">
        <v>0</v>
      </c>
      <c r="H475" t="n">
        <v>0.95533</v>
      </c>
      <c r="I475" t="n">
        <v>0.952314</v>
      </c>
      <c r="J475" t="n">
        <v>0.003016</v>
      </c>
      <c r="K475" s="4">
        <f>IFERROR(J475/I475,"")</f>
        <v/>
      </c>
      <c r="L475" s="4">
        <f>IFERROR((D475-E475)/E475,"")</f>
        <v/>
      </c>
      <c r="M475" s="19">
        <f>IFERROR(F475*G475/10000,"")</f>
        <v/>
      </c>
    </row>
    <row r="476">
      <c r="A476" t="inlineStr">
        <is>
          <t>2026-10-30</t>
        </is>
      </c>
      <c r="B476" t="inlineStr">
        <is>
          <t>159713</t>
        </is>
      </c>
      <c r="C476" t="inlineStr">
        <is>
          <t>稀土ETF富国</t>
        </is>
      </c>
      <c r="D476" t="n">
        <v>50525.5051</v>
      </c>
      <c r="E476" t="n">
        <v>50625.5051</v>
      </c>
      <c r="F476" t="n">
        <v>1.0713</v>
      </c>
      <c r="G476" t="n">
        <v>-100</v>
      </c>
      <c r="H476" t="n">
        <v>5.412797</v>
      </c>
      <c r="I476" t="n">
        <v>5.337447</v>
      </c>
      <c r="J476" t="n">
        <v>0.07535</v>
      </c>
      <c r="K476" s="4">
        <f>IFERROR(J476/I476,"")</f>
        <v/>
      </c>
      <c r="L476" s="4">
        <f>IFERROR((D476-E476)/E476,"")</f>
        <v/>
      </c>
      <c r="M476" s="19">
        <f>IFERROR(F476*G476/10000,"")</f>
        <v/>
      </c>
    </row>
    <row r="477">
      <c r="A477" t="inlineStr">
        <is>
          <t>2026-10-30</t>
        </is>
      </c>
      <c r="B477" t="inlineStr">
        <is>
          <t>159715</t>
        </is>
      </c>
      <c r="C477" t="inlineStr">
        <is>
          <t>稀土ETF易方达</t>
        </is>
      </c>
      <c r="D477" t="n">
        <v>40703.0274</v>
      </c>
      <c r="E477" t="n">
        <v>40953.0274</v>
      </c>
      <c r="F477" t="n">
        <v>0.9927</v>
      </c>
      <c r="G477" t="n">
        <v>-250</v>
      </c>
      <c r="H477" t="n">
        <v>4.04059</v>
      </c>
      <c r="I477" t="n">
        <v>4.000701</v>
      </c>
      <c r="J477" t="n">
        <v>0.039889</v>
      </c>
      <c r="K477" s="4">
        <f>IFERROR(J477/I477,"")</f>
        <v/>
      </c>
      <c r="L477" s="4">
        <f>IFERROR((D477-E477)/E477,"")</f>
        <v/>
      </c>
      <c r="M477" s="19">
        <f>IFERROR(F477*G477/10000,"")</f>
        <v/>
      </c>
    </row>
    <row r="478">
      <c r="A478" t="inlineStr">
        <is>
          <t>2026-10-30</t>
        </is>
      </c>
      <c r="B478" t="inlineStr">
        <is>
          <t>159716</t>
        </is>
      </c>
      <c r="C478" t="inlineStr">
        <is>
          <t>深证100ETF华宝</t>
        </is>
      </c>
      <c r="D478" t="n">
        <v>5366.6732</v>
      </c>
      <c r="E478" t="n">
        <v>5366.6732</v>
      </c>
      <c r="F478" t="n">
        <v>0.9119</v>
      </c>
      <c r="G478" t="n">
        <v>0</v>
      </c>
      <c r="H478" t="n">
        <v>0.489387</v>
      </c>
      <c r="I478" t="n">
        <v>0.480586</v>
      </c>
      <c r="J478" t="n">
        <v>0.008801</v>
      </c>
      <c r="K478" s="4">
        <f>IFERROR(J478/I478,"")</f>
        <v/>
      </c>
      <c r="L478" s="4">
        <f>IFERROR((D478-E478)/E478,"")</f>
        <v/>
      </c>
      <c r="M478" s="19">
        <f>IFERROR(F478*G478/10000,"")</f>
        <v/>
      </c>
    </row>
    <row r="479">
      <c r="A479" t="inlineStr">
        <is>
          <t>2026-10-30</t>
        </is>
      </c>
      <c r="B479" t="inlineStr">
        <is>
          <t>159717</t>
        </is>
      </c>
      <c r="C479" t="inlineStr">
        <is>
          <t>ESGETF鹏华</t>
        </is>
      </c>
      <c r="D479" t="n">
        <v>2537.3183</v>
      </c>
      <c r="E479" t="n">
        <v>2537.3183</v>
      </c>
      <c r="F479" t="n">
        <v>0.9370000000000001</v>
      </c>
      <c r="G479" t="n">
        <v>0</v>
      </c>
      <c r="H479" t="n">
        <v>0.237747</v>
      </c>
      <c r="I479" t="n">
        <v>0.23592</v>
      </c>
      <c r="J479" t="n">
        <v>0.001827</v>
      </c>
      <c r="K479" s="4">
        <f>IFERROR(J479/I479,"")</f>
        <v/>
      </c>
      <c r="L479" s="4">
        <f>IFERROR((D479-E479)/E479,"")</f>
        <v/>
      </c>
      <c r="M479" s="19">
        <f>IFERROR(F479*G479/10000,"")</f>
        <v/>
      </c>
    </row>
    <row r="480">
      <c r="A480" t="inlineStr">
        <is>
          <t>2026-10-30</t>
        </is>
      </c>
      <c r="B480" t="inlineStr">
        <is>
          <t>159718</t>
        </is>
      </c>
      <c r="C480" t="inlineStr">
        <is>
          <t>港股医药ETF平安</t>
        </is>
      </c>
      <c r="D480" t="n">
        <v>17083.2634</v>
      </c>
      <c r="E480" t="n">
        <v>17083.2634</v>
      </c>
      <c r="F480" t="n">
        <v>0.8362000000000001</v>
      </c>
      <c r="G480" t="n">
        <v>0</v>
      </c>
      <c r="H480" t="n">
        <v>1.428502</v>
      </c>
      <c r="I480" t="n">
        <v>1.406123</v>
      </c>
      <c r="J480" t="n">
        <v>0.022379</v>
      </c>
      <c r="K480" s="4">
        <f>IFERROR(J480/I480,"")</f>
        <v/>
      </c>
      <c r="L480" s="4">
        <f>IFERROR((D480-E480)/E480,"")</f>
        <v/>
      </c>
      <c r="M480" s="19">
        <f>IFERROR(F480*G480/10000,"")</f>
        <v/>
      </c>
    </row>
    <row r="481">
      <c r="A481" t="inlineStr">
        <is>
          <t>2026-10-30</t>
        </is>
      </c>
      <c r="B481" t="inlineStr">
        <is>
          <t>159719</t>
        </is>
      </c>
      <c r="C481" t="inlineStr">
        <is>
          <t>国企ETF平安</t>
        </is>
      </c>
      <c r="D481" t="n">
        <v>1719.5986</v>
      </c>
      <c r="E481" t="n">
        <v>1719.5986</v>
      </c>
      <c r="F481" t="n">
        <v>1.67</v>
      </c>
      <c r="G481" t="n">
        <v>0</v>
      </c>
      <c r="H481" t="n">
        <v>0.287173</v>
      </c>
      <c r="I481" t="n">
        <v>0.287878</v>
      </c>
      <c r="J481" t="n">
        <v>-0.000705</v>
      </c>
      <c r="K481" s="4">
        <f>IFERROR(J481/I481,"")</f>
        <v/>
      </c>
      <c r="L481" s="4">
        <f>IFERROR((D481-E481)/E481,"")</f>
        <v/>
      </c>
      <c r="M481" s="19">
        <f>IFERROR(F481*G481/10000,"")</f>
        <v/>
      </c>
    </row>
    <row r="482">
      <c r="A482" t="inlineStr">
        <is>
          <t>2026-10-30</t>
        </is>
      </c>
      <c r="B482" t="inlineStr">
        <is>
          <t>159720</t>
        </is>
      </c>
      <c r="C482" t="inlineStr">
        <is>
          <t>智能车ETF泰康</t>
        </is>
      </c>
      <c r="D482" t="n">
        <v>5181.2357</v>
      </c>
      <c r="E482" t="n">
        <v>4881.2357</v>
      </c>
      <c r="F482" t="n">
        <v>0.5959</v>
      </c>
      <c r="G482" t="n">
        <v>300</v>
      </c>
      <c r="H482" t="n">
        <v>0.30875</v>
      </c>
      <c r="I482" t="n">
        <v>0.285992</v>
      </c>
      <c r="J482" t="n">
        <v>0.022758</v>
      </c>
      <c r="K482" s="4">
        <f>IFERROR(J482/I482,"")</f>
        <v/>
      </c>
      <c r="L482" s="4">
        <f>IFERROR((D482-E482)/E482,"")</f>
        <v/>
      </c>
      <c r="M482" s="19">
        <f>IFERROR(F482*G482/10000,"")</f>
        <v/>
      </c>
    </row>
    <row r="483">
      <c r="A483" t="inlineStr">
        <is>
          <t>2026-10-30</t>
        </is>
      </c>
      <c r="B483" t="inlineStr">
        <is>
          <t>159721</t>
        </is>
      </c>
      <c r="C483" t="inlineStr">
        <is>
          <t>深证100ETF永赢</t>
        </is>
      </c>
      <c r="D483" t="n">
        <v>6943.1696</v>
      </c>
      <c r="E483" t="n">
        <v>6943.1696</v>
      </c>
      <c r="F483" t="n">
        <v>0.8568</v>
      </c>
      <c r="G483" t="n">
        <v>0</v>
      </c>
      <c r="H483" t="n">
        <v>0.5948909999999999</v>
      </c>
      <c r="I483" t="n">
        <v>0.584198</v>
      </c>
      <c r="J483" t="n">
        <v>0.010693</v>
      </c>
      <c r="K483" s="4">
        <f>IFERROR(J483/I483,"")</f>
        <v/>
      </c>
      <c r="L483" s="4">
        <f>IFERROR((D483-E483)/E483,"")</f>
        <v/>
      </c>
      <c r="M483" s="19">
        <f>IFERROR(F483*G483/10000,"")</f>
        <v/>
      </c>
    </row>
    <row r="484">
      <c r="A484" t="inlineStr">
        <is>
          <t>2026-10-30</t>
        </is>
      </c>
      <c r="B484" t="inlineStr">
        <is>
          <t>159723</t>
        </is>
      </c>
      <c r="C484" t="inlineStr">
        <is>
          <t>科技龙头ETF汇添富</t>
        </is>
      </c>
      <c r="D484" t="n">
        <v>3102.5575</v>
      </c>
      <c r="E484" t="n">
        <v>3102.5575</v>
      </c>
      <c r="F484" t="n">
        <v>0.8941</v>
      </c>
      <c r="G484" t="n">
        <v>0</v>
      </c>
      <c r="H484" t="n">
        <v>0.2774</v>
      </c>
      <c r="I484" t="n">
        <v>0.270078</v>
      </c>
      <c r="J484" t="n">
        <v>0.007322</v>
      </c>
      <c r="K484" s="4">
        <f>IFERROR(J484/I484,"")</f>
        <v/>
      </c>
      <c r="L484" s="4">
        <f>IFERROR((D484-E484)/E484,"")</f>
        <v/>
      </c>
      <c r="M484" s="19">
        <f>IFERROR(F484*G484/10000,"")</f>
        <v/>
      </c>
    </row>
    <row r="485">
      <c r="A485" t="inlineStr">
        <is>
          <t>2026-10-30</t>
        </is>
      </c>
      <c r="B485" t="inlineStr">
        <is>
          <t>159725</t>
        </is>
      </c>
      <c r="C485" t="inlineStr">
        <is>
          <t>线上消费ETF工银</t>
        </is>
      </c>
      <c r="D485" t="n">
        <v>10942.4924</v>
      </c>
      <c r="E485" t="n">
        <v>10942.4924</v>
      </c>
      <c r="F485" t="n">
        <v>0.731</v>
      </c>
      <c r="G485" t="n">
        <v>0</v>
      </c>
      <c r="H485" t="n">
        <v>0.7998960000000001</v>
      </c>
      <c r="I485" t="n">
        <v>0.786546</v>
      </c>
      <c r="J485" t="n">
        <v>0.01335</v>
      </c>
      <c r="K485" s="4">
        <f>IFERROR(J485/I485,"")</f>
        <v/>
      </c>
      <c r="L485" s="4">
        <f>IFERROR((D485-E485)/E485,"")</f>
        <v/>
      </c>
      <c r="M485" s="19">
        <f>IFERROR(F485*G485/10000,"")</f>
        <v/>
      </c>
    </row>
    <row r="486">
      <c r="A486" t="inlineStr">
        <is>
          <t>2026-10-30</t>
        </is>
      </c>
      <c r="B486" t="inlineStr">
        <is>
          <t>159726</t>
        </is>
      </c>
      <c r="C486" t="inlineStr">
        <is>
          <t>港股通红利ETF华夏</t>
        </is>
      </c>
      <c r="D486" t="n">
        <v>22491.138</v>
      </c>
      <c r="E486" t="n">
        <v>22591.138</v>
      </c>
      <c r="F486" t="n">
        <v>1.3101</v>
      </c>
      <c r="G486" t="n">
        <v>-100</v>
      </c>
      <c r="H486" t="n">
        <v>2.946564</v>
      </c>
      <c r="I486" t="n">
        <v>2.970735</v>
      </c>
      <c r="J486" t="n">
        <v>-0.024171</v>
      </c>
      <c r="K486" s="4">
        <f>IFERROR(J486/I486,"")</f>
        <v/>
      </c>
      <c r="L486" s="4">
        <f>IFERROR((D486-E486)/E486,"")</f>
        <v/>
      </c>
      <c r="M486" s="19">
        <f>IFERROR(F486*G486/10000,"")</f>
        <v/>
      </c>
    </row>
    <row r="487">
      <c r="A487" t="inlineStr">
        <is>
          <t>2026-10-30</t>
        </is>
      </c>
      <c r="B487" t="inlineStr">
        <is>
          <t>159728</t>
        </is>
      </c>
      <c r="C487" t="inlineStr">
        <is>
          <t>在线消费ETF南方</t>
        </is>
      </c>
      <c r="D487" t="n">
        <v>4941.0129</v>
      </c>
      <c r="E487" t="n">
        <v>4941.0129</v>
      </c>
      <c r="F487" t="n">
        <v>0.7356</v>
      </c>
      <c r="G487" t="n">
        <v>0</v>
      </c>
      <c r="H487" t="n">
        <v>0.363461</v>
      </c>
      <c r="I487" t="n">
        <v>0.358223</v>
      </c>
      <c r="J487" t="n">
        <v>0.005238</v>
      </c>
      <c r="K487" s="4">
        <f>IFERROR(J487/I487,"")</f>
        <v/>
      </c>
      <c r="L487" s="4">
        <f>IFERROR((D487-E487)/E487,"")</f>
        <v/>
      </c>
      <c r="M487" s="19">
        <f>IFERROR(F487*G487/10000,"")</f>
        <v/>
      </c>
    </row>
    <row r="488">
      <c r="A488" t="inlineStr">
        <is>
          <t>2026-10-30</t>
        </is>
      </c>
      <c r="B488" t="inlineStr">
        <is>
          <t>159729</t>
        </is>
      </c>
      <c r="C488" t="inlineStr">
        <is>
          <t>互联网ETF汇添富</t>
        </is>
      </c>
      <c r="D488" t="n">
        <v>6676.0633</v>
      </c>
      <c r="E488" t="n">
        <v>6676.0633</v>
      </c>
      <c r="F488" t="n">
        <v>0.6219</v>
      </c>
      <c r="G488" t="n">
        <v>0</v>
      </c>
      <c r="H488" t="n">
        <v>0.415184</v>
      </c>
      <c r="I488" t="n">
        <v>0.414917</v>
      </c>
      <c r="J488" t="n">
        <v>0.000267</v>
      </c>
      <c r="K488" s="4">
        <f>IFERROR(J488/I488,"")</f>
        <v/>
      </c>
      <c r="L488" s="4">
        <f>IFERROR((D488-E488)/E488,"")</f>
        <v/>
      </c>
      <c r="M488" s="19">
        <f>IFERROR(F488*G488/10000,"")</f>
        <v/>
      </c>
    </row>
    <row r="489">
      <c r="A489" t="inlineStr">
        <is>
          <t>2026-10-30</t>
        </is>
      </c>
      <c r="B489" t="inlineStr">
        <is>
          <t>159730</t>
        </is>
      </c>
      <c r="C489" t="inlineStr">
        <is>
          <t>家电ETF博时</t>
        </is>
      </c>
      <c r="D489" t="n">
        <v>4457.134</v>
      </c>
      <c r="E489" t="n">
        <v>4457.134</v>
      </c>
      <c r="F489" t="n">
        <v>0.979</v>
      </c>
      <c r="G489" t="n">
        <v>0</v>
      </c>
      <c r="H489" t="n">
        <v>0.436353</v>
      </c>
      <c r="I489" t="n">
        <v>0.42842</v>
      </c>
      <c r="J489" t="n">
        <v>0.007933000000000001</v>
      </c>
      <c r="K489" s="4">
        <f>IFERROR(J489/I489,"")</f>
        <v/>
      </c>
      <c r="L489" s="4">
        <f>IFERROR((D489-E489)/E489,"")</f>
        <v/>
      </c>
      <c r="M489" s="19">
        <f>IFERROR(F489*G489/10000,"")</f>
        <v/>
      </c>
    </row>
    <row r="490">
      <c r="A490" t="inlineStr">
        <is>
          <t>2026-10-30</t>
        </is>
      </c>
      <c r="B490" t="inlineStr">
        <is>
          <t>159731</t>
        </is>
      </c>
      <c r="C490" t="inlineStr">
        <is>
          <t>石化ETF华夏</t>
        </is>
      </c>
      <c r="D490" t="n">
        <v>64237.5802</v>
      </c>
      <c r="E490" t="n">
        <v>64337.5802</v>
      </c>
      <c r="F490" t="n">
        <v>0.8673999999999999</v>
      </c>
      <c r="G490" t="n">
        <v>-100</v>
      </c>
      <c r="H490" t="n">
        <v>5.571968</v>
      </c>
      <c r="I490" t="n">
        <v>5.556837</v>
      </c>
      <c r="J490" t="n">
        <v>0.015131</v>
      </c>
      <c r="K490" s="4">
        <f>IFERROR(J490/I490,"")</f>
        <v/>
      </c>
      <c r="L490" s="4">
        <f>IFERROR((D490-E490)/E490,"")</f>
        <v/>
      </c>
      <c r="M490" s="19">
        <f>IFERROR(F490*G490/10000,"")</f>
        <v/>
      </c>
    </row>
    <row r="491">
      <c r="A491" t="inlineStr">
        <is>
          <t>2026-10-30</t>
        </is>
      </c>
      <c r="B491" t="inlineStr">
        <is>
          <t>159732</t>
        </is>
      </c>
      <c r="C491" t="inlineStr">
        <is>
          <t>消费电子ETF华夏</t>
        </is>
      </c>
      <c r="D491" t="n">
        <v>199944.7904</v>
      </c>
      <c r="E491" t="n">
        <v>200944.7904</v>
      </c>
      <c r="F491" t="n">
        <v>1.0935</v>
      </c>
      <c r="G491" t="n">
        <v>-1000</v>
      </c>
      <c r="H491" t="n">
        <v>21.863963</v>
      </c>
      <c r="I491" t="n">
        <v>21.175562</v>
      </c>
      <c r="J491" t="n">
        <v>0.688401</v>
      </c>
      <c r="K491" s="4">
        <f>IFERROR(J491/I491,"")</f>
        <v/>
      </c>
      <c r="L491" s="4">
        <f>IFERROR((D491-E491)/E491,"")</f>
        <v/>
      </c>
      <c r="M491" s="19">
        <f>IFERROR(F491*G491/10000,"")</f>
        <v/>
      </c>
    </row>
    <row r="492">
      <c r="A492" t="inlineStr">
        <is>
          <t>2026-10-30</t>
        </is>
      </c>
      <c r="B492" t="inlineStr">
        <is>
          <t>159735</t>
        </is>
      </c>
      <c r="C492" t="inlineStr">
        <is>
          <t>港股消费ETF银华</t>
        </is>
      </c>
      <c r="D492" t="n">
        <v>54156.1371</v>
      </c>
      <c r="E492" t="n">
        <v>54156.1371</v>
      </c>
      <c r="F492" t="n">
        <v>0.6129</v>
      </c>
      <c r="G492" t="n">
        <v>0</v>
      </c>
      <c r="H492" t="n">
        <v>3.31923</v>
      </c>
      <c r="I492" t="n">
        <v>3.339809</v>
      </c>
      <c r="J492" t="n">
        <v>-0.020579</v>
      </c>
      <c r="K492" s="4">
        <f>IFERROR(J492/I492,"")</f>
        <v/>
      </c>
      <c r="L492" s="4">
        <f>IFERROR((D492-E492)/E492,"")</f>
        <v/>
      </c>
      <c r="M492" s="19">
        <f>IFERROR(F492*G492/10000,"")</f>
        <v/>
      </c>
    </row>
    <row r="493">
      <c r="A493" t="inlineStr">
        <is>
          <t>2026-10-30</t>
        </is>
      </c>
      <c r="B493" t="inlineStr">
        <is>
          <t>159736</t>
        </is>
      </c>
      <c r="C493" t="inlineStr">
        <is>
          <t>食品饮料ETF天弘</t>
        </is>
      </c>
      <c r="D493" t="n">
        <v>750039.4457</v>
      </c>
      <c r="E493" t="n">
        <v>750639.4457</v>
      </c>
      <c r="F493" t="n">
        <v>0.5682</v>
      </c>
      <c r="G493" t="n">
        <v>-600</v>
      </c>
      <c r="H493" t="n">
        <v>42.617241</v>
      </c>
      <c r="I493" t="n">
        <v>43.139249</v>
      </c>
      <c r="J493" t="n">
        <v>-0.522008</v>
      </c>
      <c r="K493" s="4">
        <f>IFERROR(J493/I493,"")</f>
        <v/>
      </c>
      <c r="L493" s="4">
        <f>IFERROR((D493-E493)/E493,"")</f>
        <v/>
      </c>
      <c r="M493" s="19">
        <f>IFERROR(F493*G493/10000,"")</f>
        <v/>
      </c>
    </row>
    <row r="494">
      <c r="A494" t="inlineStr">
        <is>
          <t>2026-10-30</t>
        </is>
      </c>
      <c r="B494" t="inlineStr">
        <is>
          <t>159738</t>
        </is>
      </c>
      <c r="C494" t="inlineStr">
        <is>
          <t>云计算ETF华泰柏瑞</t>
        </is>
      </c>
      <c r="D494" t="n">
        <v>13499.2667</v>
      </c>
      <c r="E494" t="n">
        <v>13499.2667</v>
      </c>
      <c r="F494" t="n">
        <v>1.7256</v>
      </c>
      <c r="G494" t="n">
        <v>0</v>
      </c>
      <c r="H494" t="n">
        <v>2.329433</v>
      </c>
      <c r="I494" t="n">
        <v>2.287316</v>
      </c>
      <c r="J494" t="n">
        <v>0.042117</v>
      </c>
      <c r="K494" s="4">
        <f>IFERROR(J494/I494,"")</f>
        <v/>
      </c>
      <c r="L494" s="4">
        <f>IFERROR((D494-E494)/E494,"")</f>
        <v/>
      </c>
      <c r="M494" s="19">
        <f>IFERROR(F494*G494/10000,"")</f>
        <v/>
      </c>
    </row>
    <row r="495">
      <c r="A495" t="inlineStr">
        <is>
          <t>2026-10-30</t>
        </is>
      </c>
      <c r="B495" t="inlineStr">
        <is>
          <t>159739</t>
        </is>
      </c>
      <c r="C495" t="inlineStr">
        <is>
          <t>云计算ETF鹏华</t>
        </is>
      </c>
      <c r="D495" t="n">
        <v>39796.123</v>
      </c>
      <c r="E495" t="n">
        <v>39956.123</v>
      </c>
      <c r="F495" t="n">
        <v>0.6905</v>
      </c>
      <c r="G495" t="n">
        <v>-160</v>
      </c>
      <c r="H495" t="n">
        <v>2.747922</v>
      </c>
      <c r="I495" t="n">
        <v>2.728204</v>
      </c>
      <c r="J495" t="n">
        <v>0.019718</v>
      </c>
      <c r="K495" s="4">
        <f>IFERROR(J495/I495,"")</f>
        <v/>
      </c>
      <c r="L495" s="4">
        <f>IFERROR((D495-E495)/E495,"")</f>
        <v/>
      </c>
      <c r="M495" s="19">
        <f>IFERROR(F495*G495/10000,"")</f>
        <v/>
      </c>
    </row>
    <row r="496">
      <c r="A496" t="inlineStr">
        <is>
          <t>2026-10-30</t>
        </is>
      </c>
      <c r="B496" t="inlineStr">
        <is>
          <t>159740</t>
        </is>
      </c>
      <c r="C496" t="inlineStr">
        <is>
          <t>恒生科技ETF大成</t>
        </is>
      </c>
      <c r="D496" t="n">
        <v>2678212.0448</v>
      </c>
      <c r="E496" t="n">
        <v>2660712.0448</v>
      </c>
      <c r="F496" t="n">
        <v>0.478</v>
      </c>
      <c r="G496" t="n">
        <v>17500</v>
      </c>
      <c r="H496" t="n">
        <v>128.018536</v>
      </c>
      <c r="I496" t="n">
        <v>125.452573</v>
      </c>
      <c r="J496" t="n">
        <v>2.565963</v>
      </c>
      <c r="K496" s="4">
        <f>IFERROR(J496/I496,"")</f>
        <v/>
      </c>
      <c r="L496" s="4">
        <f>IFERROR((D496-E496)/E496,"")</f>
        <v/>
      </c>
      <c r="M496" s="19">
        <f>IFERROR(F496*G496/10000,"")</f>
        <v/>
      </c>
    </row>
    <row r="497">
      <c r="A497" t="inlineStr">
        <is>
          <t>2026-10-30</t>
        </is>
      </c>
      <c r="B497" t="inlineStr">
        <is>
          <t>159741</t>
        </is>
      </c>
      <c r="C497" t="inlineStr">
        <is>
          <t>恒生科技ETF嘉实</t>
        </is>
      </c>
      <c r="D497" t="n">
        <v>168979.6712</v>
      </c>
      <c r="E497" t="n">
        <v>168979.6712</v>
      </c>
      <c r="F497" t="n">
        <v>0.4807</v>
      </c>
      <c r="G497" t="n">
        <v>0</v>
      </c>
      <c r="H497" t="n">
        <v>8.122852999999999</v>
      </c>
      <c r="I497" t="n">
        <v>8.011326</v>
      </c>
      <c r="J497" t="n">
        <v>0.111527</v>
      </c>
      <c r="K497" s="4">
        <f>IFERROR(J497/I497,"")</f>
        <v/>
      </c>
      <c r="L497" s="4">
        <f>IFERROR((D497-E497)/E497,"")</f>
        <v/>
      </c>
      <c r="M497" s="19">
        <f>IFERROR(F497*G497/10000,"")</f>
        <v/>
      </c>
    </row>
    <row r="498">
      <c r="A498" t="inlineStr">
        <is>
          <t>2026-10-30</t>
        </is>
      </c>
      <c r="B498" t="inlineStr">
        <is>
          <t>159742</t>
        </is>
      </c>
      <c r="C498" t="inlineStr">
        <is>
          <t>恒生科技ETF博时</t>
        </is>
      </c>
      <c r="D498" t="n">
        <v>646692.8292</v>
      </c>
      <c r="E498" t="n">
        <v>646692.8292</v>
      </c>
      <c r="F498" t="n">
        <v>0.4905</v>
      </c>
      <c r="G498" t="n">
        <v>0</v>
      </c>
      <c r="H498" t="n">
        <v>31.720283</v>
      </c>
      <c r="I498" t="n">
        <v>31.286999</v>
      </c>
      <c r="J498" t="n">
        <v>0.433284</v>
      </c>
      <c r="K498" s="4">
        <f>IFERROR(J498/I498,"")</f>
        <v/>
      </c>
      <c r="L498" s="4">
        <f>IFERROR((D498-E498)/E498,"")</f>
        <v/>
      </c>
      <c r="M498" s="19">
        <f>IFERROR(F498*G498/10000,"")</f>
        <v/>
      </c>
    </row>
    <row r="499">
      <c r="A499" t="inlineStr">
        <is>
          <t>2026-10-30</t>
        </is>
      </c>
      <c r="B499" t="inlineStr">
        <is>
          <t>159743</t>
        </is>
      </c>
      <c r="C499" t="inlineStr">
        <is>
          <t>湖北ETF博时</t>
        </is>
      </c>
      <c r="D499" t="n">
        <v>11194.11</v>
      </c>
      <c r="E499" t="n">
        <v>11194.11</v>
      </c>
      <c r="F499" t="n">
        <v>1.2101</v>
      </c>
      <c r="G499" t="n">
        <v>0</v>
      </c>
      <c r="H499" t="n">
        <v>1.354599</v>
      </c>
      <c r="I499" t="n">
        <v>1.324151</v>
      </c>
      <c r="J499" t="n">
        <v>0.030448</v>
      </c>
      <c r="K499" s="4">
        <f>IFERROR(J499/I499,"")</f>
        <v/>
      </c>
      <c r="L499" s="4">
        <f>IFERROR((D499-E499)/E499,"")</f>
        <v/>
      </c>
      <c r="M499" s="19">
        <f>IFERROR(F499*G499/10000,"")</f>
        <v/>
      </c>
    </row>
    <row r="500">
      <c r="A500" t="inlineStr">
        <is>
          <t>2026-10-30</t>
        </is>
      </c>
      <c r="B500" t="inlineStr">
        <is>
          <t>159745</t>
        </is>
      </c>
      <c r="C500" t="inlineStr">
        <is>
          <t>建材ETF国泰</t>
        </is>
      </c>
      <c r="D500" t="n">
        <v>134968.8265</v>
      </c>
      <c r="E500" t="n">
        <v>136068.8265</v>
      </c>
      <c r="F500" t="n">
        <v>0.5034999999999999</v>
      </c>
      <c r="G500" t="n">
        <v>-1100</v>
      </c>
      <c r="H500" t="n">
        <v>6.79568</v>
      </c>
      <c r="I500" t="n">
        <v>6.874197</v>
      </c>
      <c r="J500" t="n">
        <v>-0.078517</v>
      </c>
      <c r="K500" s="4">
        <f>IFERROR(J500/I500,"")</f>
        <v/>
      </c>
      <c r="L500" s="4">
        <f>IFERROR((D500-E500)/E500,"")</f>
        <v/>
      </c>
      <c r="M500" s="19">
        <f>IFERROR(F500*G500/10000,"")</f>
        <v/>
      </c>
    </row>
    <row r="501">
      <c r="A501" t="inlineStr">
        <is>
          <t>2026-10-30</t>
        </is>
      </c>
      <c r="B501" t="inlineStr">
        <is>
          <t>159747</t>
        </is>
      </c>
      <c r="C501" t="inlineStr">
        <is>
          <t>香港科技ETF南方</t>
        </is>
      </c>
      <c r="D501" t="n">
        <v>32571.2278</v>
      </c>
      <c r="E501" t="n">
        <v>32671.2278</v>
      </c>
      <c r="F501" t="n">
        <v>0.9896</v>
      </c>
      <c r="G501" t="n">
        <v>-100</v>
      </c>
      <c r="H501" t="n">
        <v>3.223249</v>
      </c>
      <c r="I501" t="n">
        <v>3.189039</v>
      </c>
      <c r="J501" t="n">
        <v>0.03421</v>
      </c>
      <c r="K501" s="4">
        <f>IFERROR(J501/I501,"")</f>
        <v/>
      </c>
      <c r="L501" s="4">
        <f>IFERROR((D501-E501)/E501,"")</f>
        <v/>
      </c>
      <c r="M501" s="19">
        <f>IFERROR(F501*G501/10000,"")</f>
        <v/>
      </c>
    </row>
    <row r="502">
      <c r="A502" t="inlineStr">
        <is>
          <t>2026-10-30</t>
        </is>
      </c>
      <c r="B502" t="inlineStr">
        <is>
          <t>159748</t>
        </is>
      </c>
      <c r="C502" t="inlineStr">
        <is>
          <t>创新药ETF富国</t>
        </is>
      </c>
      <c r="D502" t="n">
        <v>124369.2128</v>
      </c>
      <c r="E502" t="n">
        <v>124569.2128</v>
      </c>
      <c r="F502" t="n">
        <v>0.7795</v>
      </c>
      <c r="G502" t="n">
        <v>-200</v>
      </c>
      <c r="H502" t="n">
        <v>9.69458</v>
      </c>
      <c r="I502" t="n">
        <v>9.53079</v>
      </c>
      <c r="J502" t="n">
        <v>0.16379</v>
      </c>
      <c r="K502" s="4">
        <f>IFERROR(J502/I502,"")</f>
        <v/>
      </c>
      <c r="L502" s="4">
        <f>IFERROR((D502-E502)/E502,"")</f>
        <v/>
      </c>
      <c r="M502" s="19">
        <f>IFERROR(F502*G502/10000,"")</f>
        <v/>
      </c>
    </row>
    <row r="503">
      <c r="A503" t="inlineStr">
        <is>
          <t>2026-10-30</t>
        </is>
      </c>
      <c r="B503" t="inlineStr">
        <is>
          <t>159750</t>
        </is>
      </c>
      <c r="C503" t="inlineStr">
        <is>
          <t>港股科技50ETF招商</t>
        </is>
      </c>
      <c r="D503" t="n">
        <v>127561.8251</v>
      </c>
      <c r="E503" t="n">
        <v>127561.8251</v>
      </c>
      <c r="F503" t="n">
        <v>0.7295</v>
      </c>
      <c r="G503" t="n">
        <v>0</v>
      </c>
      <c r="H503" t="n">
        <v>9.305635000000001</v>
      </c>
      <c r="I503" t="n">
        <v>9.178072999999999</v>
      </c>
      <c r="J503" t="n">
        <v>0.127562</v>
      </c>
      <c r="K503" s="4">
        <f>IFERROR(J503/I503,"")</f>
        <v/>
      </c>
      <c r="L503" s="4">
        <f>IFERROR((D503-E503)/E503,"")</f>
        <v/>
      </c>
      <c r="M503" s="19">
        <f>IFERROR(F503*G503/10000,"")</f>
        <v/>
      </c>
    </row>
    <row r="504">
      <c r="A504" t="inlineStr">
        <is>
          <t>2026-10-30</t>
        </is>
      </c>
      <c r="B504" t="inlineStr">
        <is>
          <t>159751</t>
        </is>
      </c>
      <c r="C504" t="inlineStr">
        <is>
          <t>港股通科技ETF鹏华</t>
        </is>
      </c>
      <c r="D504" t="n">
        <v>88962.96279999999</v>
      </c>
      <c r="E504" t="n">
        <v>88962.96279999999</v>
      </c>
      <c r="F504" t="n">
        <v>0.7464</v>
      </c>
      <c r="G504" t="n">
        <v>0</v>
      </c>
      <c r="H504" t="n">
        <v>6.640196</v>
      </c>
      <c r="I504" t="n">
        <v>6.528992</v>
      </c>
      <c r="J504" t="n">
        <v>0.111204</v>
      </c>
      <c r="K504" s="4">
        <f>IFERROR(J504/I504,"")</f>
        <v/>
      </c>
      <c r="L504" s="4">
        <f>IFERROR((D504-E504)/E504,"")</f>
        <v/>
      </c>
      <c r="M504" s="19">
        <f>IFERROR(F504*G504/10000,"")</f>
        <v/>
      </c>
    </row>
    <row r="505">
      <c r="A505" t="inlineStr">
        <is>
          <t>2026-10-30</t>
        </is>
      </c>
      <c r="B505" t="inlineStr">
        <is>
          <t>159752</t>
        </is>
      </c>
      <c r="C505" t="inlineStr">
        <is>
          <t>新能源ETF申万菱信</t>
        </is>
      </c>
      <c r="D505" t="n">
        <v>33395.8917</v>
      </c>
      <c r="E505" t="n">
        <v>33495.8917</v>
      </c>
      <c r="F505" t="n">
        <v>0.4683</v>
      </c>
      <c r="G505" t="n">
        <v>-100</v>
      </c>
      <c r="H505" t="n">
        <v>1.56393</v>
      </c>
      <c r="I505" t="n">
        <v>1.554544</v>
      </c>
      <c r="J505" t="n">
        <v>0.009386</v>
      </c>
      <c r="K505" s="4">
        <f>IFERROR(J505/I505,"")</f>
        <v/>
      </c>
      <c r="L505" s="4">
        <f>IFERROR((D505-E505)/E505,"")</f>
        <v/>
      </c>
      <c r="M505" s="19">
        <f>IFERROR(F505*G505/10000,"")</f>
        <v/>
      </c>
    </row>
    <row r="506">
      <c r="A506" t="inlineStr">
        <is>
          <t>2026-10-30</t>
        </is>
      </c>
      <c r="B506" t="inlineStr">
        <is>
          <t>159755</t>
        </is>
      </c>
      <c r="C506" t="inlineStr">
        <is>
          <t>电池ETF广发</t>
        </is>
      </c>
      <c r="D506" t="n">
        <v>726964.6746</v>
      </c>
      <c r="E506" t="n">
        <v>729464.6746</v>
      </c>
      <c r="F506" t="n">
        <v>0.751</v>
      </c>
      <c r="G506" t="n">
        <v>-2500</v>
      </c>
      <c r="H506" t="n">
        <v>54.595047</v>
      </c>
      <c r="I506" t="n">
        <v>54.162752</v>
      </c>
      <c r="J506" t="n">
        <v>0.432295</v>
      </c>
      <c r="K506" s="4">
        <f>IFERROR(J506/I506,"")</f>
        <v/>
      </c>
      <c r="L506" s="4">
        <f>IFERROR((D506-E506)/E506,"")</f>
        <v/>
      </c>
      <c r="M506" s="19">
        <f>IFERROR(F506*G506/10000,"")</f>
        <v/>
      </c>
    </row>
    <row r="507">
      <c r="A507" t="inlineStr">
        <is>
          <t>2026-10-30</t>
        </is>
      </c>
      <c r="B507" t="inlineStr">
        <is>
          <t>159757</t>
        </is>
      </c>
      <c r="C507" t="inlineStr">
        <is>
          <t>电池ETF景顺</t>
        </is>
      </c>
      <c r="D507" t="n">
        <v>27393.1891</v>
      </c>
      <c r="E507" t="n">
        <v>27393.1891</v>
      </c>
      <c r="F507" t="n">
        <v>0.6277</v>
      </c>
      <c r="G507" t="n">
        <v>0</v>
      </c>
      <c r="H507" t="n">
        <v>1.71947</v>
      </c>
      <c r="I507" t="n">
        <v>1.700295</v>
      </c>
      <c r="J507" t="n">
        <v>0.019175</v>
      </c>
      <c r="K507" s="4">
        <f>IFERROR(J507/I507,"")</f>
        <v/>
      </c>
      <c r="L507" s="4">
        <f>IFERROR((D507-E507)/E507,"")</f>
        <v/>
      </c>
      <c r="M507" s="19">
        <f>IFERROR(F507*G507/10000,"")</f>
        <v/>
      </c>
    </row>
    <row r="508">
      <c r="A508" t="inlineStr">
        <is>
          <t>2026-10-30</t>
        </is>
      </c>
      <c r="B508" t="inlineStr">
        <is>
          <t>159758</t>
        </is>
      </c>
      <c r="C508" t="inlineStr">
        <is>
          <t>红利质量ETF华夏</t>
        </is>
      </c>
      <c r="D508" t="n">
        <v>125029.0777</v>
      </c>
      <c r="E508" t="n">
        <v>125229.0777</v>
      </c>
      <c r="F508" t="n">
        <v>1.0237</v>
      </c>
      <c r="G508" t="n">
        <v>-200</v>
      </c>
      <c r="H508" t="n">
        <v>12.799227</v>
      </c>
      <c r="I508" t="n">
        <v>12.774618</v>
      </c>
      <c r="J508" t="n">
        <v>0.024609</v>
      </c>
      <c r="K508" s="4">
        <f>IFERROR(J508/I508,"")</f>
        <v/>
      </c>
      <c r="L508" s="4">
        <f>IFERROR((D508-E508)/E508,"")</f>
        <v/>
      </c>
      <c r="M508" s="19">
        <f>IFERROR(F508*G508/10000,"")</f>
        <v/>
      </c>
    </row>
    <row r="509">
      <c r="A509" t="inlineStr">
        <is>
          <t>2026-10-30</t>
        </is>
      </c>
      <c r="B509" t="inlineStr">
        <is>
          <t>159760</t>
        </is>
      </c>
      <c r="C509" t="inlineStr">
        <is>
          <t>医疗健康ETF泰康</t>
        </is>
      </c>
      <c r="D509" t="n">
        <v>12636.0223</v>
      </c>
      <c r="E509" t="n">
        <v>12636.0223</v>
      </c>
      <c r="F509" t="n">
        <v>0.5614</v>
      </c>
      <c r="G509" t="n">
        <v>0</v>
      </c>
      <c r="H509" t="n">
        <v>0.709386</v>
      </c>
      <c r="I509" t="n">
        <v>0.703826</v>
      </c>
      <c r="J509" t="n">
        <v>0.00556</v>
      </c>
      <c r="K509" s="4">
        <f>IFERROR(J509/I509,"")</f>
        <v/>
      </c>
      <c r="L509" s="4">
        <f>IFERROR((D509-E509)/E509,"")</f>
        <v/>
      </c>
      <c r="M509" s="19">
        <f>IFERROR(F509*G509/10000,"")</f>
        <v/>
      </c>
    </row>
    <row r="510">
      <c r="A510" t="inlineStr">
        <is>
          <t>2026-10-30</t>
        </is>
      </c>
      <c r="B510" t="inlineStr">
        <is>
          <t>159761</t>
        </is>
      </c>
      <c r="C510" t="inlineStr">
        <is>
          <t>新材料ETF国泰</t>
        </is>
      </c>
      <c r="D510" t="n">
        <v>19673.4117</v>
      </c>
      <c r="E510" t="n">
        <v>19673.4117</v>
      </c>
      <c r="F510" t="n">
        <v>0.6339</v>
      </c>
      <c r="G510" t="n">
        <v>0</v>
      </c>
      <c r="H510" t="n">
        <v>1.247098</v>
      </c>
      <c r="I510" t="n">
        <v>1.224276</v>
      </c>
      <c r="J510" t="n">
        <v>0.022822</v>
      </c>
      <c r="K510" s="4">
        <f>IFERROR(J510/I510,"")</f>
        <v/>
      </c>
      <c r="L510" s="4">
        <f>IFERROR((D510-E510)/E510,"")</f>
        <v/>
      </c>
      <c r="M510" s="19">
        <f>IFERROR(F510*G510/10000,"")</f>
        <v/>
      </c>
    </row>
    <row r="511">
      <c r="A511" t="inlineStr">
        <is>
          <t>2026-10-30</t>
        </is>
      </c>
      <c r="B511" t="inlineStr">
        <is>
          <t>159763</t>
        </is>
      </c>
      <c r="C511" t="inlineStr">
        <is>
          <t>新材料ETF建信</t>
        </is>
      </c>
      <c r="D511" t="n">
        <v>9170.7747</v>
      </c>
      <c r="E511" t="n">
        <v>9170.7747</v>
      </c>
      <c r="F511" t="n">
        <v>0.5732</v>
      </c>
      <c r="G511" t="n">
        <v>0</v>
      </c>
      <c r="H511" t="n">
        <v>0.5256690000000001</v>
      </c>
      <c r="I511" t="n">
        <v>0.515948</v>
      </c>
      <c r="J511" t="n">
        <v>0.009721</v>
      </c>
      <c r="K511" s="4">
        <f>IFERROR(J511/I511,"")</f>
        <v/>
      </c>
      <c r="L511" s="4">
        <f>IFERROR((D511-E511)/E511,"")</f>
        <v/>
      </c>
      <c r="M511" s="19">
        <f>IFERROR(F511*G511/10000,"")</f>
        <v/>
      </c>
    </row>
    <row r="512">
      <c r="A512" t="inlineStr">
        <is>
          <t>2026-10-30</t>
        </is>
      </c>
      <c r="B512" t="inlineStr">
        <is>
          <t>159766</t>
        </is>
      </c>
      <c r="C512" t="inlineStr">
        <is>
          <t>旅游ETF富国</t>
        </is>
      </c>
      <c r="D512" t="n">
        <v>519064.0963</v>
      </c>
      <c r="E512" t="n">
        <v>523514.0963</v>
      </c>
      <c r="F512" t="n">
        <v>0.518</v>
      </c>
      <c r="G512" t="n">
        <v>-4450</v>
      </c>
      <c r="H512" t="n">
        <v>26.88752</v>
      </c>
      <c r="I512" t="n">
        <v>27.243674</v>
      </c>
      <c r="J512" t="n">
        <v>-0.356154</v>
      </c>
      <c r="K512" s="4">
        <f>IFERROR(J512/I512,"")</f>
        <v/>
      </c>
      <c r="L512" s="4">
        <f>IFERROR((D512-E512)/E512,"")</f>
        <v/>
      </c>
      <c r="M512" s="19">
        <f>IFERROR(F512*G512/10000,"")</f>
        <v/>
      </c>
    </row>
    <row r="513">
      <c r="A513" t="inlineStr">
        <is>
          <t>2026-10-30</t>
        </is>
      </c>
      <c r="B513" t="inlineStr">
        <is>
          <t>159767</t>
        </is>
      </c>
      <c r="C513" t="inlineStr">
        <is>
          <t>电池龙头ETF兴银</t>
        </is>
      </c>
      <c r="D513" t="n">
        <v>26087.3672</v>
      </c>
      <c r="E513" t="n">
        <v>26187.3672</v>
      </c>
      <c r="F513" t="n">
        <v>0.6125</v>
      </c>
      <c r="G513" t="n">
        <v>-100</v>
      </c>
      <c r="H513" t="n">
        <v>1.597851</v>
      </c>
      <c r="I513" t="n">
        <v>1.586169</v>
      </c>
      <c r="J513" t="n">
        <v>0.011682</v>
      </c>
      <c r="K513" s="4">
        <f>IFERROR(J513/I513,"")</f>
        <v/>
      </c>
      <c r="L513" s="4">
        <f>IFERROR((D513-E513)/E513,"")</f>
        <v/>
      </c>
      <c r="M513" s="19">
        <f>IFERROR(F513*G513/10000,"")</f>
        <v/>
      </c>
    </row>
    <row r="514">
      <c r="A514" t="inlineStr">
        <is>
          <t>2026-10-30</t>
        </is>
      </c>
      <c r="B514" t="inlineStr">
        <is>
          <t>159768</t>
        </is>
      </c>
      <c r="C514" t="inlineStr">
        <is>
          <t>房地产ETF银华</t>
        </is>
      </c>
      <c r="D514" t="n">
        <v>82795.03109999999</v>
      </c>
      <c r="E514" t="n">
        <v>82895.03109999999</v>
      </c>
      <c r="F514" t="n">
        <v>0.4431</v>
      </c>
      <c r="G514" t="n">
        <v>-100</v>
      </c>
      <c r="H514" t="n">
        <v>3.668648</v>
      </c>
      <c r="I514" t="n">
        <v>3.678881</v>
      </c>
      <c r="J514" t="n">
        <v>-0.010233</v>
      </c>
      <c r="K514" s="4">
        <f>IFERROR(J514/I514,"")</f>
        <v/>
      </c>
      <c r="L514" s="4">
        <f>IFERROR((D514-E514)/E514,"")</f>
        <v/>
      </c>
      <c r="M514" s="19">
        <f>IFERROR(F514*G514/10000,"")</f>
        <v/>
      </c>
    </row>
    <row r="515">
      <c r="A515" t="inlineStr">
        <is>
          <t>2026-10-30</t>
        </is>
      </c>
      <c r="B515" t="inlineStr">
        <is>
          <t>159770</t>
        </is>
      </c>
      <c r="C515" t="inlineStr">
        <is>
          <t>机器人ETF天弘</t>
        </is>
      </c>
      <c r="D515" t="n">
        <v>603258.7762</v>
      </c>
      <c r="E515" t="n">
        <v>602058.7762</v>
      </c>
      <c r="F515" t="n">
        <v>0.9231</v>
      </c>
      <c r="G515" t="n">
        <v>1200</v>
      </c>
      <c r="H515" t="n">
        <v>55.686818</v>
      </c>
      <c r="I515" t="n">
        <v>53.348428</v>
      </c>
      <c r="J515" t="n">
        <v>2.33839</v>
      </c>
      <c r="K515" s="4">
        <f>IFERROR(J515/I515,"")</f>
        <v/>
      </c>
      <c r="L515" s="4">
        <f>IFERROR((D515-E515)/E515,"")</f>
        <v/>
      </c>
      <c r="M515" s="19">
        <f>IFERROR(F515*G515/10000,"")</f>
        <v/>
      </c>
    </row>
    <row r="516">
      <c r="A516" t="inlineStr">
        <is>
          <t>2026-10-30</t>
        </is>
      </c>
      <c r="B516" t="inlineStr">
        <is>
          <t>159773</t>
        </is>
      </c>
      <c r="C516" t="inlineStr">
        <is>
          <t>创业板科技ETF华泰柏瑞</t>
        </is>
      </c>
      <c r="D516" t="n">
        <v>14590.312</v>
      </c>
      <c r="E516" t="n">
        <v>14350.312</v>
      </c>
      <c r="F516" t="n">
        <v>1.0467</v>
      </c>
      <c r="G516" t="n">
        <v>240</v>
      </c>
      <c r="H516" t="n">
        <v>1.527168</v>
      </c>
      <c r="I516" t="n">
        <v>1.460862</v>
      </c>
      <c r="J516" t="n">
        <v>0.066306</v>
      </c>
      <c r="K516" s="4">
        <f>IFERROR(J516/I516,"")</f>
        <v/>
      </c>
      <c r="L516" s="4">
        <f>IFERROR((D516-E516)/E516,"")</f>
        <v/>
      </c>
      <c r="M516" s="19">
        <f>IFERROR(F516*G516/10000,"")</f>
        <v/>
      </c>
    </row>
    <row r="517">
      <c r="A517" t="inlineStr">
        <is>
          <t>2026-10-30</t>
        </is>
      </c>
      <c r="B517" t="inlineStr">
        <is>
          <t>159775</t>
        </is>
      </c>
      <c r="C517" t="inlineStr">
        <is>
          <t>电池ETF建信</t>
        </is>
      </c>
      <c r="D517" t="n">
        <v>68364.8961</v>
      </c>
      <c r="E517" t="n">
        <v>68464.8961</v>
      </c>
      <c r="F517" t="n">
        <v>0.6242</v>
      </c>
      <c r="G517" t="n">
        <v>-100</v>
      </c>
      <c r="H517" t="n">
        <v>4.267337</v>
      </c>
      <c r="I517" t="n">
        <v>4.225653</v>
      </c>
      <c r="J517" t="n">
        <v>0.041684</v>
      </c>
      <c r="K517" s="4">
        <f>IFERROR(J517/I517,"")</f>
        <v/>
      </c>
      <c r="L517" s="4">
        <f>IFERROR((D517-E517)/E517,"")</f>
        <v/>
      </c>
      <c r="M517" s="19">
        <f>IFERROR(F517*G517/10000,"")</f>
        <v/>
      </c>
    </row>
    <row r="518">
      <c r="A518" t="inlineStr">
        <is>
          <t>2026-10-30</t>
        </is>
      </c>
      <c r="B518" t="inlineStr">
        <is>
          <t>159776</t>
        </is>
      </c>
      <c r="C518" t="inlineStr">
        <is>
          <t>港股医药ETF银华</t>
        </is>
      </c>
      <c r="D518" t="n">
        <v>7996.8765</v>
      </c>
      <c r="E518" t="n">
        <v>7996.8765</v>
      </c>
      <c r="F518" t="n">
        <v>1.1102</v>
      </c>
      <c r="G518" t="n">
        <v>0</v>
      </c>
      <c r="H518" t="n">
        <v>0.887813</v>
      </c>
      <c r="I518" t="n">
        <v>0.873499</v>
      </c>
      <c r="J518" t="n">
        <v>0.014314</v>
      </c>
      <c r="K518" s="4">
        <f>IFERROR(J518/I518,"")</f>
        <v/>
      </c>
      <c r="L518" s="4">
        <f>IFERROR((D518-E518)/E518,"")</f>
        <v/>
      </c>
      <c r="M518" s="19">
        <f>IFERROR(F518*G518/10000,"")</f>
        <v/>
      </c>
    </row>
    <row r="519">
      <c r="A519" t="inlineStr">
        <is>
          <t>2026-10-30</t>
        </is>
      </c>
      <c r="B519" t="inlineStr">
        <is>
          <t>159777</t>
        </is>
      </c>
      <c r="C519" t="inlineStr">
        <is>
          <t>创科技ETF国联安</t>
        </is>
      </c>
      <c r="D519" t="n">
        <v>2628.0565</v>
      </c>
      <c r="E519" t="n">
        <v>2628.0565</v>
      </c>
      <c r="F519" t="n">
        <v>0.9794</v>
      </c>
      <c r="G519" t="n">
        <v>0</v>
      </c>
      <c r="H519" t="n">
        <v>0.257392</v>
      </c>
      <c r="I519" t="n">
        <v>0.250349</v>
      </c>
      <c r="J519" t="n">
        <v>0.007043</v>
      </c>
      <c r="K519" s="4">
        <f>IFERROR(J519/I519,"")</f>
        <v/>
      </c>
      <c r="L519" s="4">
        <f>IFERROR((D519-E519)/E519,"")</f>
        <v/>
      </c>
      <c r="M519" s="19">
        <f>IFERROR(F519*G519/10000,"")</f>
        <v/>
      </c>
    </row>
    <row r="520">
      <c r="A520" t="inlineStr">
        <is>
          <t>2026-10-30</t>
        </is>
      </c>
      <c r="B520" t="inlineStr">
        <is>
          <t>159778</t>
        </is>
      </c>
      <c r="C520" t="inlineStr">
        <is>
          <t>工业互联网ETF鹏华</t>
        </is>
      </c>
      <c r="D520" t="n">
        <v>5150.5382</v>
      </c>
      <c r="E520" t="n">
        <v>4775.5382</v>
      </c>
      <c r="F520" t="n">
        <v>1.0094</v>
      </c>
      <c r="G520" t="n">
        <v>375</v>
      </c>
      <c r="H520" t="n">
        <v>0.519895</v>
      </c>
      <c r="I520" t="n">
        <v>0.469053</v>
      </c>
      <c r="J520" t="n">
        <v>0.050842</v>
      </c>
      <c r="K520" s="4">
        <f>IFERROR(J520/I520,"")</f>
        <v/>
      </c>
      <c r="L520" s="4">
        <f>IFERROR((D520-E520)/E520,"")</f>
        <v/>
      </c>
      <c r="M520" s="19">
        <f>IFERROR(F520*G520/10000,"")</f>
        <v/>
      </c>
    </row>
    <row r="521">
      <c r="A521" t="inlineStr">
        <is>
          <t>2026-10-30</t>
        </is>
      </c>
      <c r="B521" t="inlineStr">
        <is>
          <t>159779</t>
        </is>
      </c>
      <c r="C521" t="inlineStr">
        <is>
          <t>消费电子ETF招商</t>
        </is>
      </c>
      <c r="D521" t="n">
        <v>13086.9337</v>
      </c>
      <c r="E521" t="n">
        <v>12886.9337</v>
      </c>
      <c r="F521" t="n">
        <v>1.1806</v>
      </c>
      <c r="G521" t="n">
        <v>200</v>
      </c>
      <c r="H521" t="n">
        <v>1.545043</v>
      </c>
      <c r="I521" t="n">
        <v>1.45893</v>
      </c>
      <c r="J521" t="n">
        <v>0.086113</v>
      </c>
      <c r="K521" s="4">
        <f>IFERROR(J521/I521,"")</f>
        <v/>
      </c>
      <c r="L521" s="4">
        <f>IFERROR((D521-E521)/E521,"")</f>
        <v/>
      </c>
      <c r="M521" s="19">
        <f>IFERROR(F521*G521/10000,"")</f>
        <v/>
      </c>
    </row>
    <row r="522">
      <c r="A522" t="inlineStr">
        <is>
          <t>2026-10-30</t>
        </is>
      </c>
      <c r="B522" t="inlineStr">
        <is>
          <t>159780</t>
        </is>
      </c>
      <c r="C522" t="inlineStr">
        <is>
          <t>科创创业50ETF南方</t>
        </is>
      </c>
      <c r="D522" t="n">
        <v>387344.8583</v>
      </c>
      <c r="E522" t="n">
        <v>385784.8583</v>
      </c>
      <c r="F522" t="n">
        <v>0.803</v>
      </c>
      <c r="G522" t="n">
        <v>1560</v>
      </c>
      <c r="H522" t="n">
        <v>31.103792</v>
      </c>
      <c r="I522" t="n">
        <v>29.902184</v>
      </c>
      <c r="J522" t="n">
        <v>1.201608</v>
      </c>
      <c r="K522" s="4">
        <f>IFERROR(J522/I522,"")</f>
        <v/>
      </c>
      <c r="L522" s="4">
        <f>IFERROR((D522-E522)/E522,"")</f>
        <v/>
      </c>
      <c r="M522" s="19">
        <f>IFERROR(F522*G522/10000,"")</f>
        <v/>
      </c>
    </row>
    <row r="523">
      <c r="A523" t="inlineStr">
        <is>
          <t>2026-10-30</t>
        </is>
      </c>
      <c r="B523" t="inlineStr">
        <is>
          <t>159781</t>
        </is>
      </c>
      <c r="C523" t="inlineStr">
        <is>
          <t>科创创业ETF易方达</t>
        </is>
      </c>
      <c r="D523" t="n">
        <v>2006886.0533</v>
      </c>
      <c r="E523" t="n">
        <v>1970286.0533</v>
      </c>
      <c r="F523" t="n">
        <v>0.8008</v>
      </c>
      <c r="G523" t="n">
        <v>36600</v>
      </c>
      <c r="H523" t="n">
        <v>160.711435</v>
      </c>
      <c r="I523" t="n">
        <v>152.303112</v>
      </c>
      <c r="J523" t="n">
        <v>8.408322999999999</v>
      </c>
      <c r="K523" s="4">
        <f>IFERROR(J523/I523,"")</f>
        <v/>
      </c>
      <c r="L523" s="4">
        <f>IFERROR((D523-E523)/E523,"")</f>
        <v/>
      </c>
      <c r="M523" s="19">
        <f>IFERROR(F523*G523/10000,"")</f>
        <v/>
      </c>
    </row>
    <row r="524">
      <c r="A524" t="inlineStr">
        <is>
          <t>2026-10-30</t>
        </is>
      </c>
      <c r="B524" t="inlineStr">
        <is>
          <t>159782</t>
        </is>
      </c>
      <c r="C524" t="inlineStr">
        <is>
          <t>双创50ETF银华</t>
        </is>
      </c>
      <c r="D524" t="n">
        <v>80719.0267</v>
      </c>
      <c r="E524" t="n">
        <v>78019.0267</v>
      </c>
      <c r="F524" t="n">
        <v>0.8058999999999999</v>
      </c>
      <c r="G524" t="n">
        <v>2700</v>
      </c>
      <c r="H524" t="n">
        <v>6.505146</v>
      </c>
      <c r="I524" t="n">
        <v>6.07066</v>
      </c>
      <c r="J524" t="n">
        <v>0.434486</v>
      </c>
      <c r="K524" s="4">
        <f>IFERROR(J524/I524,"")</f>
        <v/>
      </c>
      <c r="L524" s="4">
        <f>IFERROR((D524-E524)/E524,"")</f>
        <v/>
      </c>
      <c r="M524" s="19">
        <f>IFERROR(F524*G524/10000,"")</f>
        <v/>
      </c>
    </row>
    <row r="525">
      <c r="A525" t="inlineStr">
        <is>
          <t>2026-10-30</t>
        </is>
      </c>
      <c r="B525" t="inlineStr">
        <is>
          <t>159783</t>
        </is>
      </c>
      <c r="C525" t="inlineStr">
        <is>
          <t>科创创业50ETF华夏</t>
        </is>
      </c>
      <c r="D525" t="n">
        <v>598225.9442</v>
      </c>
      <c r="E525" t="n">
        <v>585485.9442</v>
      </c>
      <c r="F525" t="n">
        <v>0.8075</v>
      </c>
      <c r="G525" t="n">
        <v>12740</v>
      </c>
      <c r="H525" t="n">
        <v>48.306745</v>
      </c>
      <c r="I525" t="n">
        <v>45.644484</v>
      </c>
      <c r="J525" t="n">
        <v>2.662261</v>
      </c>
      <c r="K525" s="4">
        <f>IFERROR(J525/I525,"")</f>
        <v/>
      </c>
      <c r="L525" s="4">
        <f>IFERROR((D525-E525)/E525,"")</f>
        <v/>
      </c>
      <c r="M525" s="19">
        <f>IFERROR(F525*G525/10000,"")</f>
        <v/>
      </c>
    </row>
    <row r="526">
      <c r="A526" t="inlineStr">
        <is>
          <t>2026-10-30</t>
        </is>
      </c>
      <c r="B526" t="inlineStr">
        <is>
          <t>159786</t>
        </is>
      </c>
      <c r="C526" t="inlineStr">
        <is>
          <t>VRETF银华</t>
        </is>
      </c>
      <c r="D526" t="n">
        <v>8370.117399999999</v>
      </c>
      <c r="E526" t="n">
        <v>8270.117399999999</v>
      </c>
      <c r="F526" t="n">
        <v>0.9724</v>
      </c>
      <c r="G526" t="n">
        <v>100</v>
      </c>
      <c r="H526" t="n">
        <v>0.81391</v>
      </c>
      <c r="I526" t="n">
        <v>0.784421</v>
      </c>
      <c r="J526" t="n">
        <v>0.029489</v>
      </c>
      <c r="K526" s="4">
        <f>IFERROR(J526/I526,"")</f>
        <v/>
      </c>
      <c r="L526" s="4">
        <f>IFERROR((D526-E526)/E526,"")</f>
        <v/>
      </c>
      <c r="M526" s="19">
        <f>IFERROR(F526*G526/10000,"")</f>
        <v/>
      </c>
    </row>
    <row r="527">
      <c r="A527" t="inlineStr">
        <is>
          <t>2026-10-30</t>
        </is>
      </c>
      <c r="B527" t="inlineStr">
        <is>
          <t>159787</t>
        </is>
      </c>
      <c r="C527" t="inlineStr">
        <is>
          <t>建材ETF易方达</t>
        </is>
      </c>
      <c r="D527" t="n">
        <v>13652.1633</v>
      </c>
      <c r="E527" t="n">
        <v>13552.1633</v>
      </c>
      <c r="F527" t="n">
        <v>0.5577</v>
      </c>
      <c r="G527" t="n">
        <v>100</v>
      </c>
      <c r="H527" t="n">
        <v>0.761381</v>
      </c>
      <c r="I527" t="n">
        <v>0.758379</v>
      </c>
      <c r="J527" t="n">
        <v>0.003002</v>
      </c>
      <c r="K527" s="4">
        <f>IFERROR(J527/I527,"")</f>
        <v/>
      </c>
      <c r="L527" s="4">
        <f>IFERROR((D527-E527)/E527,"")</f>
        <v/>
      </c>
      <c r="M527" s="19">
        <f>IFERROR(F527*G527/10000,"")</f>
        <v/>
      </c>
    </row>
    <row r="528">
      <c r="A528" t="inlineStr">
        <is>
          <t>2026-10-30</t>
        </is>
      </c>
      <c r="B528" t="inlineStr">
        <is>
          <t>159788</t>
        </is>
      </c>
      <c r="C528" t="inlineStr">
        <is>
          <t>港股通100ETF易方达</t>
        </is>
      </c>
      <c r="D528" t="n">
        <v>7042.4965</v>
      </c>
      <c r="E528" t="n">
        <v>7042.4965</v>
      </c>
      <c r="F528" t="n">
        <v>1.1262</v>
      </c>
      <c r="G528" t="n">
        <v>0</v>
      </c>
      <c r="H528" t="n">
        <v>0.793126</v>
      </c>
      <c r="I528" t="n">
        <v>0.790309</v>
      </c>
      <c r="J528" t="n">
        <v>0.002817</v>
      </c>
      <c r="K528" s="4">
        <f>IFERROR(J528/I528,"")</f>
        <v/>
      </c>
      <c r="L528" s="4">
        <f>IFERROR((D528-E528)/E528,"")</f>
        <v/>
      </c>
      <c r="M528" s="19">
        <f>IFERROR(F528*G528/10000,"")</f>
        <v/>
      </c>
    </row>
    <row r="529">
      <c r="A529" t="inlineStr">
        <is>
          <t>2026-10-30</t>
        </is>
      </c>
      <c r="B529" t="inlineStr">
        <is>
          <t>159790</t>
        </is>
      </c>
      <c r="C529" t="inlineStr">
        <is>
          <t>碳中和ETF华夏</t>
        </is>
      </c>
      <c r="D529" t="n">
        <v>160352.8485</v>
      </c>
      <c r="E529" t="n">
        <v>159852.8485</v>
      </c>
      <c r="F529" t="n">
        <v>0.595</v>
      </c>
      <c r="G529" t="n">
        <v>500</v>
      </c>
      <c r="H529" t="n">
        <v>9.540994</v>
      </c>
      <c r="I529" t="n">
        <v>9.508046999999999</v>
      </c>
      <c r="J529" t="n">
        <v>0.032947</v>
      </c>
      <c r="K529" s="4">
        <f>IFERROR(J529/I529,"")</f>
        <v/>
      </c>
      <c r="L529" s="4">
        <f>IFERROR((D529-E529)/E529,"")</f>
        <v/>
      </c>
      <c r="M529" s="19">
        <f>IFERROR(F529*G529/10000,"")</f>
        <v/>
      </c>
    </row>
    <row r="530">
      <c r="A530" t="inlineStr">
        <is>
          <t>2026-10-30</t>
        </is>
      </c>
      <c r="B530" t="inlineStr">
        <is>
          <t>159791</t>
        </is>
      </c>
      <c r="C530" t="inlineStr">
        <is>
          <t>300ESGETF华夏</t>
        </is>
      </c>
      <c r="D530" t="n">
        <v>2908.3347</v>
      </c>
      <c r="E530" t="n">
        <v>2908.3347</v>
      </c>
      <c r="F530" t="n">
        <v>0.9983</v>
      </c>
      <c r="G530" t="n">
        <v>0</v>
      </c>
      <c r="H530" t="n">
        <v>0.290339</v>
      </c>
      <c r="I530" t="n">
        <v>0.288071</v>
      </c>
      <c r="J530" t="n">
        <v>0.002268</v>
      </c>
      <c r="K530" s="4">
        <f>IFERROR(J530/I530,"")</f>
        <v/>
      </c>
      <c r="L530" s="4">
        <f>IFERROR((D530-E530)/E530,"")</f>
        <v/>
      </c>
      <c r="M530" s="19">
        <f>IFERROR(F530*G530/10000,"")</f>
        <v/>
      </c>
    </row>
    <row r="531">
      <c r="A531" t="inlineStr">
        <is>
          <t>2026-10-30</t>
        </is>
      </c>
      <c r="B531" t="inlineStr">
        <is>
          <t>159792</t>
        </is>
      </c>
      <c r="C531" t="inlineStr">
        <is>
          <t>港股通互联网ETF富国</t>
        </is>
      </c>
      <c r="D531" t="n">
        <v>5806085.5237</v>
      </c>
      <c r="E531" t="n">
        <v>5869885.5237</v>
      </c>
      <c r="F531" t="n">
        <v>0.5078</v>
      </c>
      <c r="G531" t="n">
        <v>-63800</v>
      </c>
      <c r="H531" t="n">
        <v>294.833023</v>
      </c>
      <c r="I531" t="n">
        <v>296.546617</v>
      </c>
      <c r="J531" t="n">
        <v>-1.713594</v>
      </c>
      <c r="K531" s="4">
        <f>IFERROR(J531/I531,"")</f>
        <v/>
      </c>
      <c r="L531" s="4">
        <f>IFERROR((D531-E531)/E531,"")</f>
        <v/>
      </c>
      <c r="M531" s="19">
        <f>IFERROR(F531*G531/10000,"")</f>
        <v/>
      </c>
    </row>
    <row r="532">
      <c r="A532" t="inlineStr">
        <is>
          <t>2026-10-30</t>
        </is>
      </c>
      <c r="B532" t="inlineStr">
        <is>
          <t>159793</t>
        </is>
      </c>
      <c r="C532" t="inlineStr">
        <is>
          <t>线上消费ETF平安</t>
        </is>
      </c>
      <c r="D532" t="n">
        <v>4175.8908</v>
      </c>
      <c r="E532" t="n">
        <v>4175.8908</v>
      </c>
      <c r="F532" t="n">
        <v>0.7126</v>
      </c>
      <c r="G532" t="n">
        <v>0</v>
      </c>
      <c r="H532" t="n">
        <v>0.297574</v>
      </c>
      <c r="I532" t="n">
        <v>0.295486</v>
      </c>
      <c r="J532" t="n">
        <v>0.002088</v>
      </c>
      <c r="K532" s="4">
        <f>IFERROR(J532/I532,"")</f>
        <v/>
      </c>
      <c r="L532" s="4">
        <f>IFERROR((D532-E532)/E532,"")</f>
        <v/>
      </c>
      <c r="M532" s="19">
        <f>IFERROR(F532*G532/10000,"")</f>
        <v/>
      </c>
    </row>
    <row r="533">
      <c r="A533" t="inlineStr">
        <is>
          <t>2026-10-30</t>
        </is>
      </c>
      <c r="B533" t="inlineStr">
        <is>
          <t>159795</t>
        </is>
      </c>
      <c r="C533" t="inlineStr">
        <is>
          <t>智能汽车ETF汇添富</t>
        </is>
      </c>
      <c r="D533" t="n">
        <v>2916.9473</v>
      </c>
      <c r="E533" t="n">
        <v>2916.9473</v>
      </c>
      <c r="F533" t="n">
        <v>0.8080000000000001</v>
      </c>
      <c r="G533" t="n">
        <v>0</v>
      </c>
      <c r="H533" t="n">
        <v>0.235689</v>
      </c>
      <c r="I533" t="n">
        <v>0.229039</v>
      </c>
      <c r="J533" t="n">
        <v>0.00665</v>
      </c>
      <c r="K533" s="4">
        <f>IFERROR(J533/I533,"")</f>
        <v/>
      </c>
      <c r="L533" s="4">
        <f>IFERROR((D533-E533)/E533,"")</f>
        <v/>
      </c>
      <c r="M533" s="19">
        <f>IFERROR(F533*G533/10000,"")</f>
        <v/>
      </c>
    </row>
    <row r="534">
      <c r="A534" t="inlineStr">
        <is>
          <t>2026-10-30</t>
        </is>
      </c>
      <c r="B534" t="inlineStr">
        <is>
          <t>159796</t>
        </is>
      </c>
      <c r="C534" t="inlineStr">
        <is>
          <t>电池ETF汇添富</t>
        </is>
      </c>
      <c r="D534" t="n">
        <v>527546.755</v>
      </c>
      <c r="E534" t="n">
        <v>528046.755</v>
      </c>
      <c r="F534" t="n">
        <v>0.6683</v>
      </c>
      <c r="G534" t="n">
        <v>-500</v>
      </c>
      <c r="H534" t="n">
        <v>35.25595</v>
      </c>
      <c r="I534" t="n">
        <v>34.756037</v>
      </c>
      <c r="J534" t="n">
        <v>0.499913</v>
      </c>
      <c r="K534" s="4">
        <f>IFERROR(J534/I534,"")</f>
        <v/>
      </c>
      <c r="L534" s="4">
        <f>IFERROR((D534-E534)/E534,"")</f>
        <v/>
      </c>
      <c r="M534" s="19">
        <f>IFERROR(F534*G534/10000,"")</f>
        <v/>
      </c>
    </row>
    <row r="535">
      <c r="A535" t="inlineStr">
        <is>
          <t>2026-10-30</t>
        </is>
      </c>
      <c r="B535" t="inlineStr">
        <is>
          <t>159797</t>
        </is>
      </c>
      <c r="C535" t="inlineStr">
        <is>
          <t>医疗器械ETF汇添富</t>
        </is>
      </c>
      <c r="D535" t="n">
        <v>39098.9247</v>
      </c>
      <c r="E535" t="n">
        <v>38898.9247</v>
      </c>
      <c r="F535" t="n">
        <v>0.6752</v>
      </c>
      <c r="G535" t="n">
        <v>200</v>
      </c>
      <c r="H535" t="n">
        <v>2.639959</v>
      </c>
      <c r="I535" t="n">
        <v>2.607395</v>
      </c>
      <c r="J535" t="n">
        <v>0.032564</v>
      </c>
      <c r="K535" s="4">
        <f>IFERROR(J535/I535,"")</f>
        <v/>
      </c>
      <c r="L535" s="4">
        <f>IFERROR((D535-E535)/E535,"")</f>
        <v/>
      </c>
      <c r="M535" s="19">
        <f>IFERROR(F535*G535/10000,"")</f>
        <v/>
      </c>
    </row>
    <row r="536">
      <c r="A536" t="inlineStr">
        <is>
          <t>2026-10-30</t>
        </is>
      </c>
      <c r="B536" t="inlineStr">
        <is>
          <t>159798</t>
        </is>
      </c>
      <c r="C536" t="inlineStr">
        <is>
          <t>消费ETF易方达</t>
        </is>
      </c>
      <c r="D536" t="n">
        <v>14624.539</v>
      </c>
      <c r="E536" t="n">
        <v>14624.539</v>
      </c>
      <c r="F536" t="n">
        <v>0.8512999999999999</v>
      </c>
      <c r="G536" t="n">
        <v>0</v>
      </c>
      <c r="H536" t="n">
        <v>1.244987</v>
      </c>
      <c r="I536" t="n">
        <v>1.250691</v>
      </c>
      <c r="J536" t="n">
        <v>-0.005704</v>
      </c>
      <c r="K536" s="4">
        <f>IFERROR(J536/I536,"")</f>
        <v/>
      </c>
      <c r="L536" s="4">
        <f>IFERROR((D536-E536)/E536,"")</f>
        <v/>
      </c>
      <c r="M536" s="19">
        <f>IFERROR(F536*G536/10000,"")</f>
        <v/>
      </c>
    </row>
    <row r="537">
      <c r="A537" t="inlineStr">
        <is>
          <t>2026-10-30</t>
        </is>
      </c>
      <c r="B537" t="inlineStr">
        <is>
          <t>159800</t>
        </is>
      </c>
      <c r="C537" t="inlineStr">
        <is>
          <t>中证800ETF鹏华</t>
        </is>
      </c>
      <c r="D537" t="n">
        <v>3073.6802</v>
      </c>
      <c r="E537" t="n">
        <v>3073.6802</v>
      </c>
      <c r="F537" t="n">
        <v>1.2549</v>
      </c>
      <c r="G537" t="n">
        <v>0</v>
      </c>
      <c r="H537" t="n">
        <v>0.385716</v>
      </c>
      <c r="I537" t="n">
        <v>0.381567</v>
      </c>
      <c r="J537" t="n">
        <v>0.004149</v>
      </c>
      <c r="K537" s="4">
        <f>IFERROR(J537/I537,"")</f>
        <v/>
      </c>
      <c r="L537" s="4">
        <f>IFERROR((D537-E537)/E537,"")</f>
        <v/>
      </c>
      <c r="M537" s="19">
        <f>IFERROR(F537*G537/10000,"")</f>
        <v/>
      </c>
    </row>
    <row r="538">
      <c r="A538" t="inlineStr">
        <is>
          <t>2026-10-30</t>
        </is>
      </c>
      <c r="B538" t="inlineStr">
        <is>
          <t>159801</t>
        </is>
      </c>
      <c r="C538" t="inlineStr">
        <is>
          <t>芯片ETF广发</t>
        </is>
      </c>
      <c r="D538" t="n">
        <v>473612.0172</v>
      </c>
      <c r="E538" t="n">
        <v>471512.0172</v>
      </c>
      <c r="F538" t="n">
        <v>0.8648</v>
      </c>
      <c r="G538" t="n">
        <v>2100</v>
      </c>
      <c r="H538" t="n">
        <v>40.957967</v>
      </c>
      <c r="I538" t="n">
        <v>39.149643</v>
      </c>
      <c r="J538" t="n">
        <v>1.808324</v>
      </c>
      <c r="K538" s="4">
        <f>IFERROR(J538/I538,"")</f>
        <v/>
      </c>
      <c r="L538" s="4">
        <f>IFERROR((D538-E538)/E538,"")</f>
        <v/>
      </c>
      <c r="M538" s="19">
        <f>IFERROR(F538*G538/10000,"")</f>
        <v/>
      </c>
    </row>
    <row r="539">
      <c r="A539" t="inlineStr">
        <is>
          <t>2026-10-30</t>
        </is>
      </c>
      <c r="B539" t="inlineStr">
        <is>
          <t>159804</t>
        </is>
      </c>
      <c r="C539" t="inlineStr">
        <is>
          <t>创中盘88ETF国寿</t>
        </is>
      </c>
      <c r="D539" t="n">
        <v>1689.9676</v>
      </c>
      <c r="E539" t="n">
        <v>1689.9676</v>
      </c>
      <c r="F539" t="n">
        <v>1.4531</v>
      </c>
      <c r="G539" t="n">
        <v>0</v>
      </c>
      <c r="H539" t="n">
        <v>0.245569</v>
      </c>
      <c r="I539" t="n">
        <v>0.239147</v>
      </c>
      <c r="J539" t="n">
        <v>0.006422</v>
      </c>
      <c r="K539" s="4">
        <f>IFERROR(J539/I539,"")</f>
        <v/>
      </c>
      <c r="L539" s="4">
        <f>IFERROR((D539-E539)/E539,"")</f>
        <v/>
      </c>
      <c r="M539" s="19">
        <f>IFERROR(F539*G539/10000,"")</f>
        <v/>
      </c>
    </row>
    <row r="540">
      <c r="A540" t="inlineStr">
        <is>
          <t>2026-10-30</t>
        </is>
      </c>
      <c r="B540" t="inlineStr">
        <is>
          <t>159805</t>
        </is>
      </c>
      <c r="C540" t="inlineStr">
        <is>
          <t>传媒ETF鹏华</t>
        </is>
      </c>
      <c r="D540" t="n">
        <v>31145.248</v>
      </c>
      <c r="E540" t="n">
        <v>32245.248</v>
      </c>
      <c r="F540" t="n">
        <v>1.1098</v>
      </c>
      <c r="G540" t="n">
        <v>-1100</v>
      </c>
      <c r="H540" t="n">
        <v>3.4565</v>
      </c>
      <c r="I540" t="n">
        <v>3.520859</v>
      </c>
      <c r="J540" t="n">
        <v>-0.064359</v>
      </c>
      <c r="K540" s="4">
        <f>IFERROR(J540/I540,"")</f>
        <v/>
      </c>
      <c r="L540" s="4">
        <f>IFERROR((D540-E540)/E540,"")</f>
        <v/>
      </c>
      <c r="M540" s="19">
        <f>IFERROR(F540*G540/10000,"")</f>
        <v/>
      </c>
    </row>
    <row r="541">
      <c r="A541" t="inlineStr">
        <is>
          <t>2026-10-30</t>
        </is>
      </c>
      <c r="B541" t="inlineStr">
        <is>
          <t>159806</t>
        </is>
      </c>
      <c r="C541" t="inlineStr">
        <is>
          <t>新能源车ETF国泰</t>
        </is>
      </c>
      <c r="D541" t="n">
        <v>84008.9446</v>
      </c>
      <c r="E541" t="n">
        <v>84208.9446</v>
      </c>
      <c r="F541" t="n">
        <v>0.5794</v>
      </c>
      <c r="G541" t="n">
        <v>-200</v>
      </c>
      <c r="H541" t="n">
        <v>4.867478</v>
      </c>
      <c r="I541" t="n">
        <v>4.80412</v>
      </c>
      <c r="J541" t="n">
        <v>0.063358</v>
      </c>
      <c r="K541" s="4">
        <f>IFERROR(J541/I541,"")</f>
        <v/>
      </c>
      <c r="L541" s="4">
        <f>IFERROR((D541-E541)/E541,"")</f>
        <v/>
      </c>
      <c r="M541" s="19">
        <f>IFERROR(F541*G541/10000,"")</f>
        <v/>
      </c>
    </row>
    <row r="542">
      <c r="A542" t="inlineStr">
        <is>
          <t>2026-10-30</t>
        </is>
      </c>
      <c r="B542" t="inlineStr">
        <is>
          <t>159807</t>
        </is>
      </c>
      <c r="C542" t="inlineStr">
        <is>
          <t>科技ETF易方达</t>
        </is>
      </c>
      <c r="D542" t="n">
        <v>96205.1428</v>
      </c>
      <c r="E542" t="n">
        <v>96105.1428</v>
      </c>
      <c r="F542" t="n">
        <v>0.7513</v>
      </c>
      <c r="G542" t="n">
        <v>100</v>
      </c>
      <c r="H542" t="n">
        <v>7.227892</v>
      </c>
      <c r="I542" t="n">
        <v>7.033935</v>
      </c>
      <c r="J542" t="n">
        <v>0.193957</v>
      </c>
      <c r="K542" s="4">
        <f>IFERROR(J542/I542,"")</f>
        <v/>
      </c>
      <c r="L542" s="4">
        <f>IFERROR((D542-E542)/E542,"")</f>
        <v/>
      </c>
      <c r="M542" s="19">
        <f>IFERROR(F542*G542/10000,"")</f>
        <v/>
      </c>
    </row>
    <row r="543">
      <c r="A543" t="inlineStr">
        <is>
          <t>2026-10-30</t>
        </is>
      </c>
      <c r="B543" t="inlineStr">
        <is>
          <t>159808</t>
        </is>
      </c>
      <c r="C543" t="inlineStr">
        <is>
          <t>创100ETF融通</t>
        </is>
      </c>
      <c r="D543" t="n">
        <v>6948.479</v>
      </c>
      <c r="E543" t="n">
        <v>6748.479</v>
      </c>
      <c r="F543" t="n">
        <v>1.0296</v>
      </c>
      <c r="G543" t="n">
        <v>200</v>
      </c>
      <c r="H543" t="n">
        <v>0.715415</v>
      </c>
      <c r="I543" t="n">
        <v>0.671946</v>
      </c>
      <c r="J543" t="n">
        <v>0.043469</v>
      </c>
      <c r="K543" s="4">
        <f>IFERROR(J543/I543,"")</f>
        <v/>
      </c>
      <c r="L543" s="4">
        <f>IFERROR((D543-E543)/E543,"")</f>
        <v/>
      </c>
      <c r="M543" s="19">
        <f>IFERROR(F543*G543/10000,"")</f>
        <v/>
      </c>
    </row>
    <row r="544">
      <c r="A544" t="inlineStr">
        <is>
          <t>2026-10-30</t>
        </is>
      </c>
      <c r="B544" t="inlineStr">
        <is>
          <t>159810</t>
        </is>
      </c>
      <c r="C544" t="inlineStr">
        <is>
          <t>创业板ETF浦银</t>
        </is>
      </c>
      <c r="D544" t="n">
        <v>6947.5458</v>
      </c>
      <c r="E544" t="n">
        <v>6747.5458</v>
      </c>
      <c r="F544" t="n">
        <v>1.0634</v>
      </c>
      <c r="G544" t="n">
        <v>200</v>
      </c>
      <c r="H544" t="n">
        <v>0.738802</v>
      </c>
      <c r="I544" t="n">
        <v>0.694053</v>
      </c>
      <c r="J544" t="n">
        <v>0.044749</v>
      </c>
      <c r="K544" s="4">
        <f>IFERROR(J544/I544,"")</f>
        <v/>
      </c>
      <c r="L544" s="4">
        <f>IFERROR((D544-E544)/E544,"")</f>
        <v/>
      </c>
      <c r="M544" s="19">
        <f>IFERROR(F544*G544/10000,"")</f>
        <v/>
      </c>
    </row>
    <row r="545">
      <c r="A545" t="inlineStr">
        <is>
          <t>2026-10-30</t>
        </is>
      </c>
      <c r="B545" t="inlineStr">
        <is>
          <t>159811</t>
        </is>
      </c>
      <c r="C545" t="inlineStr">
        <is>
          <t>5GETF博时</t>
        </is>
      </c>
      <c r="D545" t="n">
        <v>7474.3393</v>
      </c>
      <c r="E545" t="n">
        <v>7314.3393</v>
      </c>
      <c r="F545" t="n">
        <v>2.3206</v>
      </c>
      <c r="G545" t="n">
        <v>160</v>
      </c>
      <c r="H545" t="n">
        <v>1.734495</v>
      </c>
      <c r="I545" t="n">
        <v>1.627294</v>
      </c>
      <c r="J545" t="n">
        <v>0.107201</v>
      </c>
      <c r="K545" s="4">
        <f>IFERROR(J545/I545,"")</f>
        <v/>
      </c>
      <c r="L545" s="4">
        <f>IFERROR((D545-E545)/E545,"")</f>
        <v/>
      </c>
      <c r="M545" s="19">
        <f>IFERROR(F545*G545/10000,"")</f>
        <v/>
      </c>
    </row>
    <row r="546">
      <c r="A546" t="inlineStr">
        <is>
          <t>2026-10-30</t>
        </is>
      </c>
      <c r="B546" t="inlineStr">
        <is>
          <t>159812</t>
        </is>
      </c>
      <c r="C546" t="inlineStr">
        <is>
          <t>黄金ETF前海开源</t>
        </is>
      </c>
      <c r="D546" t="n">
        <v>17281.3149</v>
      </c>
      <c r="E546" t="n">
        <v>17311.3149</v>
      </c>
      <c r="F546" t="n">
        <v>8.2265</v>
      </c>
      <c r="G546" t="n">
        <v>-30</v>
      </c>
      <c r="H546" t="n">
        <v>14.216474</v>
      </c>
      <c r="I546" t="n">
        <v>14.099374</v>
      </c>
      <c r="J546" t="n">
        <v>0.1171</v>
      </c>
      <c r="K546" s="4">
        <f>IFERROR(J546/I546,"")</f>
        <v/>
      </c>
      <c r="L546" s="4">
        <f>IFERROR((D546-E546)/E546,"")</f>
        <v/>
      </c>
      <c r="M546" s="19">
        <f>IFERROR(F546*G546/10000,"")</f>
        <v/>
      </c>
    </row>
    <row r="547">
      <c r="A547" t="inlineStr">
        <is>
          <t>2026-10-30</t>
        </is>
      </c>
      <c r="B547" t="inlineStr">
        <is>
          <t>159813</t>
        </is>
      </c>
      <c r="C547" t="inlineStr">
        <is>
          <t>半导体ETF鹏华</t>
        </is>
      </c>
      <c r="D547" t="n">
        <v>956372.482</v>
      </c>
      <c r="E547" t="n">
        <v>944372.482</v>
      </c>
      <c r="F547" t="n">
        <v>0.5587</v>
      </c>
      <c r="G547" t="n">
        <v>12000</v>
      </c>
      <c r="H547" t="n">
        <v>53.432531</v>
      </c>
      <c r="I547" t="n">
        <v>50.665584</v>
      </c>
      <c r="J547" t="n">
        <v>2.766947</v>
      </c>
      <c r="K547" s="4">
        <f>IFERROR(J547/I547,"")</f>
        <v/>
      </c>
      <c r="L547" s="4">
        <f>IFERROR((D547-E547)/E547,"")</f>
        <v/>
      </c>
      <c r="M547" s="19">
        <f>IFERROR(F547*G547/10000,"")</f>
        <v/>
      </c>
    </row>
    <row r="548">
      <c r="A548" t="inlineStr">
        <is>
          <t>2026-10-30</t>
        </is>
      </c>
      <c r="B548" t="inlineStr">
        <is>
          <t>159814</t>
        </is>
      </c>
      <c r="C548" t="inlineStr">
        <is>
          <t>创业大盘ETF西部利得</t>
        </is>
      </c>
      <c r="D548" t="n">
        <v>59824.652</v>
      </c>
      <c r="E548" t="n">
        <v>60824.652</v>
      </c>
      <c r="F548" t="n">
        <v>0.5405</v>
      </c>
      <c r="G548" t="n">
        <v>-1000</v>
      </c>
      <c r="H548" t="n">
        <v>3.233522</v>
      </c>
      <c r="I548" t="n">
        <v>3.172006</v>
      </c>
      <c r="J548" t="n">
        <v>0.061516</v>
      </c>
      <c r="K548" s="4">
        <f>IFERROR(J548/I548,"")</f>
        <v/>
      </c>
      <c r="L548" s="4">
        <f>IFERROR((D548-E548)/E548,"")</f>
        <v/>
      </c>
      <c r="M548" s="19">
        <f>IFERROR(F548*G548/10000,"")</f>
        <v/>
      </c>
    </row>
    <row r="549">
      <c r="A549" t="inlineStr">
        <is>
          <t>2026-10-30</t>
        </is>
      </c>
      <c r="B549" t="inlineStr">
        <is>
          <t>159816</t>
        </is>
      </c>
      <c r="C549" t="inlineStr">
        <is>
          <t>0-4年地方债ETF鹏华</t>
        </is>
      </c>
      <c r="D549" t="n">
        <v>10504.7484</v>
      </c>
      <c r="E549" t="n">
        <v>10504.7484</v>
      </c>
      <c r="F549" t="n">
        <v>113.939</v>
      </c>
      <c r="G549" t="n">
        <v>0</v>
      </c>
      <c r="H549" t="n">
        <v>119.690053</v>
      </c>
      <c r="I549" t="n">
        <v>119.670829</v>
      </c>
      <c r="J549" t="n">
        <v>0.019224</v>
      </c>
      <c r="K549" s="4">
        <f>IFERROR(J549/I549,"")</f>
        <v/>
      </c>
      <c r="L549" s="4">
        <f>IFERROR((D549-E549)/E549,"")</f>
        <v/>
      </c>
      <c r="M549" s="19">
        <f>IFERROR(F549*G549/10000,"")</f>
        <v/>
      </c>
    </row>
    <row r="550">
      <c r="A550" t="inlineStr">
        <is>
          <t>2026-10-30</t>
        </is>
      </c>
      <c r="B550" t="inlineStr">
        <is>
          <t>159819</t>
        </is>
      </c>
      <c r="C550" t="inlineStr">
        <is>
          <t>人工智能ETF易方达</t>
        </is>
      </c>
      <c r="D550" t="n">
        <v>1209722.9669</v>
      </c>
      <c r="E550" t="n">
        <v>1208522.9669</v>
      </c>
      <c r="F550" t="n">
        <v>1.4738</v>
      </c>
      <c r="G550" t="n">
        <v>1200</v>
      </c>
      <c r="H550" t="n">
        <v>178.288971</v>
      </c>
      <c r="I550" t="n">
        <v>172.287034</v>
      </c>
      <c r="J550" t="n">
        <v>6.001937</v>
      </c>
      <c r="K550" s="4">
        <f>IFERROR(J550/I550,"")</f>
        <v/>
      </c>
      <c r="L550" s="4">
        <f>IFERROR((D550-E550)/E550,"")</f>
        <v/>
      </c>
      <c r="M550" s="19">
        <f>IFERROR(F550*G550/10000,"")</f>
        <v/>
      </c>
    </row>
    <row r="551">
      <c r="A551" t="inlineStr">
        <is>
          <t>2026-10-30</t>
        </is>
      </c>
      <c r="B551" t="inlineStr">
        <is>
          <t>159820</t>
        </is>
      </c>
      <c r="C551" t="inlineStr">
        <is>
          <t>中证500ETF天弘</t>
        </is>
      </c>
      <c r="D551" t="n">
        <v>139640.847</v>
      </c>
      <c r="E551" t="n">
        <v>139640.847</v>
      </c>
      <c r="F551" t="n">
        <v>1.1623</v>
      </c>
      <c r="G551" t="n">
        <v>0</v>
      </c>
      <c r="H551" t="n">
        <v>16.230456</v>
      </c>
      <c r="I551" t="n">
        <v>15.919057</v>
      </c>
      <c r="J551" t="n">
        <v>0.311399</v>
      </c>
      <c r="K551" s="4">
        <f>IFERROR(J551/I551,"")</f>
        <v/>
      </c>
      <c r="L551" s="4">
        <f>IFERROR((D551-E551)/E551,"")</f>
        <v/>
      </c>
      <c r="M551" s="19">
        <f>IFERROR(F551*G551/10000,"")</f>
        <v/>
      </c>
    </row>
    <row r="552">
      <c r="A552" t="inlineStr">
        <is>
          <t>2026-10-30</t>
        </is>
      </c>
      <c r="B552" t="inlineStr">
        <is>
          <t>159821</t>
        </is>
      </c>
      <c r="C552" t="inlineStr">
        <is>
          <t>创业板ETF中银证券</t>
        </is>
      </c>
      <c r="D552" t="n">
        <v>7502</v>
      </c>
      <c r="E552" t="n">
        <v>7502</v>
      </c>
      <c r="F552" t="n">
        <v>0.9956</v>
      </c>
      <c r="G552" t="n">
        <v>0</v>
      </c>
      <c r="H552" t="n">
        <v>0.746899</v>
      </c>
      <c r="I552" t="n">
        <v>0.722518</v>
      </c>
      <c r="J552" t="n">
        <v>0.024381</v>
      </c>
      <c r="K552" s="4">
        <f>IFERROR(J552/I552,"")</f>
        <v/>
      </c>
      <c r="L552" s="4">
        <f>IFERROR((D552-E552)/E552,"")</f>
        <v/>
      </c>
      <c r="M552" s="19">
        <f>IFERROR(F552*G552/10000,"")</f>
        <v/>
      </c>
    </row>
    <row r="553">
      <c r="A553" t="inlineStr">
        <is>
          <t>2026-10-30</t>
        </is>
      </c>
      <c r="B553" t="inlineStr">
        <is>
          <t>159822</t>
        </is>
      </c>
      <c r="C553" t="inlineStr">
        <is>
          <t>新经济ETF银华</t>
        </is>
      </c>
      <c r="D553" t="n">
        <v>30713.4315</v>
      </c>
      <c r="E553" t="n">
        <v>30703.4315</v>
      </c>
      <c r="F553" t="n">
        <v>0.5282</v>
      </c>
      <c r="G553" t="n">
        <v>10</v>
      </c>
      <c r="H553" t="n">
        <v>1.622283</v>
      </c>
      <c r="I553" t="n">
        <v>1.634344</v>
      </c>
      <c r="J553" t="n">
        <v>-0.012061</v>
      </c>
      <c r="K553" s="4">
        <f>IFERROR(J553/I553,"")</f>
        <v/>
      </c>
      <c r="L553" s="4">
        <f>IFERROR((D553-E553)/E553,"")</f>
        <v/>
      </c>
      <c r="M553" s="19">
        <f>IFERROR(F553*G553/10000,"")</f>
        <v/>
      </c>
    </row>
    <row r="554">
      <c r="A554" t="inlineStr">
        <is>
          <t>2026-10-30</t>
        </is>
      </c>
      <c r="B554" t="inlineStr">
        <is>
          <t>159824</t>
        </is>
      </c>
      <c r="C554" t="inlineStr">
        <is>
          <t>新能源车ETF博时</t>
        </is>
      </c>
      <c r="D554" t="n">
        <v>8513.507</v>
      </c>
      <c r="E554" t="n">
        <v>8513.507</v>
      </c>
      <c r="F554" t="n">
        <v>0.891</v>
      </c>
      <c r="G554" t="n">
        <v>0</v>
      </c>
      <c r="H554" t="n">
        <v>0.758553</v>
      </c>
      <c r="I554" t="n">
        <v>0.7470599999999999</v>
      </c>
      <c r="J554" t="n">
        <v>0.011493</v>
      </c>
      <c r="K554" s="4">
        <f>IFERROR(J554/I554,"")</f>
        <v/>
      </c>
      <c r="L554" s="4">
        <f>IFERROR((D554-E554)/E554,"")</f>
        <v/>
      </c>
      <c r="M554" s="19">
        <f>IFERROR(F554*G554/10000,"")</f>
        <v/>
      </c>
    </row>
    <row r="555">
      <c r="A555" t="inlineStr">
        <is>
          <t>2026-10-30</t>
        </is>
      </c>
      <c r="B555" t="inlineStr">
        <is>
          <t>159825</t>
        </is>
      </c>
      <c r="C555" t="inlineStr">
        <is>
          <t>农业ETF富国</t>
        </is>
      </c>
      <c r="D555" t="n">
        <v>206407.7407</v>
      </c>
      <c r="E555" t="n">
        <v>208107.7407</v>
      </c>
      <c r="F555" t="n">
        <v>0.695</v>
      </c>
      <c r="G555" t="n">
        <v>-1700</v>
      </c>
      <c r="H555" t="n">
        <v>14.345338</v>
      </c>
      <c r="I555" t="n">
        <v>14.573785</v>
      </c>
      <c r="J555" t="n">
        <v>-0.228447</v>
      </c>
      <c r="K555" s="4">
        <f>IFERROR(J555/I555,"")</f>
        <v/>
      </c>
      <c r="L555" s="4">
        <f>IFERROR((D555-E555)/E555,"")</f>
        <v/>
      </c>
      <c r="M555" s="19">
        <f>IFERROR(F555*G555/10000,"")</f>
        <v/>
      </c>
    </row>
    <row r="556">
      <c r="A556" t="inlineStr">
        <is>
          <t>2026-10-30</t>
        </is>
      </c>
      <c r="B556" t="inlineStr">
        <is>
          <t>159827</t>
        </is>
      </c>
      <c r="C556" t="inlineStr">
        <is>
          <t>农业ETF银华</t>
        </is>
      </c>
      <c r="D556" t="n">
        <v>8271.6463</v>
      </c>
      <c r="E556" t="n">
        <v>8371.6463</v>
      </c>
      <c r="F556" t="n">
        <v>0.7498</v>
      </c>
      <c r="G556" t="n">
        <v>-100</v>
      </c>
      <c r="H556" t="n">
        <v>0.620208</v>
      </c>
      <c r="I556" t="n">
        <v>0.632478</v>
      </c>
      <c r="J556" t="n">
        <v>-0.01227</v>
      </c>
      <c r="K556" s="4">
        <f>IFERROR(J556/I556,"")</f>
        <v/>
      </c>
      <c r="L556" s="4">
        <f>IFERROR((D556-E556)/E556,"")</f>
        <v/>
      </c>
      <c r="M556" s="19">
        <f>IFERROR(F556*G556/10000,"")</f>
        <v/>
      </c>
    </row>
    <row r="557">
      <c r="A557" t="inlineStr">
        <is>
          <t>2026-10-30</t>
        </is>
      </c>
      <c r="B557" t="inlineStr">
        <is>
          <t>159828</t>
        </is>
      </c>
      <c r="C557" t="inlineStr">
        <is>
          <t>医疗ETF国泰</t>
        </is>
      </c>
      <c r="D557" t="n">
        <v>461443.9464</v>
      </c>
      <c r="E557" t="n">
        <v>461643.9464</v>
      </c>
      <c r="F557" t="n">
        <v>0.4142</v>
      </c>
      <c r="G557" t="n">
        <v>-200</v>
      </c>
      <c r="H557" t="n">
        <v>19.113008</v>
      </c>
      <c r="I557" t="n">
        <v>18.922785</v>
      </c>
      <c r="J557" t="n">
        <v>0.190223</v>
      </c>
      <c r="K557" s="4">
        <f>IFERROR(J557/I557,"")</f>
        <v/>
      </c>
      <c r="L557" s="4">
        <f>IFERROR((D557-E557)/E557,"")</f>
        <v/>
      </c>
      <c r="M557" s="19">
        <f>IFERROR(F557*G557/10000,"")</f>
        <v/>
      </c>
    </row>
    <row r="558">
      <c r="A558" t="inlineStr">
        <is>
          <t>2026-10-30</t>
        </is>
      </c>
      <c r="B558" t="inlineStr">
        <is>
          <t>159830</t>
        </is>
      </c>
      <c r="C558" t="inlineStr">
        <is>
          <t>金ETF天弘</t>
        </is>
      </c>
      <c r="D558" t="n">
        <v>41631.4066</v>
      </c>
      <c r="E558" t="n">
        <v>39831.4066</v>
      </c>
      <c r="F558" t="n">
        <v>8.5974</v>
      </c>
      <c r="G558" t="n">
        <v>1800</v>
      </c>
      <c r="H558" t="n">
        <v>35.792186</v>
      </c>
      <c r="I558" t="n">
        <v>34.00208</v>
      </c>
      <c r="J558" t="n">
        <v>1.790106</v>
      </c>
      <c r="K558" s="4">
        <f>IFERROR(J558/I558,"")</f>
        <v/>
      </c>
      <c r="L558" s="4">
        <f>IFERROR((D558-E558)/E558,"")</f>
        <v/>
      </c>
      <c r="M558" s="19">
        <f>IFERROR(F558*G558/10000,"")</f>
        <v/>
      </c>
    </row>
    <row r="559">
      <c r="A559" t="inlineStr">
        <is>
          <t>2026-10-30</t>
        </is>
      </c>
      <c r="B559" t="inlineStr">
        <is>
          <t>159831</t>
        </is>
      </c>
      <c r="C559" t="inlineStr">
        <is>
          <t>金ETF嘉实</t>
        </is>
      </c>
      <c r="D559" t="n">
        <v>30035.6243</v>
      </c>
      <c r="E559" t="n">
        <v>30065.6243</v>
      </c>
      <c r="F559" t="n">
        <v>8.3064</v>
      </c>
      <c r="G559" t="n">
        <v>-30</v>
      </c>
      <c r="H559" t="n">
        <v>24.948791</v>
      </c>
      <c r="I559" t="n">
        <v>24.796924</v>
      </c>
      <c r="J559" t="n">
        <v>0.151867</v>
      </c>
      <c r="K559" s="4">
        <f>IFERROR(J559/I559,"")</f>
        <v/>
      </c>
      <c r="L559" s="4">
        <f>IFERROR((D559-E559)/E559,"")</f>
        <v/>
      </c>
      <c r="M559" s="19">
        <f>IFERROR(F559*G559/10000,"")</f>
        <v/>
      </c>
    </row>
    <row r="560">
      <c r="A560" t="inlineStr">
        <is>
          <t>2026-10-30</t>
        </is>
      </c>
      <c r="B560" t="inlineStr">
        <is>
          <t>159834</t>
        </is>
      </c>
      <c r="C560" t="inlineStr">
        <is>
          <t>金ETF南方</t>
        </is>
      </c>
      <c r="D560" t="n">
        <v>25546.1376</v>
      </c>
      <c r="E560" t="n">
        <v>25566.1376</v>
      </c>
      <c r="F560" t="n">
        <v>8.6013</v>
      </c>
      <c r="G560" t="n">
        <v>-20</v>
      </c>
      <c r="H560" t="n">
        <v>21.972999</v>
      </c>
      <c r="I560" t="n">
        <v>21.834248</v>
      </c>
      <c r="J560" t="n">
        <v>0.138751</v>
      </c>
      <c r="K560" s="4">
        <f>IFERROR(J560/I560,"")</f>
        <v/>
      </c>
      <c r="L560" s="4">
        <f>IFERROR((D560-E560)/E560,"")</f>
        <v/>
      </c>
      <c r="M560" s="19">
        <f>IFERROR(F560*G560/10000,"")</f>
        <v/>
      </c>
    </row>
    <row r="561">
      <c r="A561" t="inlineStr">
        <is>
          <t>2026-10-30</t>
        </is>
      </c>
      <c r="B561" t="inlineStr">
        <is>
          <t>159835</t>
        </is>
      </c>
      <c r="C561" t="inlineStr">
        <is>
          <t>创新药ETF建信</t>
        </is>
      </c>
      <c r="D561" t="n">
        <v>37750.4143</v>
      </c>
      <c r="E561" t="n">
        <v>37850.4143</v>
      </c>
      <c r="F561" t="n">
        <v>0.6136</v>
      </c>
      <c r="G561" t="n">
        <v>-100</v>
      </c>
      <c r="H561" t="n">
        <v>2.316365</v>
      </c>
      <c r="I561" t="n">
        <v>2.2926</v>
      </c>
      <c r="J561" t="n">
        <v>0.023765</v>
      </c>
      <c r="K561" s="4">
        <f>IFERROR(J561/I561,"")</f>
        <v/>
      </c>
      <c r="L561" s="4">
        <f>IFERROR((D561-E561)/E561,"")</f>
        <v/>
      </c>
      <c r="M561" s="19">
        <f>IFERROR(F561*G561/10000,"")</f>
        <v/>
      </c>
    </row>
    <row r="562">
      <c r="A562" t="inlineStr">
        <is>
          <t>2026-10-30</t>
        </is>
      </c>
      <c r="B562" t="inlineStr">
        <is>
          <t>159836</t>
        </is>
      </c>
      <c r="C562" t="inlineStr">
        <is>
          <t>创业板300ETF天弘</t>
        </is>
      </c>
      <c r="D562" t="n">
        <v>13774.7113</v>
      </c>
      <c r="E562" t="n">
        <v>13774.7113</v>
      </c>
      <c r="F562" t="n">
        <v>1.0068</v>
      </c>
      <c r="G562" t="n">
        <v>0</v>
      </c>
      <c r="H562" t="n">
        <v>1.386838</v>
      </c>
      <c r="I562" t="n">
        <v>1.341657</v>
      </c>
      <c r="J562" t="n">
        <v>0.045181</v>
      </c>
      <c r="K562" s="4">
        <f>IFERROR(J562/I562,"")</f>
        <v/>
      </c>
      <c r="L562" s="4">
        <f>IFERROR((D562-E562)/E562,"")</f>
        <v/>
      </c>
      <c r="M562" s="19">
        <f>IFERROR(F562*G562/10000,"")</f>
        <v/>
      </c>
    </row>
    <row r="563">
      <c r="A563" t="inlineStr">
        <is>
          <t>2026-10-30</t>
        </is>
      </c>
      <c r="B563" t="inlineStr">
        <is>
          <t>159837</t>
        </is>
      </c>
      <c r="C563" t="inlineStr">
        <is>
          <t>生物科技ETF易方达</t>
        </is>
      </c>
      <c r="D563" t="n">
        <v>295915.2837</v>
      </c>
      <c r="E563" t="n">
        <v>296215.2837</v>
      </c>
      <c r="F563" t="n">
        <v>0.4731</v>
      </c>
      <c r="G563" t="n">
        <v>-300</v>
      </c>
      <c r="H563" t="n">
        <v>13.999752</v>
      </c>
      <c r="I563" t="n">
        <v>13.818443</v>
      </c>
      <c r="J563" t="n">
        <v>0.181309</v>
      </c>
      <c r="K563" s="4">
        <f>IFERROR(J563/I563,"")</f>
        <v/>
      </c>
      <c r="L563" s="4">
        <f>IFERROR((D563-E563)/E563,"")</f>
        <v/>
      </c>
      <c r="M563" s="19">
        <f>IFERROR(F563*G563/10000,"")</f>
        <v/>
      </c>
    </row>
    <row r="564">
      <c r="A564" t="inlineStr">
        <is>
          <t>2026-10-30</t>
        </is>
      </c>
      <c r="B564" t="inlineStr">
        <is>
          <t>159838</t>
        </is>
      </c>
      <c r="C564" t="inlineStr">
        <is>
          <t>医药50ETF博时</t>
        </is>
      </c>
      <c r="D564" t="n">
        <v>22476.3462</v>
      </c>
      <c r="E564" t="n">
        <v>22476.3462</v>
      </c>
      <c r="F564" t="n">
        <v>0.5733</v>
      </c>
      <c r="G564" t="n">
        <v>0</v>
      </c>
      <c r="H564" t="n">
        <v>1.288569</v>
      </c>
      <c r="I564" t="n">
        <v>1.280477</v>
      </c>
      <c r="J564" t="n">
        <v>0.008092</v>
      </c>
      <c r="K564" s="4">
        <f>IFERROR(J564/I564,"")</f>
        <v/>
      </c>
      <c r="L564" s="4">
        <f>IFERROR((D564-E564)/E564,"")</f>
        <v/>
      </c>
      <c r="M564" s="19">
        <f>IFERROR(F564*G564/10000,"")</f>
        <v/>
      </c>
    </row>
    <row r="565">
      <c r="A565" t="inlineStr">
        <is>
          <t>2026-10-30</t>
        </is>
      </c>
      <c r="B565" t="inlineStr">
        <is>
          <t>159839</t>
        </is>
      </c>
      <c r="C565" t="inlineStr">
        <is>
          <t>生物医药ETF汇添富</t>
        </is>
      </c>
      <c r="D565" t="n">
        <v>273823.5165</v>
      </c>
      <c r="E565" t="n">
        <v>272323.5165</v>
      </c>
      <c r="F565" t="n">
        <v>0.3389</v>
      </c>
      <c r="G565" t="n">
        <v>1500</v>
      </c>
      <c r="H565" t="n">
        <v>9.279878999999999</v>
      </c>
      <c r="I565" t="n">
        <v>9.117391</v>
      </c>
      <c r="J565" t="n">
        <v>0.162488</v>
      </c>
      <c r="K565" s="4">
        <f>IFERROR(J565/I565,"")</f>
        <v/>
      </c>
      <c r="L565" s="4">
        <f>IFERROR((D565-E565)/E565,"")</f>
        <v/>
      </c>
      <c r="M565" s="19">
        <f>IFERROR(F565*G565/10000,"")</f>
        <v/>
      </c>
    </row>
    <row r="566">
      <c r="A566" t="inlineStr">
        <is>
          <t>2026-10-30</t>
        </is>
      </c>
      <c r="B566" t="inlineStr">
        <is>
          <t>159840</t>
        </is>
      </c>
      <c r="C566" t="inlineStr">
        <is>
          <t>锂电池ETF工银</t>
        </is>
      </c>
      <c r="D566" t="n">
        <v>183357.4851</v>
      </c>
      <c r="E566" t="n">
        <v>185957.4851</v>
      </c>
      <c r="F566" t="n">
        <v>0.6079</v>
      </c>
      <c r="G566" t="n">
        <v>-2600</v>
      </c>
      <c r="H566" t="n">
        <v>11.146302</v>
      </c>
      <c r="I566" t="n">
        <v>11.174185</v>
      </c>
      <c r="J566" t="n">
        <v>-0.027883</v>
      </c>
      <c r="K566" s="4">
        <f>IFERROR(J566/I566,"")</f>
        <v/>
      </c>
      <c r="L566" s="4">
        <f>IFERROR((D566-E566)/E566,"")</f>
        <v/>
      </c>
      <c r="M566" s="19">
        <f>IFERROR(F566*G566/10000,"")</f>
        <v/>
      </c>
    </row>
    <row r="567">
      <c r="A567" t="inlineStr">
        <is>
          <t>2026-10-30</t>
        </is>
      </c>
      <c r="B567" t="inlineStr">
        <is>
          <t>159841</t>
        </is>
      </c>
      <c r="C567" t="inlineStr">
        <is>
          <t>证券ETF天弘</t>
        </is>
      </c>
      <c r="D567" t="n">
        <v>1238263.8465</v>
      </c>
      <c r="E567" t="n">
        <v>1225123.8465</v>
      </c>
      <c r="F567" t="n">
        <v>0.8996</v>
      </c>
      <c r="G567" t="n">
        <v>13140</v>
      </c>
      <c r="H567" t="n">
        <v>111.394216</v>
      </c>
      <c r="I567" t="n">
        <v>111.228994</v>
      </c>
      <c r="J567" t="n">
        <v>0.165222</v>
      </c>
      <c r="K567" s="4">
        <f>IFERROR(J567/I567,"")</f>
        <v/>
      </c>
      <c r="L567" s="4">
        <f>IFERROR((D567-E567)/E567,"")</f>
        <v/>
      </c>
      <c r="M567" s="19">
        <f>IFERROR(F567*G567/10000,"")</f>
        <v/>
      </c>
    </row>
    <row r="568">
      <c r="A568" t="inlineStr">
        <is>
          <t>2026-10-30</t>
        </is>
      </c>
      <c r="B568" t="inlineStr">
        <is>
          <t>159842</t>
        </is>
      </c>
      <c r="C568" t="inlineStr">
        <is>
          <t>券商ETF银华</t>
        </is>
      </c>
      <c r="D568" t="n">
        <v>839225.0631</v>
      </c>
      <c r="E568" t="n">
        <v>840125.0631</v>
      </c>
      <c r="F568" t="n">
        <v>0.9462</v>
      </c>
      <c r="G568" t="n">
        <v>-900</v>
      </c>
      <c r="H568" t="n">
        <v>79.40747500000001</v>
      </c>
      <c r="I568" t="n">
        <v>80.20674</v>
      </c>
      <c r="J568" t="n">
        <v>-0.799265</v>
      </c>
      <c r="K568" s="4">
        <f>IFERROR(J568/I568,"")</f>
        <v/>
      </c>
      <c r="L568" s="4">
        <f>IFERROR((D568-E568)/E568,"")</f>
        <v/>
      </c>
      <c r="M568" s="19">
        <f>IFERROR(F568*G568/10000,"")</f>
        <v/>
      </c>
    </row>
    <row r="569">
      <c r="A569" t="inlineStr">
        <is>
          <t>2026-10-30</t>
        </is>
      </c>
      <c r="B569" t="inlineStr">
        <is>
          <t>159843</t>
        </is>
      </c>
      <c r="C569" t="inlineStr">
        <is>
          <t>食品饮料ETF招商</t>
        </is>
      </c>
      <c r="D569" t="n">
        <v>57595.5141</v>
      </c>
      <c r="E569" t="n">
        <v>58345.5141</v>
      </c>
      <c r="F569" t="n">
        <v>0.5301</v>
      </c>
      <c r="G569" t="n">
        <v>-750</v>
      </c>
      <c r="H569" t="n">
        <v>3.053138</v>
      </c>
      <c r="I569" t="n">
        <v>3.136071</v>
      </c>
      <c r="J569" t="n">
        <v>-0.08293300000000001</v>
      </c>
      <c r="K569" s="4">
        <f>IFERROR(J569/I569,"")</f>
        <v/>
      </c>
      <c r="L569" s="4">
        <f>IFERROR((D569-E569)/E569,"")</f>
        <v/>
      </c>
      <c r="M569" s="19">
        <f>IFERROR(F569*G569/10000,"")</f>
        <v/>
      </c>
    </row>
    <row r="570">
      <c r="A570" t="inlineStr">
        <is>
          <t>2026-10-30</t>
        </is>
      </c>
      <c r="B570" t="inlineStr">
        <is>
          <t>159845</t>
        </is>
      </c>
      <c r="C570" t="inlineStr">
        <is>
          <t>中证1000ETF华夏</t>
        </is>
      </c>
      <c r="D570" t="n">
        <v>309642.5606</v>
      </c>
      <c r="E570" t="n">
        <v>342642.5606</v>
      </c>
      <c r="F570" t="n">
        <v>2.7458</v>
      </c>
      <c r="G570" t="n">
        <v>-33000</v>
      </c>
      <c r="H570" t="n">
        <v>85.021654</v>
      </c>
      <c r="I570" t="n">
        <v>91.95841</v>
      </c>
      <c r="J570" t="n">
        <v>-6.936756</v>
      </c>
      <c r="K570" s="4">
        <f>IFERROR(J570/I570,"")</f>
        <v/>
      </c>
      <c r="L570" s="4">
        <f>IFERROR((D570-E570)/E570,"")</f>
        <v/>
      </c>
      <c r="M570" s="19">
        <f>IFERROR(F570*G570/10000,"")</f>
        <v/>
      </c>
    </row>
    <row r="571">
      <c r="A571" t="inlineStr">
        <is>
          <t>2026-10-30</t>
        </is>
      </c>
      <c r="B571" t="inlineStr">
        <is>
          <t>159847</t>
        </is>
      </c>
      <c r="C571" t="inlineStr">
        <is>
          <t>医疗ETF易方达</t>
        </is>
      </c>
      <c r="D571" t="n">
        <v>417382.5354</v>
      </c>
      <c r="E571" t="n">
        <v>417882.5354</v>
      </c>
      <c r="F571" t="n">
        <v>0.3988</v>
      </c>
      <c r="G571" t="n">
        <v>-500</v>
      </c>
      <c r="H571" t="n">
        <v>16.645216</v>
      </c>
      <c r="I571" t="n">
        <v>16.489645</v>
      </c>
      <c r="J571" t="n">
        <v>0.155571</v>
      </c>
      <c r="K571" s="4">
        <f>IFERROR(J571/I571,"")</f>
        <v/>
      </c>
      <c r="L571" s="4">
        <f>IFERROR((D571-E571)/E571,"")</f>
        <v/>
      </c>
      <c r="M571" s="19">
        <f>IFERROR(F571*G571/10000,"")</f>
        <v/>
      </c>
    </row>
    <row r="572">
      <c r="A572" t="inlineStr">
        <is>
          <t>2026-10-30</t>
        </is>
      </c>
      <c r="B572" t="inlineStr">
        <is>
          <t>159848</t>
        </is>
      </c>
      <c r="C572" t="inlineStr">
        <is>
          <t>证券ETF国联安</t>
        </is>
      </c>
      <c r="D572" t="n">
        <v>16281.1239</v>
      </c>
      <c r="E572" t="n">
        <v>15981.1239</v>
      </c>
      <c r="F572" t="n">
        <v>0.7923</v>
      </c>
      <c r="G572" t="n">
        <v>300</v>
      </c>
      <c r="H572" t="n">
        <v>1.289953</v>
      </c>
      <c r="I572" t="n">
        <v>1.277691</v>
      </c>
      <c r="J572" t="n">
        <v>0.012262</v>
      </c>
      <c r="K572" s="4">
        <f>IFERROR(J572/I572,"")</f>
        <v/>
      </c>
      <c r="L572" s="4">
        <f>IFERROR((D572-E572)/E572,"")</f>
        <v/>
      </c>
      <c r="M572" s="19">
        <f>IFERROR(F572*G572/10000,"")</f>
        <v/>
      </c>
    </row>
    <row r="573">
      <c r="A573" t="inlineStr">
        <is>
          <t>2026-10-30</t>
        </is>
      </c>
      <c r="B573" t="inlineStr">
        <is>
          <t>159849</t>
        </is>
      </c>
      <c r="C573" t="inlineStr">
        <is>
          <t>生物科技ETF招商</t>
        </is>
      </c>
      <c r="D573" t="n">
        <v>16237.2396</v>
      </c>
      <c r="E573" t="n">
        <v>16537.2396</v>
      </c>
      <c r="F573" t="n">
        <v>0.4762</v>
      </c>
      <c r="G573" t="n">
        <v>-300</v>
      </c>
      <c r="H573" t="n">
        <v>0.773217</v>
      </c>
      <c r="I573" t="n">
        <v>0.7769200000000001</v>
      </c>
      <c r="J573" t="n">
        <v>-0.003703</v>
      </c>
      <c r="K573" s="4">
        <f>IFERROR(J573/I573,"")</f>
        <v/>
      </c>
      <c r="L573" s="4">
        <f>IFERROR((D573-E573)/E573,"")</f>
        <v/>
      </c>
      <c r="M573" s="19">
        <f>IFERROR(F573*G573/10000,"")</f>
        <v/>
      </c>
    </row>
    <row r="574">
      <c r="A574" t="inlineStr">
        <is>
          <t>2026-10-30</t>
        </is>
      </c>
      <c r="B574" t="inlineStr">
        <is>
          <t>159850</t>
        </is>
      </c>
      <c r="C574" t="inlineStr">
        <is>
          <t>恒生国企ETF华夏</t>
        </is>
      </c>
      <c r="D574" t="n">
        <v>39070.6498</v>
      </c>
      <c r="E574" t="n">
        <v>39070.6498</v>
      </c>
      <c r="F574" t="n">
        <v>0.755</v>
      </c>
      <c r="G574" t="n">
        <v>0</v>
      </c>
      <c r="H574" t="n">
        <v>2.949834</v>
      </c>
      <c r="I574" t="n">
        <v>2.940848</v>
      </c>
      <c r="J574" t="n">
        <v>0.008985999999999999</v>
      </c>
      <c r="K574" s="4">
        <f>IFERROR(J574/I574,"")</f>
        <v/>
      </c>
      <c r="L574" s="4">
        <f>IFERROR((D574-E574)/E574,"")</f>
        <v/>
      </c>
      <c r="M574" s="19">
        <f>IFERROR(F574*G574/10000,"")</f>
        <v/>
      </c>
    </row>
    <row r="575">
      <c r="A575" t="inlineStr">
        <is>
          <t>2026-10-30</t>
        </is>
      </c>
      <c r="B575" t="inlineStr">
        <is>
          <t>159851</t>
        </is>
      </c>
      <c r="C575" t="inlineStr">
        <is>
          <t>金融科技ETF华宝</t>
        </is>
      </c>
      <c r="D575" t="n">
        <v>1128090.4148</v>
      </c>
      <c r="E575" t="n">
        <v>1129590.4148</v>
      </c>
      <c r="F575" t="n">
        <v>0.5664</v>
      </c>
      <c r="G575" t="n">
        <v>-1500</v>
      </c>
      <c r="H575" t="n">
        <v>63.895041</v>
      </c>
      <c r="I575" t="n">
        <v>63.799267</v>
      </c>
      <c r="J575" t="n">
        <v>0.095774</v>
      </c>
      <c r="K575" s="4">
        <f>IFERROR(J575/I575,"")</f>
        <v/>
      </c>
      <c r="L575" s="4">
        <f>IFERROR((D575-E575)/E575,"")</f>
        <v/>
      </c>
      <c r="M575" s="19">
        <f>IFERROR(F575*G575/10000,"")</f>
        <v/>
      </c>
    </row>
    <row r="576">
      <c r="A576" t="inlineStr">
        <is>
          <t>2026-10-30</t>
        </is>
      </c>
      <c r="B576" t="inlineStr">
        <is>
          <t>159852</t>
        </is>
      </c>
      <c r="C576" t="inlineStr">
        <is>
          <t>软件ETF嘉实</t>
        </is>
      </c>
      <c r="D576" t="n">
        <v>1455162.3921</v>
      </c>
      <c r="E576" t="n">
        <v>1446562.3921</v>
      </c>
      <c r="F576" t="n">
        <v>0.6308</v>
      </c>
      <c r="G576" t="n">
        <v>8600</v>
      </c>
      <c r="H576" t="n">
        <v>91.79164400000001</v>
      </c>
      <c r="I576" t="n">
        <v>91.769918</v>
      </c>
      <c r="J576" t="n">
        <v>0.021726</v>
      </c>
      <c r="K576" s="4">
        <f>IFERROR(J576/I576,"")</f>
        <v/>
      </c>
      <c r="L576" s="4">
        <f>IFERROR((D576-E576)/E576,"")</f>
        <v/>
      </c>
      <c r="M576" s="19">
        <f>IFERROR(F576*G576/10000,"")</f>
        <v/>
      </c>
    </row>
    <row r="577">
      <c r="A577" t="inlineStr">
        <is>
          <t>2026-10-30</t>
        </is>
      </c>
      <c r="B577" t="inlineStr">
        <is>
          <t>159855</t>
        </is>
      </c>
      <c r="C577" t="inlineStr">
        <is>
          <t>影视ETF银华</t>
        </is>
      </c>
      <c r="D577" t="n">
        <v>17042.5236</v>
      </c>
      <c r="E577" t="n">
        <v>17642.5236</v>
      </c>
      <c r="F577" t="n">
        <v>0.8072</v>
      </c>
      <c r="G577" t="n">
        <v>-600</v>
      </c>
      <c r="H577" t="n">
        <v>1.375673</v>
      </c>
      <c r="I577" t="n">
        <v>1.390054</v>
      </c>
      <c r="J577" t="n">
        <v>-0.014381</v>
      </c>
      <c r="K577" s="4">
        <f>IFERROR(J577/I577,"")</f>
        <v/>
      </c>
      <c r="L577" s="4">
        <f>IFERROR((D577-E577)/E577,"")</f>
        <v/>
      </c>
      <c r="M577" s="19">
        <f>IFERROR(F577*G577/10000,"")</f>
        <v/>
      </c>
    </row>
    <row r="578">
      <c r="A578" t="inlineStr">
        <is>
          <t>2026-10-30</t>
        </is>
      </c>
      <c r="B578" t="inlineStr">
        <is>
          <t>159856</t>
        </is>
      </c>
      <c r="C578" t="inlineStr">
        <is>
          <t>互联网龙头ETF工银</t>
        </is>
      </c>
      <c r="D578" t="n">
        <v>34537.2474</v>
      </c>
      <c r="E578" t="n">
        <v>34537.2474</v>
      </c>
      <c r="F578" t="n">
        <v>0.5239</v>
      </c>
      <c r="G578" t="n">
        <v>0</v>
      </c>
      <c r="H578" t="n">
        <v>1.809406</v>
      </c>
      <c r="I578" t="n">
        <v>1.806643</v>
      </c>
      <c r="J578" t="n">
        <v>0.002763</v>
      </c>
      <c r="K578" s="4">
        <f>IFERROR(J578/I578,"")</f>
        <v/>
      </c>
      <c r="L578" s="4">
        <f>IFERROR((D578-E578)/E578,"")</f>
        <v/>
      </c>
      <c r="M578" s="19">
        <f>IFERROR(F578*G578/10000,"")</f>
        <v/>
      </c>
    </row>
    <row r="579">
      <c r="A579" t="inlineStr">
        <is>
          <t>2026-10-30</t>
        </is>
      </c>
      <c r="B579" t="inlineStr">
        <is>
          <t>159857</t>
        </is>
      </c>
      <c r="C579" t="inlineStr">
        <is>
          <t>光伏ETF天弘</t>
        </is>
      </c>
      <c r="D579" t="n">
        <v>224451.5725</v>
      </c>
      <c r="E579" t="n">
        <v>224451.5725</v>
      </c>
      <c r="F579" t="n">
        <v>0.6042999999999999</v>
      </c>
      <c r="G579" t="n">
        <v>0</v>
      </c>
      <c r="H579" t="n">
        <v>13.563609</v>
      </c>
      <c r="I579" t="n">
        <v>13.453627</v>
      </c>
      <c r="J579" t="n">
        <v>0.109982</v>
      </c>
      <c r="K579" s="4">
        <f>IFERROR(J579/I579,"")</f>
        <v/>
      </c>
      <c r="L579" s="4">
        <f>IFERROR((D579-E579)/E579,"")</f>
        <v/>
      </c>
      <c r="M579" s="19">
        <f>IFERROR(F579*G579/10000,"")</f>
        <v/>
      </c>
    </row>
    <row r="580">
      <c r="A580" t="inlineStr">
        <is>
          <t>2026-10-30</t>
        </is>
      </c>
      <c r="B580" t="inlineStr">
        <is>
          <t>159858</t>
        </is>
      </c>
      <c r="C580" t="inlineStr">
        <is>
          <t>创新药ETF南方</t>
        </is>
      </c>
      <c r="D580" t="n">
        <v>95509.8318</v>
      </c>
      <c r="E580" t="n">
        <v>95409.8318</v>
      </c>
      <c r="F580" t="n">
        <v>0.6409</v>
      </c>
      <c r="G580" t="n">
        <v>100</v>
      </c>
      <c r="H580" t="n">
        <v>6.121225</v>
      </c>
      <c r="I580" t="n">
        <v>6.035626</v>
      </c>
      <c r="J580" t="n">
        <v>0.08559899999999999</v>
      </c>
      <c r="K580" s="4">
        <f>IFERROR(J580/I580,"")</f>
        <v/>
      </c>
      <c r="L580" s="4">
        <f>IFERROR((D580-E580)/E580,"")</f>
        <v/>
      </c>
      <c r="M580" s="19">
        <f>IFERROR(F580*G580/10000,"")</f>
        <v/>
      </c>
    </row>
    <row r="581">
      <c r="A581" t="inlineStr">
        <is>
          <t>2026-10-30</t>
        </is>
      </c>
      <c r="B581" t="inlineStr">
        <is>
          <t>159859</t>
        </is>
      </c>
      <c r="C581" t="inlineStr">
        <is>
          <t>生物医药ETF天弘</t>
        </is>
      </c>
      <c r="D581" t="n">
        <v>1087064.0054</v>
      </c>
      <c r="E581" t="n">
        <v>1080404.0054</v>
      </c>
      <c r="F581" t="n">
        <v>0.3636</v>
      </c>
      <c r="G581" t="n">
        <v>6660</v>
      </c>
      <c r="H581" t="n">
        <v>39.525647</v>
      </c>
      <c r="I581" t="n">
        <v>38.818916</v>
      </c>
      <c r="J581" t="n">
        <v>0.706731</v>
      </c>
      <c r="K581" s="4">
        <f>IFERROR(J581/I581,"")</f>
        <v/>
      </c>
      <c r="L581" s="4">
        <f>IFERROR((D581-E581)/E581,"")</f>
        <v/>
      </c>
      <c r="M581" s="19">
        <f>IFERROR(F581*G581/10000,"")</f>
        <v/>
      </c>
    </row>
    <row r="582">
      <c r="A582" t="inlineStr">
        <is>
          <t>2026-10-30</t>
        </is>
      </c>
      <c r="B582" t="inlineStr">
        <is>
          <t>159861</t>
        </is>
      </c>
      <c r="C582" t="inlineStr">
        <is>
          <t>碳中和50ETF国泰</t>
        </is>
      </c>
      <c r="D582" t="n">
        <v>10011.7535</v>
      </c>
      <c r="E582" t="n">
        <v>10011.7535</v>
      </c>
      <c r="F582" t="n">
        <v>0.8846000000000001</v>
      </c>
      <c r="G582" t="n">
        <v>0</v>
      </c>
      <c r="H582" t="n">
        <v>0.88564</v>
      </c>
      <c r="I582" t="n">
        <v>0.881235</v>
      </c>
      <c r="J582" t="n">
        <v>0.004405</v>
      </c>
      <c r="K582" s="4">
        <f>IFERROR(J582/I582,"")</f>
        <v/>
      </c>
      <c r="L582" s="4">
        <f>IFERROR((D582-E582)/E582,"")</f>
        <v/>
      </c>
      <c r="M582" s="19">
        <f>IFERROR(F582*G582/10000,"")</f>
        <v/>
      </c>
    </row>
    <row r="583">
      <c r="A583" t="inlineStr">
        <is>
          <t>2026-10-30</t>
        </is>
      </c>
      <c r="B583" t="inlineStr">
        <is>
          <t>159862</t>
        </is>
      </c>
      <c r="C583" t="inlineStr">
        <is>
          <t>食品饮料ETF银华</t>
        </is>
      </c>
      <c r="D583" t="n">
        <v>29550.0623</v>
      </c>
      <c r="E583" t="n">
        <v>29550.0623</v>
      </c>
      <c r="F583" t="n">
        <v>0.5314</v>
      </c>
      <c r="G583" t="n">
        <v>0</v>
      </c>
      <c r="H583" t="n">
        <v>1.57029</v>
      </c>
      <c r="I583" t="n">
        <v>1.593339</v>
      </c>
      <c r="J583" t="n">
        <v>-0.023049</v>
      </c>
      <c r="K583" s="4">
        <f>IFERROR(J583/I583,"")</f>
        <v/>
      </c>
      <c r="L583" s="4">
        <f>IFERROR((D583-E583)/E583,"")</f>
        <v/>
      </c>
      <c r="M583" s="19">
        <f>IFERROR(F583*G583/10000,"")</f>
        <v/>
      </c>
    </row>
    <row r="584">
      <c r="A584" t="inlineStr">
        <is>
          <t>2026-10-30</t>
        </is>
      </c>
      <c r="B584" t="inlineStr">
        <is>
          <t>159863</t>
        </is>
      </c>
      <c r="C584" t="inlineStr">
        <is>
          <t>光伏ETF鹏华</t>
        </is>
      </c>
      <c r="D584" t="n">
        <v>31772.9352</v>
      </c>
      <c r="E584" t="n">
        <v>31772.9352</v>
      </c>
      <c r="F584" t="n">
        <v>0.4747</v>
      </c>
      <c r="G584" t="n">
        <v>0</v>
      </c>
      <c r="H584" t="n">
        <v>1.508261</v>
      </c>
      <c r="I584" t="n">
        <v>1.496188</v>
      </c>
      <c r="J584" t="n">
        <v>0.012073</v>
      </c>
      <c r="K584" s="4">
        <f>IFERROR(J584/I584,"")</f>
        <v/>
      </c>
      <c r="L584" s="4">
        <f>IFERROR((D584-E584)/E584,"")</f>
        <v/>
      </c>
      <c r="M584" s="19">
        <f>IFERROR(F584*G584/10000,"")</f>
        <v/>
      </c>
    </row>
    <row r="585">
      <c r="A585" t="inlineStr">
        <is>
          <t>2026-10-30</t>
        </is>
      </c>
      <c r="B585" t="inlineStr">
        <is>
          <t>159864</t>
        </is>
      </c>
      <c r="C585" t="inlineStr">
        <is>
          <t>光伏ETF国泰</t>
        </is>
      </c>
      <c r="D585" t="n">
        <v>64452.6827</v>
      </c>
      <c r="E585" t="n">
        <v>64852.6827</v>
      </c>
      <c r="F585" t="n">
        <v>0.4629</v>
      </c>
      <c r="G585" t="n">
        <v>-400</v>
      </c>
      <c r="H585" t="n">
        <v>2.983515</v>
      </c>
      <c r="I585" t="n">
        <v>2.978684</v>
      </c>
      <c r="J585" t="n">
        <v>0.004831</v>
      </c>
      <c r="K585" s="4">
        <f>IFERROR(J585/I585,"")</f>
        <v/>
      </c>
      <c r="L585" s="4">
        <f>IFERROR((D585-E585)/E585,"")</f>
        <v/>
      </c>
      <c r="M585" s="19">
        <f>IFERROR(F585*G585/10000,"")</f>
        <v/>
      </c>
    </row>
    <row r="586">
      <c r="A586" t="inlineStr">
        <is>
          <t>2026-10-30</t>
        </is>
      </c>
      <c r="B586" t="inlineStr">
        <is>
          <t>159865</t>
        </is>
      </c>
      <c r="C586" t="inlineStr">
        <is>
          <t>养殖ETF国泰</t>
        </is>
      </c>
      <c r="D586" t="n">
        <v>1272845.5659</v>
      </c>
      <c r="E586" t="n">
        <v>1272745.5659</v>
      </c>
      <c r="F586" t="n">
        <v>0.5149</v>
      </c>
      <c r="G586" t="n">
        <v>100</v>
      </c>
      <c r="H586" t="n">
        <v>65.53881800000001</v>
      </c>
      <c r="I586" t="n">
        <v>66.042767</v>
      </c>
      <c r="J586" t="n">
        <v>-0.503949</v>
      </c>
      <c r="K586" s="4">
        <f>IFERROR(J586/I586,"")</f>
        <v/>
      </c>
      <c r="L586" s="4">
        <f>IFERROR((D586-E586)/E586,"")</f>
        <v/>
      </c>
      <c r="M586" s="19">
        <f>IFERROR(F586*G586/10000,"")</f>
        <v/>
      </c>
    </row>
    <row r="587">
      <c r="A587" t="inlineStr">
        <is>
          <t>2026-10-30</t>
        </is>
      </c>
      <c r="B587" t="inlineStr">
        <is>
          <t>159866</t>
        </is>
      </c>
      <c r="C587" t="inlineStr">
        <is>
          <t>日经ETF工银</t>
        </is>
      </c>
      <c r="D587" t="n">
        <v>125497.9377</v>
      </c>
      <c r="E587" t="n">
        <v>125447.9377</v>
      </c>
      <c r="F587" t="n">
        <v>1.5957</v>
      </c>
      <c r="G587" t="n">
        <v>50</v>
      </c>
      <c r="H587" t="n">
        <v>20.025706</v>
      </c>
      <c r="I587" t="n">
        <v>19.852136</v>
      </c>
      <c r="J587" t="n">
        <v>0.17357</v>
      </c>
      <c r="K587" s="4">
        <f>IFERROR(J587/I587,"")</f>
        <v/>
      </c>
      <c r="L587" s="4">
        <f>IFERROR((D587-E587)/E587,"")</f>
        <v/>
      </c>
      <c r="M587" s="19">
        <f>IFERROR(F587*G587/10000,"")</f>
        <v/>
      </c>
    </row>
    <row r="588">
      <c r="A588" t="inlineStr">
        <is>
          <t>2026-10-30</t>
        </is>
      </c>
      <c r="B588" t="inlineStr">
        <is>
          <t>159867</t>
        </is>
      </c>
      <c r="C588" t="inlineStr">
        <is>
          <t>养殖ETF鹏华</t>
        </is>
      </c>
      <c r="D588" t="n">
        <v>160664.3594</v>
      </c>
      <c r="E588" t="n">
        <v>161164.3594</v>
      </c>
      <c r="F588" t="n">
        <v>0.5251</v>
      </c>
      <c r="G588" t="n">
        <v>-500</v>
      </c>
      <c r="H588" t="n">
        <v>8.436486</v>
      </c>
      <c r="I588" t="n">
        <v>8.528817999999999</v>
      </c>
      <c r="J588" t="n">
        <v>-0.092332</v>
      </c>
      <c r="K588" s="4">
        <f>IFERROR(J588/I588,"")</f>
        <v/>
      </c>
      <c r="L588" s="4">
        <f>IFERROR((D588-E588)/E588,"")</f>
        <v/>
      </c>
      <c r="M588" s="19">
        <f>IFERROR(F588*G588/10000,"")</f>
        <v/>
      </c>
    </row>
    <row r="589">
      <c r="A589" t="inlineStr">
        <is>
          <t>2026-10-30</t>
        </is>
      </c>
      <c r="B589" t="inlineStr">
        <is>
          <t>159869</t>
        </is>
      </c>
      <c r="C589" t="inlineStr">
        <is>
          <t>游戏ETF华夏</t>
        </is>
      </c>
      <c r="D589" t="n">
        <v>803808.2127</v>
      </c>
      <c r="E589" t="n">
        <v>801708.2127</v>
      </c>
      <c r="F589" t="n">
        <v>1.0148</v>
      </c>
      <c r="G589" t="n">
        <v>2100</v>
      </c>
      <c r="H589" t="n">
        <v>81.570457</v>
      </c>
      <c r="I589" t="n">
        <v>79.986428</v>
      </c>
      <c r="J589" t="n">
        <v>1.584029</v>
      </c>
      <c r="K589" s="4">
        <f>IFERROR(J589/I589,"")</f>
        <v/>
      </c>
      <c r="L589" s="4">
        <f>IFERROR((D589-E589)/E589,"")</f>
        <v/>
      </c>
      <c r="M589" s="19">
        <f>IFERROR(F589*G589/10000,"")</f>
        <v/>
      </c>
    </row>
    <row r="590">
      <c r="A590" t="inlineStr">
        <is>
          <t>2026-10-30</t>
        </is>
      </c>
      <c r="B590" t="inlineStr">
        <is>
          <t>159870</t>
        </is>
      </c>
      <c r="C590" t="inlineStr">
        <is>
          <t>化工ETF鹏华</t>
        </is>
      </c>
      <c r="D590" t="n">
        <v>1444610.7019</v>
      </c>
      <c r="E590" t="n">
        <v>1450110.7019</v>
      </c>
      <c r="F590" t="n">
        <v>0.6857</v>
      </c>
      <c r="G590" t="n">
        <v>-5500</v>
      </c>
      <c r="H590" t="n">
        <v>99.056956</v>
      </c>
      <c r="I590" t="n">
        <v>98.72353699999999</v>
      </c>
      <c r="J590" t="n">
        <v>0.333419</v>
      </c>
      <c r="K590" s="4">
        <f>IFERROR(J590/I590,"")</f>
        <v/>
      </c>
      <c r="L590" s="4">
        <f>IFERROR((D590-E590)/E590,"")</f>
        <v/>
      </c>
      <c r="M590" s="19">
        <f>IFERROR(F590*G590/10000,"")</f>
        <v/>
      </c>
    </row>
    <row r="591">
      <c r="A591" t="inlineStr">
        <is>
          <t>2026-10-30</t>
        </is>
      </c>
      <c r="B591" t="inlineStr">
        <is>
          <t>159871</t>
        </is>
      </c>
      <c r="C591" t="inlineStr">
        <is>
          <t>有色ETF银华</t>
        </is>
      </c>
      <c r="D591" t="n">
        <v>105273.2506</v>
      </c>
      <c r="E591" t="n">
        <v>105323.2506</v>
      </c>
      <c r="F591" t="n">
        <v>0.7754</v>
      </c>
      <c r="G591" t="n">
        <v>-50</v>
      </c>
      <c r="H591" t="n">
        <v>8.162888000000001</v>
      </c>
      <c r="I591" t="n">
        <v>8.15202</v>
      </c>
      <c r="J591" t="n">
        <v>0.010868</v>
      </c>
      <c r="K591" s="4">
        <f>IFERROR(J591/I591,"")</f>
        <v/>
      </c>
      <c r="L591" s="4">
        <f>IFERROR((D591-E591)/E591,"")</f>
        <v/>
      </c>
      <c r="M591" s="19">
        <f>IFERROR(F591*G591/10000,"")</f>
        <v/>
      </c>
    </row>
    <row r="592">
      <c r="A592" t="inlineStr">
        <is>
          <t>2026-10-30</t>
        </is>
      </c>
      <c r="B592" t="inlineStr">
        <is>
          <t>159872</t>
        </is>
      </c>
      <c r="C592" t="inlineStr">
        <is>
          <t>智能网联汽车ETF鹏华</t>
        </is>
      </c>
      <c r="D592" t="n">
        <v>6079.9732</v>
      </c>
      <c r="E592" t="n">
        <v>6079.9732</v>
      </c>
      <c r="F592" t="n">
        <v>0.7869</v>
      </c>
      <c r="G592" t="n">
        <v>0</v>
      </c>
      <c r="H592" t="n">
        <v>0.478433</v>
      </c>
      <c r="I592" t="n">
        <v>0.472171</v>
      </c>
      <c r="J592" t="n">
        <v>0.006262</v>
      </c>
      <c r="K592" s="4">
        <f>IFERROR(J592/I592,"")</f>
        <v/>
      </c>
      <c r="L592" s="4">
        <f>IFERROR((D592-E592)/E592,"")</f>
        <v/>
      </c>
      <c r="M592" s="19">
        <f>IFERROR(F592*G592/10000,"")</f>
        <v/>
      </c>
    </row>
    <row r="593">
      <c r="A593" t="inlineStr">
        <is>
          <t>2026-10-30</t>
        </is>
      </c>
      <c r="B593" t="inlineStr">
        <is>
          <t>159873</t>
        </is>
      </c>
      <c r="C593" t="inlineStr">
        <is>
          <t>医疗设备ETF天弘</t>
        </is>
      </c>
      <c r="D593" t="n">
        <v>45092</v>
      </c>
      <c r="E593" t="n">
        <v>45392</v>
      </c>
      <c r="F593" t="n">
        <v>0.5245</v>
      </c>
      <c r="G593" t="n">
        <v>-300</v>
      </c>
      <c r="H593" t="n">
        <v>2.365075</v>
      </c>
      <c r="I593" t="n">
        <v>2.362654</v>
      </c>
      <c r="J593" t="n">
        <v>0.002421</v>
      </c>
      <c r="K593" s="4">
        <f>IFERROR(J593/I593,"")</f>
        <v/>
      </c>
      <c r="L593" s="4">
        <f>IFERROR((D593-E593)/E593,"")</f>
        <v/>
      </c>
      <c r="M593" s="19">
        <f>IFERROR(F593*G593/10000,"")</f>
        <v/>
      </c>
    </row>
    <row r="594">
      <c r="A594" t="inlineStr">
        <is>
          <t>2026-10-30</t>
        </is>
      </c>
      <c r="B594" t="inlineStr">
        <is>
          <t>159875</t>
        </is>
      </c>
      <c r="C594" t="inlineStr">
        <is>
          <t>新能源ETF嘉实</t>
        </is>
      </c>
      <c r="D594" t="n">
        <v>237016.2899</v>
      </c>
      <c r="E594" t="n">
        <v>236866.2899</v>
      </c>
      <c r="F594" t="n">
        <v>0.4686</v>
      </c>
      <c r="G594" t="n">
        <v>150</v>
      </c>
      <c r="H594" t="n">
        <v>11.106583</v>
      </c>
      <c r="I594" t="n">
        <v>11.026126</v>
      </c>
      <c r="J594" t="n">
        <v>0.080457</v>
      </c>
      <c r="K594" s="4">
        <f>IFERROR(J594/I594,"")</f>
        <v/>
      </c>
      <c r="L594" s="4">
        <f>IFERROR((D594-E594)/E594,"")</f>
        <v/>
      </c>
      <c r="M594" s="19">
        <f>IFERROR(F594*G594/10000,"")</f>
        <v/>
      </c>
    </row>
    <row r="595">
      <c r="A595" t="inlineStr">
        <is>
          <t>2026-10-30</t>
        </is>
      </c>
      <c r="B595" t="inlineStr">
        <is>
          <t>159876</t>
        </is>
      </c>
      <c r="C595" t="inlineStr">
        <is>
          <t>有色ETF华宝</t>
        </is>
      </c>
      <c r="D595" t="n">
        <v>138357.7018</v>
      </c>
      <c r="E595" t="n">
        <v>139077.7018</v>
      </c>
      <c r="F595" t="n">
        <v>0.789</v>
      </c>
      <c r="G595" t="n">
        <v>-720</v>
      </c>
      <c r="H595" t="n">
        <v>10.916423</v>
      </c>
      <c r="I595" t="n">
        <v>10.955151</v>
      </c>
      <c r="J595" t="n">
        <v>-0.038728</v>
      </c>
      <c r="K595" s="4">
        <f>IFERROR(J595/I595,"")</f>
        <v/>
      </c>
      <c r="L595" s="4">
        <f>IFERROR((D595-E595)/E595,"")</f>
        <v/>
      </c>
      <c r="M595" s="19">
        <f>IFERROR(F595*G595/10000,"")</f>
        <v/>
      </c>
    </row>
    <row r="596">
      <c r="A596" t="inlineStr">
        <is>
          <t>2026-10-30</t>
        </is>
      </c>
      <c r="B596" t="inlineStr">
        <is>
          <t>159877</t>
        </is>
      </c>
      <c r="C596" t="inlineStr">
        <is>
          <t>医疗ETF南方</t>
        </is>
      </c>
      <c r="D596" t="n">
        <v>26479.2292</v>
      </c>
      <c r="E596" t="n">
        <v>26479.2292</v>
      </c>
      <c r="F596" t="n">
        <v>0.5101</v>
      </c>
      <c r="G596" t="n">
        <v>0</v>
      </c>
      <c r="H596" t="n">
        <v>1.350705</v>
      </c>
      <c r="I596" t="n">
        <v>1.340379</v>
      </c>
      <c r="J596" t="n">
        <v>0.010326</v>
      </c>
      <c r="K596" s="4">
        <f>IFERROR(J596/I596,"")</f>
        <v/>
      </c>
      <c r="L596" s="4">
        <f>IFERROR((D596-E596)/E596,"")</f>
        <v/>
      </c>
      <c r="M596" s="19">
        <f>IFERROR(F596*G596/10000,"")</f>
        <v/>
      </c>
    </row>
    <row r="597">
      <c r="A597" t="inlineStr">
        <is>
          <t>2026-10-30</t>
        </is>
      </c>
      <c r="B597" t="inlineStr">
        <is>
          <t>159880</t>
        </is>
      </c>
      <c r="C597" t="inlineStr">
        <is>
          <t>有色ETF鹏华</t>
        </is>
      </c>
      <c r="D597" t="n">
        <v>129010.3036</v>
      </c>
      <c r="E597" t="n">
        <v>128910.3036</v>
      </c>
      <c r="F597" t="n">
        <v>0.7779</v>
      </c>
      <c r="G597" t="n">
        <v>100</v>
      </c>
      <c r="H597" t="n">
        <v>10.035712</v>
      </c>
      <c r="I597" t="n">
        <v>10.009885</v>
      </c>
      <c r="J597" t="n">
        <v>0.025827</v>
      </c>
      <c r="K597" s="4">
        <f>IFERROR(J597/I597,"")</f>
        <v/>
      </c>
      <c r="L597" s="4">
        <f>IFERROR((D597-E597)/E597,"")</f>
        <v/>
      </c>
      <c r="M597" s="19">
        <f>IFERROR(F597*G597/10000,"")</f>
        <v/>
      </c>
    </row>
    <row r="598">
      <c r="A598" t="inlineStr">
        <is>
          <t>2026-10-30</t>
        </is>
      </c>
      <c r="B598" t="inlineStr">
        <is>
          <t>159881</t>
        </is>
      </c>
      <c r="C598" t="inlineStr">
        <is>
          <t>有色金属ETF国泰</t>
        </is>
      </c>
      <c r="D598" t="n">
        <v>20149.9166</v>
      </c>
      <c r="E598" t="n">
        <v>20149.9166</v>
      </c>
      <c r="F598" t="n">
        <v>0.741</v>
      </c>
      <c r="G598" t="n">
        <v>0</v>
      </c>
      <c r="H598" t="n">
        <v>1.493109</v>
      </c>
      <c r="I598" t="n">
        <v>1.490691</v>
      </c>
      <c r="J598" t="n">
        <v>0.002418</v>
      </c>
      <c r="K598" s="4">
        <f>IFERROR(J598/I598,"")</f>
        <v/>
      </c>
      <c r="L598" s="4">
        <f>IFERROR((D598-E598)/E598,"")</f>
        <v/>
      </c>
      <c r="M598" s="19">
        <f>IFERROR(F598*G598/10000,"")</f>
        <v/>
      </c>
    </row>
    <row r="599">
      <c r="A599" t="inlineStr">
        <is>
          <t>2026-10-30</t>
        </is>
      </c>
      <c r="B599" t="inlineStr">
        <is>
          <t>159883</t>
        </is>
      </c>
      <c r="C599" t="inlineStr">
        <is>
          <t>医疗器械ETF永赢</t>
        </is>
      </c>
      <c r="D599" t="n">
        <v>935803.7843000001</v>
      </c>
      <c r="E599" t="n">
        <v>929203.7843000001</v>
      </c>
      <c r="F599" t="n">
        <v>0.4398</v>
      </c>
      <c r="G599" t="n">
        <v>6600</v>
      </c>
      <c r="H599" t="n">
        <v>41.15665</v>
      </c>
      <c r="I599" t="n">
        <v>40.569037</v>
      </c>
      <c r="J599" t="n">
        <v>0.5876130000000001</v>
      </c>
      <c r="K599" s="4">
        <f>IFERROR(J599/I599,"")</f>
        <v/>
      </c>
      <c r="L599" s="4">
        <f>IFERROR((D599-E599)/E599,"")</f>
        <v/>
      </c>
      <c r="M599" s="19">
        <f>IFERROR(F599*G599/10000,"")</f>
        <v/>
      </c>
    </row>
    <row r="600">
      <c r="A600" t="inlineStr">
        <is>
          <t>2026-10-30</t>
        </is>
      </c>
      <c r="B600" t="inlineStr">
        <is>
          <t>159885</t>
        </is>
      </c>
      <c r="C600" t="inlineStr">
        <is>
          <t>碳中和ETF鹏华</t>
        </is>
      </c>
      <c r="D600" t="n">
        <v>25646.7316</v>
      </c>
      <c r="E600" t="n">
        <v>25646.7316</v>
      </c>
      <c r="F600" t="n">
        <v>0.602</v>
      </c>
      <c r="G600" t="n">
        <v>0</v>
      </c>
      <c r="H600" t="n">
        <v>1.543933</v>
      </c>
      <c r="I600" t="n">
        <v>1.543933</v>
      </c>
      <c r="J600" t="n">
        <v>0</v>
      </c>
      <c r="K600" s="4">
        <f>IFERROR(J600/I600,"")</f>
        <v/>
      </c>
      <c r="L600" s="4">
        <f>IFERROR((D600-E600)/E600,"")</f>
        <v/>
      </c>
      <c r="M600" s="19">
        <f>IFERROR(F600*G600/10000,"")</f>
        <v/>
      </c>
    </row>
    <row r="601">
      <c r="A601" t="inlineStr">
        <is>
          <t>2026-10-30</t>
        </is>
      </c>
      <c r="B601" t="inlineStr">
        <is>
          <t>159886</t>
        </is>
      </c>
      <c r="C601" t="inlineStr">
        <is>
          <t>机械ETF富国</t>
        </is>
      </c>
      <c r="D601" t="n">
        <v>7864.2555</v>
      </c>
      <c r="E601" t="n">
        <v>7864.2555</v>
      </c>
      <c r="F601" t="n">
        <v>0.7365</v>
      </c>
      <c r="G601" t="n">
        <v>0</v>
      </c>
      <c r="H601" t="n">
        <v>0.579202</v>
      </c>
      <c r="I601" t="n">
        <v>0.57645</v>
      </c>
      <c r="J601" t="n">
        <v>0.002752</v>
      </c>
      <c r="K601" s="4">
        <f>IFERROR(J601/I601,"")</f>
        <v/>
      </c>
      <c r="L601" s="4">
        <f>IFERROR((D601-E601)/E601,"")</f>
        <v/>
      </c>
      <c r="M601" s="19">
        <f>IFERROR(F601*G601/10000,"")</f>
        <v/>
      </c>
    </row>
    <row r="602">
      <c r="A602" t="inlineStr">
        <is>
          <t>2026-10-30</t>
        </is>
      </c>
      <c r="B602" t="inlineStr">
        <is>
          <t>159887</t>
        </is>
      </c>
      <c r="C602" t="inlineStr">
        <is>
          <t>银行ETF富国</t>
        </is>
      </c>
      <c r="D602" t="n">
        <v>60391.595</v>
      </c>
      <c r="E602" t="n">
        <v>60301.595</v>
      </c>
      <c r="F602" t="n">
        <v>1.4302</v>
      </c>
      <c r="G602" t="n">
        <v>90</v>
      </c>
      <c r="H602" t="n">
        <v>8.637206000000001</v>
      </c>
      <c r="I602" t="n">
        <v>8.678606</v>
      </c>
      <c r="J602" t="n">
        <v>-0.0414</v>
      </c>
      <c r="K602" s="4">
        <f>IFERROR(J602/I602,"")</f>
        <v/>
      </c>
      <c r="L602" s="4">
        <f>IFERROR((D602-E602)/E602,"")</f>
        <v/>
      </c>
      <c r="M602" s="19">
        <f>IFERROR(F602*G602/10000,"")</f>
        <v/>
      </c>
    </row>
    <row r="603">
      <c r="A603" t="inlineStr">
        <is>
          <t>2026-10-30</t>
        </is>
      </c>
      <c r="B603" t="inlineStr">
        <is>
          <t>159888</t>
        </is>
      </c>
      <c r="C603" t="inlineStr">
        <is>
          <t>智能汽车ETF华夏</t>
        </is>
      </c>
      <c r="D603" t="n">
        <v>7044.6068</v>
      </c>
      <c r="E603" t="n">
        <v>7044.6068</v>
      </c>
      <c r="F603" t="n">
        <v>0.9458</v>
      </c>
      <c r="G603" t="n">
        <v>0</v>
      </c>
      <c r="H603" t="n">
        <v>0.666279</v>
      </c>
      <c r="I603" t="n">
        <v>0.647258</v>
      </c>
      <c r="J603" t="n">
        <v>0.019021</v>
      </c>
      <c r="K603" s="4">
        <f>IFERROR(J603/I603,"")</f>
        <v/>
      </c>
      <c r="L603" s="4">
        <f>IFERROR((D603-E603)/E603,"")</f>
        <v/>
      </c>
      <c r="M603" s="19">
        <f>IFERROR(F603*G603/10000,"")</f>
        <v/>
      </c>
    </row>
    <row r="604">
      <c r="A604" t="inlineStr">
        <is>
          <t>2026-10-30</t>
        </is>
      </c>
      <c r="B604" t="inlineStr">
        <is>
          <t>159889</t>
        </is>
      </c>
      <c r="C604" t="inlineStr">
        <is>
          <t>智能汽车ETF国泰</t>
        </is>
      </c>
      <c r="D604" t="n">
        <v>2740.0796</v>
      </c>
      <c r="E604" t="n">
        <v>2740.0796</v>
      </c>
      <c r="F604" t="n">
        <v>0.8177</v>
      </c>
      <c r="G604" t="n">
        <v>0</v>
      </c>
      <c r="H604" t="n">
        <v>0.224056</v>
      </c>
      <c r="I604" t="n">
        <v>0.217727</v>
      </c>
      <c r="J604" t="n">
        <v>0.006329</v>
      </c>
      <c r="K604" s="4">
        <f>IFERROR(J604/I604,"")</f>
        <v/>
      </c>
      <c r="L604" s="4">
        <f>IFERROR((D604-E604)/E604,"")</f>
        <v/>
      </c>
      <c r="M604" s="19">
        <f>IFERROR(F604*G604/10000,"")</f>
        <v/>
      </c>
    </row>
    <row r="605">
      <c r="A605" t="inlineStr">
        <is>
          <t>2026-10-30</t>
        </is>
      </c>
      <c r="B605" t="inlineStr">
        <is>
          <t>159890</t>
        </is>
      </c>
      <c r="C605" t="inlineStr">
        <is>
          <t>云计算ETF招商</t>
        </is>
      </c>
      <c r="D605" t="n">
        <v>22359.0688</v>
      </c>
      <c r="E605" t="n">
        <v>22359.0688</v>
      </c>
      <c r="F605" t="n">
        <v>1.4995</v>
      </c>
      <c r="G605" t="n">
        <v>0</v>
      </c>
      <c r="H605" t="n">
        <v>3.352742</v>
      </c>
      <c r="I605" t="n">
        <v>3.314956</v>
      </c>
      <c r="J605" t="n">
        <v>0.037786</v>
      </c>
      <c r="K605" s="4">
        <f>IFERROR(J605/I605,"")</f>
        <v/>
      </c>
      <c r="L605" s="4">
        <f>IFERROR((D605-E605)/E605,"")</f>
        <v/>
      </c>
      <c r="M605" s="19">
        <f>IFERROR(F605*G605/10000,"")</f>
        <v/>
      </c>
    </row>
    <row r="606">
      <c r="A606" t="inlineStr">
        <is>
          <t>2026-10-30</t>
        </is>
      </c>
      <c r="B606" t="inlineStr">
        <is>
          <t>159891</t>
        </is>
      </c>
      <c r="C606" t="inlineStr">
        <is>
          <t>医疗ETF建信</t>
        </is>
      </c>
      <c r="D606" t="n">
        <v>34002.4837</v>
      </c>
      <c r="E606" t="n">
        <v>34402.4837</v>
      </c>
      <c r="F606" t="n">
        <v>0.3801</v>
      </c>
      <c r="G606" t="n">
        <v>-400</v>
      </c>
      <c r="H606" t="n">
        <v>1.292434</v>
      </c>
      <c r="I606" t="n">
        <v>1.297318</v>
      </c>
      <c r="J606" t="n">
        <v>-0.004884</v>
      </c>
      <c r="K606" s="4">
        <f>IFERROR(J606/I606,"")</f>
        <v/>
      </c>
      <c r="L606" s="4">
        <f>IFERROR((D606-E606)/E606,"")</f>
        <v/>
      </c>
      <c r="M606" s="19">
        <f>IFERROR(F606*G606/10000,"")</f>
        <v/>
      </c>
    </row>
    <row r="607">
      <c r="A607" t="inlineStr">
        <is>
          <t>2026-10-30</t>
        </is>
      </c>
      <c r="B607" t="inlineStr">
        <is>
          <t>159892</t>
        </is>
      </c>
      <c r="C607" t="inlineStr">
        <is>
          <t>恒生医药ETF华夏</t>
        </is>
      </c>
      <c r="D607" t="n">
        <v>505126.6022</v>
      </c>
      <c r="E607" t="n">
        <v>505126.6022</v>
      </c>
      <c r="F607" t="n">
        <v>0.7301</v>
      </c>
      <c r="G607" t="n">
        <v>0</v>
      </c>
      <c r="H607" t="n">
        <v>36.879293</v>
      </c>
      <c r="I607" t="n">
        <v>36.167065</v>
      </c>
      <c r="J607" t="n">
        <v>0.712228</v>
      </c>
      <c r="K607" s="4">
        <f>IFERROR(J607/I607,"")</f>
        <v/>
      </c>
      <c r="L607" s="4">
        <f>IFERROR((D607-E607)/E607,"")</f>
        <v/>
      </c>
      <c r="M607" s="19">
        <f>IFERROR(F607*G607/10000,"")</f>
        <v/>
      </c>
    </row>
    <row r="608">
      <c r="A608" t="inlineStr">
        <is>
          <t>2026-10-30</t>
        </is>
      </c>
      <c r="B608" t="inlineStr">
        <is>
          <t>159895</t>
        </is>
      </c>
      <c r="C608" t="inlineStr">
        <is>
          <t>物联网ETF易方达</t>
        </is>
      </c>
      <c r="D608" t="n">
        <v>1824.1864</v>
      </c>
      <c r="E608" t="n">
        <v>2124.1864</v>
      </c>
      <c r="F608" t="n">
        <v>1.192</v>
      </c>
      <c r="G608" t="n">
        <v>-300</v>
      </c>
      <c r="H608" t="n">
        <v>0.217443</v>
      </c>
      <c r="I608" t="n">
        <v>0.24511</v>
      </c>
      <c r="J608" t="n">
        <v>-0.027667</v>
      </c>
      <c r="K608" s="4">
        <f>IFERROR(J608/I608,"")</f>
        <v/>
      </c>
      <c r="L608" s="4">
        <f>IFERROR((D608-E608)/E608,"")</f>
        <v/>
      </c>
      <c r="M608" s="19">
        <f>IFERROR(F608*G608/10000,"")</f>
        <v/>
      </c>
    </row>
    <row r="609">
      <c r="A609" t="inlineStr">
        <is>
          <t>2026-10-30</t>
        </is>
      </c>
      <c r="B609" t="inlineStr">
        <is>
          <t>159896</t>
        </is>
      </c>
      <c r="C609" t="inlineStr">
        <is>
          <t>物联网ETF南方</t>
        </is>
      </c>
      <c r="D609" t="n">
        <v>3505.596</v>
      </c>
      <c r="E609" t="n">
        <v>3505.596</v>
      </c>
      <c r="F609" t="n">
        <v>1.0931</v>
      </c>
      <c r="G609" t="n">
        <v>0</v>
      </c>
      <c r="H609" t="n">
        <v>0.383197</v>
      </c>
      <c r="I609" t="n">
        <v>0.370541</v>
      </c>
      <c r="J609" t="n">
        <v>0.012656</v>
      </c>
      <c r="K609" s="4">
        <f>IFERROR(J609/I609,"")</f>
        <v/>
      </c>
      <c r="L609" s="4">
        <f>IFERROR((D609-E609)/E609,"")</f>
        <v/>
      </c>
      <c r="M609" s="19">
        <f>IFERROR(F609*G609/10000,"")</f>
        <v/>
      </c>
    </row>
    <row r="610">
      <c r="A610" t="inlineStr">
        <is>
          <t>2026-10-30</t>
        </is>
      </c>
      <c r="B610" t="inlineStr">
        <is>
          <t>159898</t>
        </is>
      </c>
      <c r="C610" t="inlineStr">
        <is>
          <t>医疗器械ETF招商</t>
        </is>
      </c>
      <c r="D610" t="n">
        <v>87109.88250000001</v>
      </c>
      <c r="E610" t="n">
        <v>87009.88250000001</v>
      </c>
      <c r="F610" t="n">
        <v>0.4939</v>
      </c>
      <c r="G610" t="n">
        <v>100</v>
      </c>
      <c r="H610" t="n">
        <v>4.302357</v>
      </c>
      <c r="I610" t="n">
        <v>4.264354</v>
      </c>
      <c r="J610" t="n">
        <v>0.038003</v>
      </c>
      <c r="K610" s="4">
        <f>IFERROR(J610/I610,"")</f>
        <v/>
      </c>
      <c r="L610" s="4">
        <f>IFERROR((D610-E610)/E610,"")</f>
        <v/>
      </c>
      <c r="M610" s="19">
        <f>IFERROR(F610*G610/10000,"")</f>
        <v/>
      </c>
    </row>
    <row r="611">
      <c r="A611" t="inlineStr">
        <is>
          <t>2026-10-30</t>
        </is>
      </c>
      <c r="B611" t="inlineStr">
        <is>
          <t>159899</t>
        </is>
      </c>
      <c r="C611" t="inlineStr">
        <is>
          <t>软件ETF招商</t>
        </is>
      </c>
      <c r="D611" t="n">
        <v>117597.7729</v>
      </c>
      <c r="E611" t="n">
        <v>116997.7729</v>
      </c>
      <c r="F611" t="n">
        <v>0.6695</v>
      </c>
      <c r="G611" t="n">
        <v>600</v>
      </c>
      <c r="H611" t="n">
        <v>7.873171</v>
      </c>
      <c r="I611" t="n">
        <v>7.86576</v>
      </c>
      <c r="J611" t="n">
        <v>0.007411</v>
      </c>
      <c r="K611" s="4">
        <f>IFERROR(J611/I611,"")</f>
        <v/>
      </c>
      <c r="L611" s="4">
        <f>IFERROR((D611-E611)/E611,"")</f>
        <v/>
      </c>
      <c r="M611" s="19">
        <f>IFERROR(F611*G611/10000,"")</f>
        <v/>
      </c>
    </row>
    <row r="612">
      <c r="A612" t="inlineStr">
        <is>
          <t>2026-10-30</t>
        </is>
      </c>
      <c r="B612" t="inlineStr">
        <is>
          <t>159901</t>
        </is>
      </c>
      <c r="C612" t="inlineStr">
        <is>
          <t>深证100ETF易方达</t>
        </is>
      </c>
      <c r="D612" t="n">
        <v>118433.493</v>
      </c>
      <c r="E612" t="n">
        <v>117103.493</v>
      </c>
      <c r="F612" t="n">
        <v>2.9339</v>
      </c>
      <c r="G612" t="n">
        <v>1330</v>
      </c>
      <c r="H612" t="n">
        <v>34.747203</v>
      </c>
      <c r="I612" t="n">
        <v>33.735174</v>
      </c>
      <c r="J612" t="n">
        <v>1.012029</v>
      </c>
      <c r="K612" s="4">
        <f>IFERROR(J612/I612,"")</f>
        <v/>
      </c>
      <c r="L612" s="4">
        <f>IFERROR((D612-E612)/E612,"")</f>
        <v/>
      </c>
      <c r="M612" s="19">
        <f>IFERROR(F612*G612/10000,"")</f>
        <v/>
      </c>
    </row>
    <row r="613">
      <c r="A613" t="inlineStr">
        <is>
          <t>2026-10-30</t>
        </is>
      </c>
      <c r="B613" t="inlineStr">
        <is>
          <t>159902</t>
        </is>
      </c>
      <c r="C613" t="inlineStr">
        <is>
          <t>中小100ETF华夏</t>
        </is>
      </c>
      <c r="D613" t="n">
        <v>7446.0849</v>
      </c>
      <c r="E613" t="n">
        <v>7346.0849</v>
      </c>
      <c r="F613" t="n">
        <v>3.8807</v>
      </c>
      <c r="G613" t="n">
        <v>100</v>
      </c>
      <c r="H613" t="n">
        <v>2.889602</v>
      </c>
      <c r="I613" t="n">
        <v>2.804515</v>
      </c>
      <c r="J613" t="n">
        <v>0.085087</v>
      </c>
      <c r="K613" s="4">
        <f>IFERROR(J613/I613,"")</f>
        <v/>
      </c>
      <c r="L613" s="4">
        <f>IFERROR((D613-E613)/E613,"")</f>
        <v/>
      </c>
      <c r="M613" s="19">
        <f>IFERROR(F613*G613/10000,"")</f>
        <v/>
      </c>
    </row>
    <row r="614">
      <c r="A614" t="inlineStr">
        <is>
          <t>2026-10-30</t>
        </is>
      </c>
      <c r="B614" t="inlineStr">
        <is>
          <t>159903</t>
        </is>
      </c>
      <c r="C614" t="inlineStr">
        <is>
          <t>深成ETF南方</t>
        </is>
      </c>
      <c r="D614" t="n">
        <v>68515.4507</v>
      </c>
      <c r="E614" t="n">
        <v>67315.4507</v>
      </c>
      <c r="F614" t="n">
        <v>1.4075</v>
      </c>
      <c r="G614" t="n">
        <v>1200</v>
      </c>
      <c r="H614" t="n">
        <v>9.643549999999999</v>
      </c>
      <c r="I614" t="n">
        <v>9.28684</v>
      </c>
      <c r="J614" t="n">
        <v>0.35671</v>
      </c>
      <c r="K614" s="4">
        <f>IFERROR(J614/I614,"")</f>
        <v/>
      </c>
      <c r="L614" s="4">
        <f>IFERROR((D614-E614)/E614,"")</f>
        <v/>
      </c>
      <c r="M614" s="19">
        <f>IFERROR(F614*G614/10000,"")</f>
        <v/>
      </c>
    </row>
    <row r="615">
      <c r="A615" t="inlineStr">
        <is>
          <t>2026-10-30</t>
        </is>
      </c>
      <c r="B615" t="inlineStr">
        <is>
          <t>159905</t>
        </is>
      </c>
      <c r="C615" t="inlineStr">
        <is>
          <t>红利ETF工银</t>
        </is>
      </c>
      <c r="D615" t="n">
        <v>99994.39509999999</v>
      </c>
      <c r="E615" t="n">
        <v>100594.3951</v>
      </c>
      <c r="F615" t="n">
        <v>1.4954</v>
      </c>
      <c r="G615" t="n">
        <v>-600</v>
      </c>
      <c r="H615" t="n">
        <v>14.953162</v>
      </c>
      <c r="I615" t="n">
        <v>15.049927</v>
      </c>
      <c r="J615" t="n">
        <v>-0.096765</v>
      </c>
      <c r="K615" s="4">
        <f>IFERROR(J615/I615,"")</f>
        <v/>
      </c>
      <c r="L615" s="4">
        <f>IFERROR((D615-E615)/E615,"")</f>
        <v/>
      </c>
      <c r="M615" s="19">
        <f>IFERROR(F615*G615/10000,"")</f>
        <v/>
      </c>
    </row>
    <row r="616">
      <c r="A616" t="inlineStr">
        <is>
          <t>2026-10-30</t>
        </is>
      </c>
      <c r="B616" t="inlineStr">
        <is>
          <t>159906</t>
        </is>
      </c>
      <c r="C616" t="inlineStr">
        <is>
          <t>深成长ETF大成</t>
        </is>
      </c>
      <c r="D616" t="n">
        <v>14463.9725</v>
      </c>
      <c r="E616" t="n">
        <v>14063.9725</v>
      </c>
      <c r="F616" t="n">
        <v>1.2469</v>
      </c>
      <c r="G616" t="n">
        <v>400</v>
      </c>
      <c r="H616" t="n">
        <v>1.803513</v>
      </c>
      <c r="I616" t="n">
        <v>1.696678</v>
      </c>
      <c r="J616" t="n">
        <v>0.106835</v>
      </c>
      <c r="K616" s="4">
        <f>IFERROR(J616/I616,"")</f>
        <v/>
      </c>
      <c r="L616" s="4">
        <f>IFERROR((D616-E616)/E616,"")</f>
        <v/>
      </c>
      <c r="M616" s="19">
        <f>IFERROR(F616*G616/10000,"")</f>
        <v/>
      </c>
    </row>
    <row r="617">
      <c r="A617" t="inlineStr">
        <is>
          <t>2026-10-30</t>
        </is>
      </c>
      <c r="B617" t="inlineStr">
        <is>
          <t>159907</t>
        </is>
      </c>
      <c r="C617" t="inlineStr">
        <is>
          <t>国证2000ETF广发</t>
        </is>
      </c>
      <c r="D617" t="n">
        <v>19119.7694</v>
      </c>
      <c r="E617" t="n">
        <v>19119.7694</v>
      </c>
      <c r="F617" t="n">
        <v>0.9451000000000001</v>
      </c>
      <c r="G617" t="n">
        <v>0</v>
      </c>
      <c r="H617" t="n">
        <v>1.807009</v>
      </c>
      <c r="I617" t="n">
        <v>1.765711</v>
      </c>
      <c r="J617" t="n">
        <v>0.041298</v>
      </c>
      <c r="K617" s="4">
        <f>IFERROR(J617/I617,"")</f>
        <v/>
      </c>
      <c r="L617" s="4">
        <f>IFERROR((D617-E617)/E617,"")</f>
        <v/>
      </c>
      <c r="M617" s="19">
        <f>IFERROR(F617*G617/10000,"")</f>
        <v/>
      </c>
    </row>
    <row r="618">
      <c r="A618" t="inlineStr">
        <is>
          <t>2026-10-30</t>
        </is>
      </c>
      <c r="B618" t="inlineStr">
        <is>
          <t>159908</t>
        </is>
      </c>
      <c r="C618" t="inlineStr">
        <is>
          <t>创业板ETF博时</t>
        </is>
      </c>
      <c r="D618" t="n">
        <v>41422.9029</v>
      </c>
      <c r="E618" t="n">
        <v>41722.9029</v>
      </c>
      <c r="F618" t="n">
        <v>2.4886</v>
      </c>
      <c r="G618" t="n">
        <v>-300</v>
      </c>
      <c r="H618" t="n">
        <v>10.308504</v>
      </c>
      <c r="I618" t="n">
        <v>10.048544</v>
      </c>
      <c r="J618" t="n">
        <v>0.25996</v>
      </c>
      <c r="K618" s="4">
        <f>IFERROR(J618/I618,"")</f>
        <v/>
      </c>
      <c r="L618" s="4">
        <f>IFERROR((D618-E618)/E618,"")</f>
        <v/>
      </c>
      <c r="M618" s="19">
        <f>IFERROR(F618*G618/10000,"")</f>
        <v/>
      </c>
    </row>
    <row r="619">
      <c r="A619" t="inlineStr">
        <is>
          <t>2026-10-30</t>
        </is>
      </c>
      <c r="B619" t="inlineStr">
        <is>
          <t>159909</t>
        </is>
      </c>
      <c r="C619" t="inlineStr">
        <is>
          <t>TMT50ETF招商</t>
        </is>
      </c>
      <c r="D619" t="n">
        <v>55656.1992</v>
      </c>
      <c r="E619" t="n">
        <v>55406.1992</v>
      </c>
      <c r="F619" t="n">
        <v>1.0379</v>
      </c>
      <c r="G619" t="n">
        <v>250</v>
      </c>
      <c r="H619" t="n">
        <v>5.776557</v>
      </c>
      <c r="I619" t="n">
        <v>5.550039</v>
      </c>
      <c r="J619" t="n">
        <v>0.226518</v>
      </c>
      <c r="K619" s="4">
        <f>IFERROR(J619/I619,"")</f>
        <v/>
      </c>
      <c r="L619" s="4">
        <f>IFERROR((D619-E619)/E619,"")</f>
        <v/>
      </c>
      <c r="M619" s="19">
        <f>IFERROR(F619*G619/10000,"")</f>
        <v/>
      </c>
    </row>
    <row r="620">
      <c r="A620" t="inlineStr">
        <is>
          <t>2026-10-30</t>
        </is>
      </c>
      <c r="B620" t="inlineStr">
        <is>
          <t>159910</t>
        </is>
      </c>
      <c r="C620" t="inlineStr">
        <is>
          <t>基本面120ETF嘉实</t>
        </is>
      </c>
      <c r="D620" t="n">
        <v>8390.614299999999</v>
      </c>
      <c r="E620" t="n">
        <v>8390.614299999999</v>
      </c>
      <c r="F620" t="n">
        <v>2.1701</v>
      </c>
      <c r="G620" t="n">
        <v>0</v>
      </c>
      <c r="H620" t="n">
        <v>1.820847</v>
      </c>
      <c r="I620" t="n">
        <v>1.81875</v>
      </c>
      <c r="J620" t="n">
        <v>0.002097</v>
      </c>
      <c r="K620" s="4">
        <f>IFERROR(J620/I620,"")</f>
        <v/>
      </c>
      <c r="L620" s="4">
        <f>IFERROR((D620-E620)/E620,"")</f>
        <v/>
      </c>
      <c r="M620" s="19">
        <f>IFERROR(F620*G620/10000,"")</f>
        <v/>
      </c>
    </row>
    <row r="621">
      <c r="A621" t="inlineStr">
        <is>
          <t>2026-10-30</t>
        </is>
      </c>
      <c r="B621" t="inlineStr">
        <is>
          <t>159912</t>
        </is>
      </c>
      <c r="C621" t="inlineStr">
        <is>
          <t>深300ETF汇添富</t>
        </is>
      </c>
      <c r="D621" t="n">
        <v>7094.8991</v>
      </c>
      <c r="E621" t="n">
        <v>7094.8991</v>
      </c>
      <c r="F621" t="n">
        <v>1.5799</v>
      </c>
      <c r="G621" t="n">
        <v>0</v>
      </c>
      <c r="H621" t="n">
        <v>1.120923</v>
      </c>
      <c r="I621" t="n">
        <v>1.099071</v>
      </c>
      <c r="J621" t="n">
        <v>0.021852</v>
      </c>
      <c r="K621" s="4">
        <f>IFERROR(J621/I621,"")</f>
        <v/>
      </c>
      <c r="L621" s="4">
        <f>IFERROR((D621-E621)/E621,"")</f>
        <v/>
      </c>
      <c r="M621" s="19">
        <f>IFERROR(F621*G621/10000,"")</f>
        <v/>
      </c>
    </row>
    <row r="622">
      <c r="A622" t="inlineStr">
        <is>
          <t>2026-10-30</t>
        </is>
      </c>
      <c r="B622" t="inlineStr">
        <is>
          <t>159913</t>
        </is>
      </c>
      <c r="C622" t="inlineStr">
        <is>
          <t>深价值ETF交银</t>
        </is>
      </c>
      <c r="D622" t="n">
        <v>2202.9693</v>
      </c>
      <c r="E622" t="n">
        <v>2202.9693</v>
      </c>
      <c r="F622" t="n">
        <v>2.253</v>
      </c>
      <c r="G622" t="n">
        <v>0</v>
      </c>
      <c r="H622" t="n">
        <v>0.496329</v>
      </c>
      <c r="I622" t="n">
        <v>0.494567</v>
      </c>
      <c r="J622" t="n">
        <v>0.001762</v>
      </c>
      <c r="K622" s="4">
        <f>IFERROR(J622/I622,"")</f>
        <v/>
      </c>
      <c r="L622" s="4">
        <f>IFERROR((D622-E622)/E622,"")</f>
        <v/>
      </c>
      <c r="M622" s="19">
        <f>IFERROR(F622*G622/10000,"")</f>
        <v/>
      </c>
    </row>
    <row r="623">
      <c r="A623" t="inlineStr">
        <is>
          <t>2026-10-30</t>
        </is>
      </c>
      <c r="B623" t="inlineStr">
        <is>
          <t>159915</t>
        </is>
      </c>
      <c r="C623" t="inlineStr">
        <is>
          <t>创业板ETF易方达</t>
        </is>
      </c>
      <c r="D623" t="n">
        <v>3638445.4936</v>
      </c>
      <c r="E623" t="n">
        <v>3490345.4936</v>
      </c>
      <c r="F623" t="n">
        <v>2.6521</v>
      </c>
      <c r="G623" t="n">
        <v>148100</v>
      </c>
      <c r="H623" t="n">
        <v>964.952129</v>
      </c>
      <c r="I623" t="n">
        <v>895.238716</v>
      </c>
      <c r="J623" t="n">
        <v>69.713413</v>
      </c>
      <c r="K623" s="4">
        <f>IFERROR(J623/I623,"")</f>
        <v/>
      </c>
      <c r="L623" s="4">
        <f>IFERROR((D623-E623)/E623,"")</f>
        <v/>
      </c>
      <c r="M623" s="19">
        <f>IFERROR(F623*G623/10000,"")</f>
        <v/>
      </c>
    </row>
    <row r="624">
      <c r="A624" t="inlineStr">
        <is>
          <t>2026-10-30</t>
        </is>
      </c>
      <c r="B624" t="inlineStr">
        <is>
          <t>159916</t>
        </is>
      </c>
      <c r="C624" t="inlineStr">
        <is>
          <t>基本面ETF建信</t>
        </is>
      </c>
      <c r="D624" t="n">
        <v>4306.6039</v>
      </c>
      <c r="E624" t="n">
        <v>4306.6039</v>
      </c>
      <c r="F624" t="n">
        <v>4.7363</v>
      </c>
      <c r="G624" t="n">
        <v>0</v>
      </c>
      <c r="H624" t="n">
        <v>2.039737</v>
      </c>
      <c r="I624" t="n">
        <v>2.040297</v>
      </c>
      <c r="J624" t="n">
        <v>-0.00056</v>
      </c>
      <c r="K624" s="4">
        <f>IFERROR(J624/I624,"")</f>
        <v/>
      </c>
      <c r="L624" s="4">
        <f>IFERROR((D624-E624)/E624,"")</f>
        <v/>
      </c>
      <c r="M624" s="19">
        <f>IFERROR(F624*G624/10000,"")</f>
        <v/>
      </c>
    </row>
    <row r="625">
      <c r="A625" t="inlineStr">
        <is>
          <t>2026-10-30</t>
        </is>
      </c>
      <c r="B625" t="inlineStr">
        <is>
          <t>159918</t>
        </is>
      </c>
      <c r="C625" t="inlineStr">
        <is>
          <t>中创400ETF嘉实</t>
        </is>
      </c>
      <c r="D625" t="n">
        <v>3056.1264</v>
      </c>
      <c r="E625" t="n">
        <v>3056.1264</v>
      </c>
      <c r="F625" t="n">
        <v>2.1409</v>
      </c>
      <c r="G625" t="n">
        <v>0</v>
      </c>
      <c r="H625" t="n">
        <v>0.654286</v>
      </c>
      <c r="I625" t="n">
        <v>0.637508</v>
      </c>
      <c r="J625" t="n">
        <v>0.016778</v>
      </c>
      <c r="K625" s="4">
        <f>IFERROR(J625/I625,"")</f>
        <v/>
      </c>
      <c r="L625" s="4">
        <f>IFERROR((D625-E625)/E625,"")</f>
        <v/>
      </c>
      <c r="M625" s="19">
        <f>IFERROR(F625*G625/10000,"")</f>
        <v/>
      </c>
    </row>
    <row r="626">
      <c r="A626" t="inlineStr">
        <is>
          <t>2026-10-30</t>
        </is>
      </c>
      <c r="B626" t="inlineStr">
        <is>
          <t>159919</t>
        </is>
      </c>
      <c r="C626" t="inlineStr">
        <is>
          <t>沪深300ETF嘉实</t>
        </is>
      </c>
      <c r="D626" t="n">
        <v>1152651.6676</v>
      </c>
      <c r="E626" t="n">
        <v>1075881.6676</v>
      </c>
      <c r="F626" t="n">
        <v>4.3437</v>
      </c>
      <c r="G626" t="n">
        <v>76770</v>
      </c>
      <c r="H626" t="n">
        <v>500.677305</v>
      </c>
      <c r="I626" t="n">
        <v>463.457546</v>
      </c>
      <c r="J626" t="n">
        <v>37.219759</v>
      </c>
      <c r="K626" s="4">
        <f>IFERROR(J626/I626,"")</f>
        <v/>
      </c>
      <c r="L626" s="4">
        <f>IFERROR((D626-E626)/E626,"")</f>
        <v/>
      </c>
      <c r="M626" s="19">
        <f>IFERROR(F626*G626/10000,"")</f>
        <v/>
      </c>
    </row>
    <row r="627">
      <c r="A627" t="inlineStr">
        <is>
          <t>2026-10-30</t>
        </is>
      </c>
      <c r="B627" t="inlineStr">
        <is>
          <t>159920</t>
        </is>
      </c>
      <c r="C627" t="inlineStr">
        <is>
          <t>恒生ETF华夏</t>
        </is>
      </c>
      <c r="D627" t="n">
        <v>567155.9219</v>
      </c>
      <c r="E627" t="n">
        <v>567155.9219</v>
      </c>
      <c r="F627" t="n">
        <v>1.3607</v>
      </c>
      <c r="G627" t="n">
        <v>0</v>
      </c>
      <c r="H627" t="n">
        <v>77.172906</v>
      </c>
      <c r="I627" t="n">
        <v>77.00275999999999</v>
      </c>
      <c r="J627" t="n">
        <v>0.170146</v>
      </c>
      <c r="K627" s="4">
        <f>IFERROR(J627/I627,"")</f>
        <v/>
      </c>
      <c r="L627" s="4">
        <f>IFERROR((D627-E627)/E627,"")</f>
        <v/>
      </c>
      <c r="M627" s="19">
        <f>IFERROR(F627*G627/10000,"")</f>
        <v/>
      </c>
    </row>
    <row r="628">
      <c r="A628" t="inlineStr">
        <is>
          <t>2026-10-30</t>
        </is>
      </c>
      <c r="B628" t="inlineStr">
        <is>
          <t>159922</t>
        </is>
      </c>
      <c r="C628" t="inlineStr">
        <is>
          <t>中证500ETF嘉实</t>
        </is>
      </c>
      <c r="D628" t="n">
        <v>299467.6765</v>
      </c>
      <c r="E628" t="n">
        <v>307467.6765</v>
      </c>
      <c r="F628" t="n">
        <v>2.7076</v>
      </c>
      <c r="G628" t="n">
        <v>-8000</v>
      </c>
      <c r="H628" t="n">
        <v>81.083868</v>
      </c>
      <c r="I628" t="n">
        <v>81.64496699999999</v>
      </c>
      <c r="J628" t="n">
        <v>-0.561099</v>
      </c>
      <c r="K628" s="4">
        <f>IFERROR(J628/I628,"")</f>
        <v/>
      </c>
      <c r="L628" s="4">
        <f>IFERROR((D628-E628)/E628,"")</f>
        <v/>
      </c>
      <c r="M628" s="19">
        <f>IFERROR(F628*G628/10000,"")</f>
        <v/>
      </c>
    </row>
    <row r="629">
      <c r="A629" t="inlineStr">
        <is>
          <t>2026-10-30</t>
        </is>
      </c>
      <c r="B629" t="inlineStr">
        <is>
          <t>159923</t>
        </is>
      </c>
      <c r="C629" t="inlineStr">
        <is>
          <t>中证A100ETF大成</t>
        </is>
      </c>
      <c r="D629" t="n">
        <v>1228.5812</v>
      </c>
      <c r="E629" t="n">
        <v>1228.5812</v>
      </c>
      <c r="F629" t="n">
        <v>1.9082</v>
      </c>
      <c r="G629" t="n">
        <v>0</v>
      </c>
      <c r="H629" t="n">
        <v>0.234438</v>
      </c>
      <c r="I629" t="n">
        <v>0.231944</v>
      </c>
      <c r="J629" t="n">
        <v>0.002494</v>
      </c>
      <c r="K629" s="4">
        <f>IFERROR(J629/I629,"")</f>
        <v/>
      </c>
      <c r="L629" s="4">
        <f>IFERROR((D629-E629)/E629,"")</f>
        <v/>
      </c>
      <c r="M629" s="19">
        <f>IFERROR(F629*G629/10000,"")</f>
        <v/>
      </c>
    </row>
    <row r="630">
      <c r="A630" t="inlineStr">
        <is>
          <t>2026-10-30</t>
        </is>
      </c>
      <c r="B630" t="inlineStr">
        <is>
          <t>159925</t>
        </is>
      </c>
      <c r="C630" t="inlineStr">
        <is>
          <t>沪深300ETF南方</t>
        </is>
      </c>
      <c r="D630" t="n">
        <v>64562.0856</v>
      </c>
      <c r="E630" t="n">
        <v>64832.0856</v>
      </c>
      <c r="F630" t="n">
        <v>4.0877</v>
      </c>
      <c r="G630" t="n">
        <v>-270</v>
      </c>
      <c r="H630" t="n">
        <v>26.391044</v>
      </c>
      <c r="I630" t="n">
        <v>26.280334</v>
      </c>
      <c r="J630" t="n">
        <v>0.11071</v>
      </c>
      <c r="K630" s="4">
        <f>IFERROR(J630/I630,"")</f>
        <v/>
      </c>
      <c r="L630" s="4">
        <f>IFERROR((D630-E630)/E630,"")</f>
        <v/>
      </c>
      <c r="M630" s="19">
        <f>IFERROR(F630*G630/10000,"")</f>
        <v/>
      </c>
    </row>
    <row r="631">
      <c r="A631" t="inlineStr">
        <is>
          <t>2026-10-30</t>
        </is>
      </c>
      <c r="B631" t="inlineStr">
        <is>
          <t>159928</t>
        </is>
      </c>
      <c r="C631" t="inlineStr">
        <is>
          <t>消费ETF汇添富</t>
        </is>
      </c>
      <c r="D631" t="n">
        <v>2358062.904</v>
      </c>
      <c r="E631" t="n">
        <v>2372062.904</v>
      </c>
      <c r="F631" t="n">
        <v>0.6549</v>
      </c>
      <c r="G631" t="n">
        <v>-14000</v>
      </c>
      <c r="H631" t="n">
        <v>154.42954</v>
      </c>
      <c r="I631" t="n">
        <v>157.62358</v>
      </c>
      <c r="J631" t="n">
        <v>-3.19404</v>
      </c>
      <c r="K631" s="4">
        <f>IFERROR(J631/I631,"")</f>
        <v/>
      </c>
      <c r="L631" s="4">
        <f>IFERROR((D631-E631)/E631,"")</f>
        <v/>
      </c>
      <c r="M631" s="19">
        <f>IFERROR(F631*G631/10000,"")</f>
        <v/>
      </c>
    </row>
    <row r="632">
      <c r="A632" t="inlineStr">
        <is>
          <t>2026-10-30</t>
        </is>
      </c>
      <c r="B632" t="inlineStr">
        <is>
          <t>159929</t>
        </is>
      </c>
      <c r="C632" t="inlineStr">
        <is>
          <t>医药ETF汇添富</t>
        </is>
      </c>
      <c r="D632" t="n">
        <v>155120.4203</v>
      </c>
      <c r="E632" t="n">
        <v>155270.4203</v>
      </c>
      <c r="F632" t="n">
        <v>1.2798</v>
      </c>
      <c r="G632" t="n">
        <v>-150</v>
      </c>
      <c r="H632" t="n">
        <v>19.852311</v>
      </c>
      <c r="I632" t="n">
        <v>19.753503</v>
      </c>
      <c r="J632" t="n">
        <v>0.09880800000000001</v>
      </c>
      <c r="K632" s="4">
        <f>IFERROR(J632/I632,"")</f>
        <v/>
      </c>
      <c r="L632" s="4">
        <f>IFERROR((D632-E632)/E632,"")</f>
        <v/>
      </c>
      <c r="M632" s="19">
        <f>IFERROR(F632*G632/10000,"")</f>
        <v/>
      </c>
    </row>
    <row r="633">
      <c r="A633" t="inlineStr">
        <is>
          <t>2026-10-30</t>
        </is>
      </c>
      <c r="B633" t="inlineStr">
        <is>
          <t>159930</t>
        </is>
      </c>
      <c r="C633" t="inlineStr">
        <is>
          <t>能源ETF汇添富</t>
        </is>
      </c>
      <c r="D633" t="n">
        <v>65939.815</v>
      </c>
      <c r="E633" t="n">
        <v>65239.815</v>
      </c>
      <c r="F633" t="n">
        <v>1.7561</v>
      </c>
      <c r="G633" t="n">
        <v>700</v>
      </c>
      <c r="H633" t="n">
        <v>11.579691</v>
      </c>
      <c r="I633" t="n">
        <v>11.407182</v>
      </c>
      <c r="J633" t="n">
        <v>0.172509</v>
      </c>
      <c r="K633" s="4">
        <f>IFERROR(J633/I633,"")</f>
        <v/>
      </c>
      <c r="L633" s="4">
        <f>IFERROR((D633-E633)/E633,"")</f>
        <v/>
      </c>
      <c r="M633" s="19">
        <f>IFERROR(F633*G633/10000,"")</f>
        <v/>
      </c>
    </row>
    <row r="634">
      <c r="A634" t="inlineStr">
        <is>
          <t>2026-10-30</t>
        </is>
      </c>
      <c r="B634" t="inlineStr">
        <is>
          <t>159931</t>
        </is>
      </c>
      <c r="C634" t="inlineStr">
        <is>
          <t>金融地产ETF汇添富</t>
        </is>
      </c>
      <c r="D634" t="n">
        <v>1632.8511</v>
      </c>
      <c r="E634" t="n">
        <v>1632.8511</v>
      </c>
      <c r="F634" t="n">
        <v>1.8668</v>
      </c>
      <c r="G634" t="n">
        <v>0</v>
      </c>
      <c r="H634" t="n">
        <v>0.304821</v>
      </c>
      <c r="I634" t="n">
        <v>0.30678</v>
      </c>
      <c r="J634" t="n">
        <v>-0.001959</v>
      </c>
      <c r="K634" s="4">
        <f>IFERROR(J634/I634,"")</f>
        <v/>
      </c>
      <c r="L634" s="4">
        <f>IFERROR((D634-E634)/E634,"")</f>
        <v/>
      </c>
      <c r="M634" s="19">
        <f>IFERROR(F634*G634/10000,"")</f>
        <v/>
      </c>
    </row>
    <row r="635">
      <c r="A635" t="inlineStr">
        <is>
          <t>2026-10-30</t>
        </is>
      </c>
      <c r="B635" t="inlineStr">
        <is>
          <t>159933</t>
        </is>
      </c>
      <c r="C635" t="inlineStr">
        <is>
          <t>金融地产ETF国投瑞银</t>
        </is>
      </c>
      <c r="D635" t="n">
        <v>3537.8943</v>
      </c>
      <c r="E635" t="n">
        <v>3537.8943</v>
      </c>
      <c r="F635" t="n">
        <v>2.9239</v>
      </c>
      <c r="G635" t="n">
        <v>0</v>
      </c>
      <c r="H635" t="n">
        <v>1.034445</v>
      </c>
      <c r="I635" t="n">
        <v>1.041662</v>
      </c>
      <c r="J635" t="n">
        <v>-0.007217</v>
      </c>
      <c r="K635" s="4">
        <f>IFERROR(J635/I635,"")</f>
        <v/>
      </c>
      <c r="L635" s="4">
        <f>IFERROR((D635-E635)/E635,"")</f>
        <v/>
      </c>
      <c r="M635" s="19">
        <f>IFERROR(F635*G635/10000,"")</f>
        <v/>
      </c>
    </row>
    <row r="636">
      <c r="A636" t="inlineStr">
        <is>
          <t>2026-10-30</t>
        </is>
      </c>
      <c r="B636" t="inlineStr">
        <is>
          <t>159934</t>
        </is>
      </c>
      <c r="C636" t="inlineStr">
        <is>
          <t>黄金ETF易方达</t>
        </is>
      </c>
      <c r="D636" t="n">
        <v>414200.8998</v>
      </c>
      <c r="E636" t="n">
        <v>414520.8998</v>
      </c>
      <c r="F636" t="n">
        <v>8.6286</v>
      </c>
      <c r="G636" t="n">
        <v>-320</v>
      </c>
      <c r="H636" t="n">
        <v>357.397388</v>
      </c>
      <c r="I636" t="n">
        <v>354.108624</v>
      </c>
      <c r="J636" t="n">
        <v>3.288764</v>
      </c>
      <c r="K636" s="4">
        <f>IFERROR(J636/I636,"")</f>
        <v/>
      </c>
      <c r="L636" s="4">
        <f>IFERROR((D636-E636)/E636,"")</f>
        <v/>
      </c>
      <c r="M636" s="19">
        <f>IFERROR(F636*G636/10000,"")</f>
        <v/>
      </c>
    </row>
    <row r="637">
      <c r="A637" t="inlineStr">
        <is>
          <t>2026-10-30</t>
        </is>
      </c>
      <c r="B637" t="inlineStr">
        <is>
          <t>159935</t>
        </is>
      </c>
      <c r="C637" t="inlineStr">
        <is>
          <t>中证500ETF景顺</t>
        </is>
      </c>
      <c r="D637" t="n">
        <v>2857.2956</v>
      </c>
      <c r="E637" t="n">
        <v>2957.2956</v>
      </c>
      <c r="F637" t="n">
        <v>2.109</v>
      </c>
      <c r="G637" t="n">
        <v>-100</v>
      </c>
      <c r="H637" t="n">
        <v>0.602604</v>
      </c>
      <c r="I637" t="n">
        <v>0.611687</v>
      </c>
      <c r="J637" t="n">
        <v>-0.009083000000000001</v>
      </c>
      <c r="K637" s="4">
        <f>IFERROR(J637/I637,"")</f>
        <v/>
      </c>
      <c r="L637" s="4">
        <f>IFERROR((D637-E637)/E637,"")</f>
        <v/>
      </c>
      <c r="M637" s="19">
        <f>IFERROR(F637*G637/10000,"")</f>
        <v/>
      </c>
    </row>
    <row r="638">
      <c r="A638" t="inlineStr">
        <is>
          <t>2026-10-30</t>
        </is>
      </c>
      <c r="B638" t="inlineStr">
        <is>
          <t>159936</t>
        </is>
      </c>
      <c r="C638" t="inlineStr">
        <is>
          <t>可选消费ETF广发</t>
        </is>
      </c>
      <c r="D638" t="n">
        <v>11015.6094</v>
      </c>
      <c r="E638" t="n">
        <v>11015.6094</v>
      </c>
      <c r="F638" t="n">
        <v>1.8203</v>
      </c>
      <c r="G638" t="n">
        <v>0</v>
      </c>
      <c r="H638" t="n">
        <v>2.005171</v>
      </c>
      <c r="I638" t="n">
        <v>1.9686</v>
      </c>
      <c r="J638" t="n">
        <v>0.036571</v>
      </c>
      <c r="K638" s="4">
        <f>IFERROR(J638/I638,"")</f>
        <v/>
      </c>
      <c r="L638" s="4">
        <f>IFERROR((D638-E638)/E638,"")</f>
        <v/>
      </c>
      <c r="M638" s="19">
        <f>IFERROR(F638*G638/10000,"")</f>
        <v/>
      </c>
    </row>
    <row r="639">
      <c r="A639" t="inlineStr">
        <is>
          <t>2026-10-30</t>
        </is>
      </c>
      <c r="B639" t="inlineStr">
        <is>
          <t>159937</t>
        </is>
      </c>
      <c r="C639" t="inlineStr">
        <is>
          <t>黄金ETF博时</t>
        </is>
      </c>
      <c r="D639" t="n">
        <v>489512.1977</v>
      </c>
      <c r="E639" t="n">
        <v>489522.1977</v>
      </c>
      <c r="F639" t="n">
        <v>8.24</v>
      </c>
      <c r="G639" t="n">
        <v>-10</v>
      </c>
      <c r="H639" t="n">
        <v>403.358051</v>
      </c>
      <c r="I639" t="n">
        <v>399.347314</v>
      </c>
      <c r="J639" t="n">
        <v>4.010737</v>
      </c>
      <c r="K639" s="4">
        <f>IFERROR(J639/I639,"")</f>
        <v/>
      </c>
      <c r="L639" s="4">
        <f>IFERROR((D639-E639)/E639,"")</f>
        <v/>
      </c>
      <c r="M639" s="19">
        <f>IFERROR(F639*G639/10000,"")</f>
        <v/>
      </c>
    </row>
    <row r="640">
      <c r="A640" t="inlineStr">
        <is>
          <t>2026-10-30</t>
        </is>
      </c>
      <c r="B640" t="inlineStr">
        <is>
          <t>159938</t>
        </is>
      </c>
      <c r="C640" t="inlineStr">
        <is>
          <t>医药ETF广发</t>
        </is>
      </c>
      <c r="D640" t="n">
        <v>710456.7236</v>
      </c>
      <c r="E640" t="n">
        <v>709706.7236</v>
      </c>
      <c r="F640" t="n">
        <v>0.6218</v>
      </c>
      <c r="G640" t="n">
        <v>750</v>
      </c>
      <c r="H640" t="n">
        <v>44.176199</v>
      </c>
      <c r="I640" t="n">
        <v>43.774711</v>
      </c>
      <c r="J640" t="n">
        <v>0.401488</v>
      </c>
      <c r="K640" s="4">
        <f>IFERROR(J640/I640,"")</f>
        <v/>
      </c>
      <c r="L640" s="4">
        <f>IFERROR((D640-E640)/E640,"")</f>
        <v/>
      </c>
      <c r="M640" s="19">
        <f>IFERROR(F640*G640/10000,"")</f>
        <v/>
      </c>
    </row>
    <row r="641">
      <c r="A641" t="inlineStr">
        <is>
          <t>2026-10-30</t>
        </is>
      </c>
      <c r="B641" t="inlineStr">
        <is>
          <t>159939</t>
        </is>
      </c>
      <c r="C641" t="inlineStr">
        <is>
          <t>信息技术ETF广发</t>
        </is>
      </c>
      <c r="D641" t="n">
        <v>79365.6106</v>
      </c>
      <c r="E641" t="n">
        <v>78965.6106</v>
      </c>
      <c r="F641" t="n">
        <v>0.8783</v>
      </c>
      <c r="G641" t="n">
        <v>400</v>
      </c>
      <c r="H641" t="n">
        <v>6.970682</v>
      </c>
      <c r="I641" t="n">
        <v>6.706549</v>
      </c>
      <c r="J641" t="n">
        <v>0.264133</v>
      </c>
      <c r="K641" s="4">
        <f>IFERROR(J641/I641,"")</f>
        <v/>
      </c>
      <c r="L641" s="4">
        <f>IFERROR((D641-E641)/E641,"")</f>
        <v/>
      </c>
      <c r="M641" s="19">
        <f>IFERROR(F641*G641/10000,"")</f>
        <v/>
      </c>
    </row>
    <row r="642">
      <c r="A642" t="inlineStr">
        <is>
          <t>2026-10-30</t>
        </is>
      </c>
      <c r="B642" t="inlineStr">
        <is>
          <t>159940</t>
        </is>
      </c>
      <c r="C642" t="inlineStr">
        <is>
          <t>金融地产ETF广发</t>
        </is>
      </c>
      <c r="D642" t="n">
        <v>28705.9983</v>
      </c>
      <c r="E642" t="n">
        <v>28705.9983</v>
      </c>
      <c r="F642" t="n">
        <v>1.2138</v>
      </c>
      <c r="G642" t="n">
        <v>0</v>
      </c>
      <c r="H642" t="n">
        <v>3.484334</v>
      </c>
      <c r="I642" t="n">
        <v>3.505577</v>
      </c>
      <c r="J642" t="n">
        <v>-0.021243</v>
      </c>
      <c r="K642" s="4">
        <f>IFERROR(J642/I642,"")</f>
        <v/>
      </c>
      <c r="L642" s="4">
        <f>IFERROR((D642-E642)/E642,"")</f>
        <v/>
      </c>
      <c r="M642" s="19">
        <f>IFERROR(F642*G642/10000,"")</f>
        <v/>
      </c>
    </row>
    <row r="643">
      <c r="A643" t="inlineStr">
        <is>
          <t>2026-10-30</t>
        </is>
      </c>
      <c r="B643" t="inlineStr">
        <is>
          <t>159941</t>
        </is>
      </c>
      <c r="C643" t="inlineStr">
        <is>
          <t>纳指ETF广发</t>
        </is>
      </c>
      <c r="D643" t="n">
        <v>2295961.0164</v>
      </c>
      <c r="E643" t="n">
        <v>2295831.0164</v>
      </c>
      <c r="F643" t="n">
        <v>1.4837</v>
      </c>
      <c r="G643" t="n">
        <v>130</v>
      </c>
      <c r="H643" t="n">
        <v>340.651736</v>
      </c>
      <c r="I643" t="n">
        <v>336.270369</v>
      </c>
      <c r="J643" t="n">
        <v>4.381367</v>
      </c>
      <c r="K643" s="4">
        <f>IFERROR(J643/I643,"")</f>
        <v/>
      </c>
      <c r="L643" s="4">
        <f>IFERROR((D643-E643)/E643,"")</f>
        <v/>
      </c>
      <c r="M643" s="19">
        <f>IFERROR(F643*G643/10000,"")</f>
        <v/>
      </c>
    </row>
    <row r="644">
      <c r="A644" t="inlineStr">
        <is>
          <t>2026-10-30</t>
        </is>
      </c>
      <c r="B644" t="inlineStr">
        <is>
          <t>159943</t>
        </is>
      </c>
      <c r="C644" t="inlineStr">
        <is>
          <t>深证成指ETF大成</t>
        </is>
      </c>
      <c r="D644" t="n">
        <v>33822.9922</v>
      </c>
      <c r="E644" t="n">
        <v>33222.9922</v>
      </c>
      <c r="F644" t="n">
        <v>1.2765</v>
      </c>
      <c r="G644" t="n">
        <v>600</v>
      </c>
      <c r="H644" t="n">
        <v>4.317505</v>
      </c>
      <c r="I644" t="n">
        <v>4.157525</v>
      </c>
      <c r="J644" t="n">
        <v>0.15998</v>
      </c>
      <c r="K644" s="4">
        <f>IFERROR(J644/I644,"")</f>
        <v/>
      </c>
      <c r="L644" s="4">
        <f>IFERROR((D644-E644)/E644,"")</f>
        <v/>
      </c>
      <c r="M644" s="19">
        <f>IFERROR(F644*G644/10000,"")</f>
        <v/>
      </c>
    </row>
    <row r="645">
      <c r="A645" t="inlineStr">
        <is>
          <t>2026-10-30</t>
        </is>
      </c>
      <c r="B645" t="inlineStr">
        <is>
          <t>159944</t>
        </is>
      </c>
      <c r="C645" t="inlineStr">
        <is>
          <t>材料ETF广发</t>
        </is>
      </c>
      <c r="D645" t="n">
        <v>2960.8342</v>
      </c>
      <c r="E645" t="n">
        <v>2760.8342</v>
      </c>
      <c r="F645" t="n">
        <v>1.2433</v>
      </c>
      <c r="G645" t="n">
        <v>200</v>
      </c>
      <c r="H645" t="n">
        <v>0.368121</v>
      </c>
      <c r="I645" t="n">
        <v>0.341377</v>
      </c>
      <c r="J645" t="n">
        <v>0.026744</v>
      </c>
      <c r="K645" s="4">
        <f>IFERROR(J645/I645,"")</f>
        <v/>
      </c>
      <c r="L645" s="4">
        <f>IFERROR((D645-E645)/E645,"")</f>
        <v/>
      </c>
      <c r="M645" s="19">
        <f>IFERROR(F645*G645/10000,"")</f>
        <v/>
      </c>
    </row>
    <row r="646">
      <c r="A646" t="inlineStr">
        <is>
          <t>2026-10-30</t>
        </is>
      </c>
      <c r="B646" t="inlineStr">
        <is>
          <t>159945</t>
        </is>
      </c>
      <c r="C646" t="inlineStr">
        <is>
          <t>能源ETF广发</t>
        </is>
      </c>
      <c r="D646" t="n">
        <v>5657.2327</v>
      </c>
      <c r="E646" t="n">
        <v>5657.2327</v>
      </c>
      <c r="F646" t="n">
        <v>1.3898</v>
      </c>
      <c r="G646" t="n">
        <v>0</v>
      </c>
      <c r="H646" t="n">
        <v>0.786242</v>
      </c>
      <c r="I646" t="n">
        <v>0.781377</v>
      </c>
      <c r="J646" t="n">
        <v>0.004865</v>
      </c>
      <c r="K646" s="4">
        <f>IFERROR(J646/I646,"")</f>
        <v/>
      </c>
      <c r="L646" s="4">
        <f>IFERROR((D646-E646)/E646,"")</f>
        <v/>
      </c>
      <c r="M646" s="19">
        <f>IFERROR(F646*G646/10000,"")</f>
        <v/>
      </c>
    </row>
    <row r="647">
      <c r="A647" t="inlineStr">
        <is>
          <t>2026-10-30</t>
        </is>
      </c>
      <c r="B647" t="inlineStr">
        <is>
          <t>159948</t>
        </is>
      </c>
      <c r="C647" t="inlineStr">
        <is>
          <t>创业板ETF南方</t>
        </is>
      </c>
      <c r="D647" t="n">
        <v>137769.772</v>
      </c>
      <c r="E647" t="n">
        <v>134569.772</v>
      </c>
      <c r="F647" t="n">
        <v>2.9303</v>
      </c>
      <c r="G647" t="n">
        <v>3200</v>
      </c>
      <c r="H647" t="n">
        <v>40.370676</v>
      </c>
      <c r="I647" t="n">
        <v>38.137073</v>
      </c>
      <c r="J647" t="n">
        <v>2.233603</v>
      </c>
      <c r="K647" s="4">
        <f>IFERROR(J647/I647,"")</f>
        <v/>
      </c>
      <c r="L647" s="4">
        <f>IFERROR((D647-E647)/E647,"")</f>
        <v/>
      </c>
      <c r="M647" s="19">
        <f>IFERROR(F647*G647/10000,"")</f>
        <v/>
      </c>
    </row>
    <row r="648">
      <c r="A648" t="inlineStr">
        <is>
          <t>2026-10-30</t>
        </is>
      </c>
      <c r="B648" t="inlineStr">
        <is>
          <t>159949</t>
        </is>
      </c>
      <c r="C648" t="inlineStr">
        <is>
          <t>创业板50ETF华安</t>
        </is>
      </c>
      <c r="D648" t="n">
        <v>2254678.5113</v>
      </c>
      <c r="E648" t="n">
        <v>2192278.5113</v>
      </c>
      <c r="F648" t="n">
        <v>1.2074</v>
      </c>
      <c r="G648" t="n">
        <v>62400</v>
      </c>
      <c r="H648" t="n">
        <v>272.229883</v>
      </c>
      <c r="I648" t="n">
        <v>255.444292</v>
      </c>
      <c r="J648" t="n">
        <v>16.785591</v>
      </c>
      <c r="K648" s="4">
        <f>IFERROR(J648/I648,"")</f>
        <v/>
      </c>
      <c r="L648" s="4">
        <f>IFERROR((D648-E648)/E648,"")</f>
        <v/>
      </c>
      <c r="M648" s="19">
        <f>IFERROR(F648*G648/10000,"")</f>
        <v/>
      </c>
    </row>
    <row r="649">
      <c r="A649" t="inlineStr">
        <is>
          <t>2026-10-30</t>
        </is>
      </c>
      <c r="B649" t="inlineStr">
        <is>
          <t>159952</t>
        </is>
      </c>
      <c r="C649" t="inlineStr">
        <is>
          <t>创业板ETF广发</t>
        </is>
      </c>
      <c r="D649" t="n">
        <v>937158.4929</v>
      </c>
      <c r="E649" t="n">
        <v>892788.4929</v>
      </c>
      <c r="F649" t="n">
        <v>1.6103</v>
      </c>
      <c r="G649" t="n">
        <v>44370</v>
      </c>
      <c r="H649" t="n">
        <v>150.910632</v>
      </c>
      <c r="I649" t="n">
        <v>139.051808</v>
      </c>
      <c r="J649" t="n">
        <v>11.858824</v>
      </c>
      <c r="K649" s="4">
        <f>IFERROR(J649/I649,"")</f>
        <v/>
      </c>
      <c r="L649" s="4">
        <f>IFERROR((D649-E649)/E649,"")</f>
        <v/>
      </c>
      <c r="M649" s="19">
        <f>IFERROR(F649*G649/10000,"")</f>
        <v/>
      </c>
    </row>
    <row r="650">
      <c r="A650" t="inlineStr">
        <is>
          <t>2026-10-30</t>
        </is>
      </c>
      <c r="B650" t="inlineStr">
        <is>
          <t>159954</t>
        </is>
      </c>
      <c r="C650" t="inlineStr">
        <is>
          <t>恒生中国企业ETF南方</t>
        </is>
      </c>
      <c r="D650" t="n">
        <v>18410.5083</v>
      </c>
      <c r="E650" t="n">
        <v>18410.5083</v>
      </c>
      <c r="F650" t="n">
        <v>0.8516</v>
      </c>
      <c r="G650" t="n">
        <v>0</v>
      </c>
      <c r="H650" t="n">
        <v>1.567839</v>
      </c>
      <c r="I650" t="n">
        <v>1.56342</v>
      </c>
      <c r="J650" t="n">
        <v>0.004419</v>
      </c>
      <c r="K650" s="4">
        <f>IFERROR(J650/I650,"")</f>
        <v/>
      </c>
      <c r="L650" s="4">
        <f>IFERROR((D650-E650)/E650,"")</f>
        <v/>
      </c>
      <c r="M650" s="19">
        <f>IFERROR(F650*G650/10000,"")</f>
        <v/>
      </c>
    </row>
    <row r="651">
      <c r="A651" t="inlineStr">
        <is>
          <t>2026-10-30</t>
        </is>
      </c>
      <c r="B651" t="inlineStr">
        <is>
          <t>159956</t>
        </is>
      </c>
      <c r="C651" t="inlineStr">
        <is>
          <t>创业板ETF建信</t>
        </is>
      </c>
      <c r="D651" t="n">
        <v>5197.8674</v>
      </c>
      <c r="E651" t="n">
        <v>5197.8674</v>
      </c>
      <c r="F651" t="n">
        <v>1.6811</v>
      </c>
      <c r="G651" t="n">
        <v>0</v>
      </c>
      <c r="H651" t="n">
        <v>0.873813</v>
      </c>
      <c r="I651" t="n">
        <v>0.845225</v>
      </c>
      <c r="J651" t="n">
        <v>0.028588</v>
      </c>
      <c r="K651" s="4">
        <f>IFERROR(J651/I651,"")</f>
        <v/>
      </c>
      <c r="L651" s="4">
        <f>IFERROR((D651-E651)/E651,"")</f>
        <v/>
      </c>
      <c r="M651" s="19">
        <f>IFERROR(F651*G651/10000,"")</f>
        <v/>
      </c>
    </row>
    <row r="652">
      <c r="A652" t="inlineStr">
        <is>
          <t>2026-10-30</t>
        </is>
      </c>
      <c r="B652" t="inlineStr">
        <is>
          <t>159957</t>
        </is>
      </c>
      <c r="C652" t="inlineStr">
        <is>
          <t>创业板ETF华夏</t>
        </is>
      </c>
      <c r="D652" t="n">
        <v>174778.456</v>
      </c>
      <c r="E652" t="n">
        <v>171278.456</v>
      </c>
      <c r="F652" t="n">
        <v>1.7385</v>
      </c>
      <c r="G652" t="n">
        <v>3500</v>
      </c>
      <c r="H652" t="n">
        <v>30.385235</v>
      </c>
      <c r="I652" t="n">
        <v>28.79876</v>
      </c>
      <c r="J652" t="n">
        <v>1.586475</v>
      </c>
      <c r="K652" s="4">
        <f>IFERROR(J652/I652,"")</f>
        <v/>
      </c>
      <c r="L652" s="4">
        <f>IFERROR((D652-E652)/E652,"")</f>
        <v/>
      </c>
      <c r="M652" s="19">
        <f>IFERROR(F652*G652/10000,"")</f>
        <v/>
      </c>
    </row>
    <row r="653">
      <c r="A653" t="inlineStr">
        <is>
          <t>2026-10-30</t>
        </is>
      </c>
      <c r="B653" t="inlineStr">
        <is>
          <t>159958</t>
        </is>
      </c>
      <c r="C653" t="inlineStr">
        <is>
          <t>创业板ETF工银</t>
        </is>
      </c>
      <c r="D653" t="n">
        <v>27421.1448</v>
      </c>
      <c r="E653" t="n">
        <v>27281.1448</v>
      </c>
      <c r="F653" t="n">
        <v>1.6079</v>
      </c>
      <c r="G653" t="n">
        <v>140</v>
      </c>
      <c r="H653" t="n">
        <v>4.409046</v>
      </c>
      <c r="I653" t="n">
        <v>4.243036</v>
      </c>
      <c r="J653" t="n">
        <v>0.16601</v>
      </c>
      <c r="K653" s="4">
        <f>IFERROR(J653/I653,"")</f>
        <v/>
      </c>
      <c r="L653" s="4">
        <f>IFERROR((D653-E653)/E653,"")</f>
        <v/>
      </c>
      <c r="M653" s="19">
        <f>IFERROR(F653*G653/10000,"")</f>
        <v/>
      </c>
    </row>
    <row r="654">
      <c r="A654" t="inlineStr">
        <is>
          <t>2026-10-30</t>
        </is>
      </c>
      <c r="B654" t="inlineStr">
        <is>
          <t>159959</t>
        </is>
      </c>
      <c r="C654" t="inlineStr">
        <is>
          <t>央企ETF银华</t>
        </is>
      </c>
      <c r="D654" t="n">
        <v>182689.178</v>
      </c>
      <c r="E654" t="n">
        <v>182689.178</v>
      </c>
      <c r="F654" t="n">
        <v>1.5538</v>
      </c>
      <c r="G654" t="n">
        <v>0</v>
      </c>
      <c r="H654" t="n">
        <v>28.386244</v>
      </c>
      <c r="I654" t="n">
        <v>28.256535</v>
      </c>
      <c r="J654" t="n">
        <v>0.129709</v>
      </c>
      <c r="K654" s="4">
        <f>IFERROR(J654/I654,"")</f>
        <v/>
      </c>
      <c r="L654" s="4">
        <f>IFERROR((D654-E654)/E654,"")</f>
        <v/>
      </c>
      <c r="M654" s="19">
        <f>IFERROR(F654*G654/10000,"")</f>
        <v/>
      </c>
    </row>
    <row r="655">
      <c r="A655" t="inlineStr">
        <is>
          <t>2026-10-30</t>
        </is>
      </c>
      <c r="B655" t="inlineStr">
        <is>
          <t>159960</t>
        </is>
      </c>
      <c r="C655" t="inlineStr">
        <is>
          <t>恒生中国企业ETF平安</t>
        </is>
      </c>
      <c r="D655" t="n">
        <v>4657.396</v>
      </c>
      <c r="E655" t="n">
        <v>4657.396</v>
      </c>
      <c r="F655" t="n">
        <v>0.787</v>
      </c>
      <c r="G655" t="n">
        <v>0</v>
      </c>
      <c r="H655" t="n">
        <v>0.366537</v>
      </c>
      <c r="I655" t="n">
        <v>0.365419</v>
      </c>
      <c r="J655" t="n">
        <v>0.001118</v>
      </c>
      <c r="K655" s="4">
        <f>IFERROR(J655/I655,"")</f>
        <v/>
      </c>
      <c r="L655" s="4">
        <f>IFERROR((D655-E655)/E655,"")</f>
        <v/>
      </c>
      <c r="M655" s="19">
        <f>IFERROR(F655*G655/10000,"")</f>
        <v/>
      </c>
    </row>
    <row r="656">
      <c r="A656" t="inlineStr">
        <is>
          <t>2026-10-30</t>
        </is>
      </c>
      <c r="B656" t="inlineStr">
        <is>
          <t>159961</t>
        </is>
      </c>
      <c r="C656" t="inlineStr">
        <is>
          <t>深100ETF方正富邦</t>
        </is>
      </c>
      <c r="D656" t="n">
        <v>9824.5196</v>
      </c>
      <c r="E656" t="n">
        <v>9824.5196</v>
      </c>
      <c r="F656" t="n">
        <v>1.8086</v>
      </c>
      <c r="G656" t="n">
        <v>0</v>
      </c>
      <c r="H656" t="n">
        <v>1.776863</v>
      </c>
      <c r="I656" t="n">
        <v>1.744933</v>
      </c>
      <c r="J656" t="n">
        <v>0.03193</v>
      </c>
      <c r="K656" s="4">
        <f>IFERROR(J656/I656,"")</f>
        <v/>
      </c>
      <c r="L656" s="4">
        <f>IFERROR((D656-E656)/E656,"")</f>
        <v/>
      </c>
      <c r="M656" s="19">
        <f>IFERROR(F656*G656/10000,"")</f>
        <v/>
      </c>
    </row>
    <row r="657">
      <c r="A657" t="inlineStr">
        <is>
          <t>2026-10-30</t>
        </is>
      </c>
      <c r="B657" t="inlineStr">
        <is>
          <t>159964</t>
        </is>
      </c>
      <c r="C657" t="inlineStr">
        <is>
          <t>创业板ETF平安</t>
        </is>
      </c>
      <c r="D657" t="n">
        <v>19148.1881</v>
      </c>
      <c r="E657" t="n">
        <v>18348.1881</v>
      </c>
      <c r="F657" t="n">
        <v>1.7423</v>
      </c>
      <c r="G657" t="n">
        <v>800</v>
      </c>
      <c r="H657" t="n">
        <v>3.336189</v>
      </c>
      <c r="I657" t="n">
        <v>3.092771</v>
      </c>
      <c r="J657" t="n">
        <v>0.243418</v>
      </c>
      <c r="K657" s="4">
        <f>IFERROR(J657/I657,"")</f>
        <v/>
      </c>
      <c r="L657" s="4">
        <f>IFERROR((D657-E657)/E657,"")</f>
        <v/>
      </c>
      <c r="M657" s="19">
        <f>IFERROR(F657*G657/10000,"")</f>
        <v/>
      </c>
    </row>
    <row r="658">
      <c r="A658" t="inlineStr">
        <is>
          <t>2026-10-30</t>
        </is>
      </c>
      <c r="B658" t="inlineStr">
        <is>
          <t>159965</t>
        </is>
      </c>
      <c r="C658" t="inlineStr">
        <is>
          <t>央视50ETF国联</t>
        </is>
      </c>
      <c r="D658" t="n">
        <v>2142.6953</v>
      </c>
      <c r="E658" t="n">
        <v>2142.6953</v>
      </c>
      <c r="F658" t="n">
        <v>1.5982</v>
      </c>
      <c r="G658" t="n">
        <v>0</v>
      </c>
      <c r="H658" t="n">
        <v>0.342446</v>
      </c>
      <c r="I658" t="n">
        <v>0.339917</v>
      </c>
      <c r="J658" t="n">
        <v>0.002529</v>
      </c>
      <c r="K658" s="4">
        <f>IFERROR(J658/I658,"")</f>
        <v/>
      </c>
      <c r="L658" s="4">
        <f>IFERROR((D658-E658)/E658,"")</f>
        <v/>
      </c>
      <c r="M658" s="19">
        <f>IFERROR(F658*G658/10000,"")</f>
        <v/>
      </c>
    </row>
    <row r="659">
      <c r="A659" t="inlineStr">
        <is>
          <t>2026-10-30</t>
        </is>
      </c>
      <c r="B659" t="inlineStr">
        <is>
          <t>159966</t>
        </is>
      </c>
      <c r="C659" t="inlineStr">
        <is>
          <t>创业板价值ETF华夏</t>
        </is>
      </c>
      <c r="D659" t="n">
        <v>59249.9521</v>
      </c>
      <c r="E659" t="n">
        <v>59249.9521</v>
      </c>
      <c r="F659" t="n">
        <v>0.4438</v>
      </c>
      <c r="G659" t="n">
        <v>0</v>
      </c>
      <c r="H659" t="n">
        <v>2.629513</v>
      </c>
      <c r="I659" t="n">
        <v>2.577373</v>
      </c>
      <c r="J659" t="n">
        <v>0.05214</v>
      </c>
      <c r="K659" s="4">
        <f>IFERROR(J659/I659,"")</f>
        <v/>
      </c>
      <c r="L659" s="4">
        <f>IFERROR((D659-E659)/E659,"")</f>
        <v/>
      </c>
      <c r="M659" s="19">
        <f>IFERROR(F659*G659/10000,"")</f>
        <v/>
      </c>
    </row>
    <row r="660">
      <c r="A660" t="inlineStr">
        <is>
          <t>2026-10-30</t>
        </is>
      </c>
      <c r="B660" t="inlineStr">
        <is>
          <t>159967</t>
        </is>
      </c>
      <c r="C660" t="inlineStr">
        <is>
          <t>创业板成长ETF华夏</t>
        </is>
      </c>
      <c r="D660" t="n">
        <v>963910.5811</v>
      </c>
      <c r="E660" t="n">
        <v>941810.5811</v>
      </c>
      <c r="F660" t="n">
        <v>0.5561</v>
      </c>
      <c r="G660" t="n">
        <v>22100</v>
      </c>
      <c r="H660" t="n">
        <v>53.603067</v>
      </c>
      <c r="I660" t="n">
        <v>49.925379</v>
      </c>
      <c r="J660" t="n">
        <v>3.677688</v>
      </c>
      <c r="K660" s="4">
        <f>IFERROR(J660/I660,"")</f>
        <v/>
      </c>
      <c r="L660" s="4">
        <f>IFERROR((D660-E660)/E660,"")</f>
        <v/>
      </c>
      <c r="M660" s="19">
        <f>IFERROR(F660*G660/10000,"")</f>
        <v/>
      </c>
    </row>
    <row r="661">
      <c r="A661" t="inlineStr">
        <is>
          <t>2026-10-30</t>
        </is>
      </c>
      <c r="B661" t="inlineStr">
        <is>
          <t>159968</t>
        </is>
      </c>
      <c r="C661" t="inlineStr">
        <is>
          <t>中证500ETF博时</t>
        </is>
      </c>
      <c r="D661" t="n">
        <v>6529.5098</v>
      </c>
      <c r="E661" t="n">
        <v>6649.5098</v>
      </c>
      <c r="F661" t="n">
        <v>8.7768</v>
      </c>
      <c r="G661" t="n">
        <v>-120</v>
      </c>
      <c r="H661" t="n">
        <v>5.73082</v>
      </c>
      <c r="I661" t="n">
        <v>5.725228</v>
      </c>
      <c r="J661" t="n">
        <v>0.005592</v>
      </c>
      <c r="K661" s="4">
        <f>IFERROR(J661/I661,"")</f>
        <v/>
      </c>
      <c r="L661" s="4">
        <f>IFERROR((D661-E661)/E661,"")</f>
        <v/>
      </c>
      <c r="M661" s="19">
        <f>IFERROR(F661*G661/10000,"")</f>
        <v/>
      </c>
    </row>
    <row r="662">
      <c r="A662" t="inlineStr">
        <is>
          <t>2026-10-30</t>
        </is>
      </c>
      <c r="B662" t="inlineStr">
        <is>
          <t>159970</t>
        </is>
      </c>
      <c r="C662" t="inlineStr">
        <is>
          <t>深100ETF工银</t>
        </is>
      </c>
      <c r="D662" t="n">
        <v>1406.8704</v>
      </c>
      <c r="E662" t="n">
        <v>1406.8704</v>
      </c>
      <c r="F662" t="n">
        <v>0.8442</v>
      </c>
      <c r="G662" t="n">
        <v>0</v>
      </c>
      <c r="H662" t="n">
        <v>0.118768</v>
      </c>
      <c r="I662" t="n">
        <v>0.11663</v>
      </c>
      <c r="J662" t="n">
        <v>0.002138</v>
      </c>
      <c r="K662" s="4">
        <f>IFERROR(J662/I662,"")</f>
        <v/>
      </c>
      <c r="L662" s="4">
        <f>IFERROR((D662-E662)/E662,"")</f>
        <v/>
      </c>
      <c r="M662" s="19">
        <f>IFERROR(F662*G662/10000,"")</f>
        <v/>
      </c>
    </row>
    <row r="663">
      <c r="A663" t="inlineStr">
        <is>
          <t>2026-10-30</t>
        </is>
      </c>
      <c r="B663" t="inlineStr">
        <is>
          <t>159971</t>
        </is>
      </c>
      <c r="C663" t="inlineStr">
        <is>
          <t>创业板ETF富国</t>
        </is>
      </c>
      <c r="D663" t="n">
        <v>286602.0288</v>
      </c>
      <c r="E663" t="n">
        <v>271802.0288</v>
      </c>
      <c r="F663" t="n">
        <v>0.923</v>
      </c>
      <c r="G663" t="n">
        <v>14800</v>
      </c>
      <c r="H663" t="n">
        <v>26.453367</v>
      </c>
      <c r="I663" t="n">
        <v>24.263767</v>
      </c>
      <c r="J663" t="n">
        <v>2.1896</v>
      </c>
      <c r="K663" s="4">
        <f>IFERROR(J663/I663,"")</f>
        <v/>
      </c>
      <c r="L663" s="4">
        <f>IFERROR((D663-E663)/E663,"")</f>
        <v/>
      </c>
      <c r="M663" s="19">
        <f>IFERROR(F663*G663/10000,"")</f>
        <v/>
      </c>
    </row>
    <row r="664">
      <c r="A664" t="inlineStr">
        <is>
          <t>2026-10-30</t>
        </is>
      </c>
      <c r="B664" t="inlineStr">
        <is>
          <t>159972</t>
        </is>
      </c>
      <c r="C664" t="inlineStr">
        <is>
          <t>5年地方债ETF鹏华</t>
        </is>
      </c>
      <c r="D664" t="n">
        <v>7899.591</v>
      </c>
      <c r="E664" t="n">
        <v>7899.591</v>
      </c>
      <c r="F664" t="n">
        <v>120.3092</v>
      </c>
      <c r="G664" t="n">
        <v>0</v>
      </c>
      <c r="H664" t="n">
        <v>95.03934700000001</v>
      </c>
      <c r="I664" t="n">
        <v>95.019203</v>
      </c>
      <c r="J664" t="n">
        <v>0.020144</v>
      </c>
      <c r="K664" s="4">
        <f>IFERROR(J664/I664,"")</f>
        <v/>
      </c>
      <c r="L664" s="4">
        <f>IFERROR((D664-E664)/E664,"")</f>
        <v/>
      </c>
      <c r="M664" s="19">
        <f>IFERROR(F664*G664/10000,"")</f>
        <v/>
      </c>
    </row>
    <row r="665">
      <c r="A665" t="inlineStr">
        <is>
          <t>2026-10-30</t>
        </is>
      </c>
      <c r="B665" t="inlineStr">
        <is>
          <t>159973</t>
        </is>
      </c>
      <c r="C665" t="inlineStr">
        <is>
          <t>民企ETF弘毅远方</t>
        </is>
      </c>
      <c r="D665" t="n">
        <v>19997.6423</v>
      </c>
      <c r="E665" t="n">
        <v>19997.6423</v>
      </c>
      <c r="F665" t="n">
        <v>1.5719</v>
      </c>
      <c r="G665" t="n">
        <v>0</v>
      </c>
      <c r="H665" t="n">
        <v>3.143429</v>
      </c>
      <c r="I665" t="n">
        <v>3.076637</v>
      </c>
      <c r="J665" t="n">
        <v>0.066792</v>
      </c>
      <c r="K665" s="4">
        <f>IFERROR(J665/I665,"")</f>
        <v/>
      </c>
      <c r="L665" s="4">
        <f>IFERROR((D665-E665)/E665,"")</f>
        <v/>
      </c>
      <c r="M665" s="19">
        <f>IFERROR(F665*G665/10000,"")</f>
        <v/>
      </c>
    </row>
    <row r="666">
      <c r="A666" t="inlineStr">
        <is>
          <t>2026-10-30</t>
        </is>
      </c>
      <c r="B666" t="inlineStr">
        <is>
          <t>159974</t>
        </is>
      </c>
      <c r="C666" t="inlineStr">
        <is>
          <t>央企创新ETF富国</t>
        </is>
      </c>
      <c r="D666" t="n">
        <v>3743.2422</v>
      </c>
      <c r="E666" t="n">
        <v>3743.2422</v>
      </c>
      <c r="F666" t="n">
        <v>1.7278</v>
      </c>
      <c r="G666" t="n">
        <v>0</v>
      </c>
      <c r="H666" t="n">
        <v>0.646757</v>
      </c>
      <c r="I666" t="n">
        <v>0.64642</v>
      </c>
      <c r="J666" t="n">
        <v>0.000337</v>
      </c>
      <c r="K666" s="4">
        <f>IFERROR(J666/I666,"")</f>
        <v/>
      </c>
      <c r="L666" s="4">
        <f>IFERROR((D666-E666)/E666,"")</f>
        <v/>
      </c>
      <c r="M666" s="19">
        <f>IFERROR(F666*G666/10000,"")</f>
        <v/>
      </c>
    </row>
    <row r="667">
      <c r="A667" t="inlineStr">
        <is>
          <t>2026-10-30</t>
        </is>
      </c>
      <c r="B667" t="inlineStr">
        <is>
          <t>159975</t>
        </is>
      </c>
      <c r="C667" t="inlineStr">
        <is>
          <t>深100ETF招商</t>
        </is>
      </c>
      <c r="D667" t="n">
        <v>5693.776</v>
      </c>
      <c r="E667" t="n">
        <v>5693.776</v>
      </c>
      <c r="F667" t="n">
        <v>0.6172</v>
      </c>
      <c r="G667" t="n">
        <v>0</v>
      </c>
      <c r="H667" t="n">
        <v>0.35142</v>
      </c>
      <c r="I667" t="n">
        <v>0.345043</v>
      </c>
      <c r="J667" t="n">
        <v>0.006377</v>
      </c>
      <c r="K667" s="4">
        <f>IFERROR(J667/I667,"")</f>
        <v/>
      </c>
      <c r="L667" s="4">
        <f>IFERROR((D667-E667)/E667,"")</f>
        <v/>
      </c>
      <c r="M667" s="19">
        <f>IFERROR(F667*G667/10000,"")</f>
        <v/>
      </c>
    </row>
    <row r="668">
      <c r="A668" t="inlineStr">
        <is>
          <t>2026-10-30</t>
        </is>
      </c>
      <c r="B668" t="inlineStr">
        <is>
          <t>159976</t>
        </is>
      </c>
      <c r="C668" t="inlineStr">
        <is>
          <t>湾创ETF工银</t>
        </is>
      </c>
      <c r="D668" t="n">
        <v>7488.5872</v>
      </c>
      <c r="E668" t="n">
        <v>7488.5872</v>
      </c>
      <c r="F668" t="n">
        <v>1.185</v>
      </c>
      <c r="G668" t="n">
        <v>0</v>
      </c>
      <c r="H668" t="n">
        <v>0.887398</v>
      </c>
      <c r="I668" t="n">
        <v>0.878935</v>
      </c>
      <c r="J668" t="n">
        <v>0.008463</v>
      </c>
      <c r="K668" s="4">
        <f>IFERROR(J668/I668,"")</f>
        <v/>
      </c>
      <c r="L668" s="4">
        <f>IFERROR((D668-E668)/E668,"")</f>
        <v/>
      </c>
      <c r="M668" s="19">
        <f>IFERROR(F668*G668/10000,"")</f>
        <v/>
      </c>
    </row>
    <row r="669">
      <c r="A669" t="inlineStr">
        <is>
          <t>2026-10-30</t>
        </is>
      </c>
      <c r="B669" t="inlineStr">
        <is>
          <t>159977</t>
        </is>
      </c>
      <c r="C669" t="inlineStr">
        <is>
          <t>创业板ETF天弘</t>
        </is>
      </c>
      <c r="D669" t="n">
        <v>510987.282</v>
      </c>
      <c r="E669" t="n">
        <v>499387.282</v>
      </c>
      <c r="F669" t="n">
        <v>1.376</v>
      </c>
      <c r="G669" t="n">
        <v>11600</v>
      </c>
      <c r="H669" t="n">
        <v>70.31185000000001</v>
      </c>
      <c r="I669" t="n">
        <v>66.463453</v>
      </c>
      <c r="J669" t="n">
        <v>3.848397</v>
      </c>
      <c r="K669" s="4">
        <f>IFERROR(J669/I669,"")</f>
        <v/>
      </c>
      <c r="L669" s="4">
        <f>IFERROR((D669-E669)/E669,"")</f>
        <v/>
      </c>
      <c r="M669" s="19">
        <f>IFERROR(F669*G669/10000,"")</f>
        <v/>
      </c>
    </row>
    <row r="670">
      <c r="A670" t="inlineStr">
        <is>
          <t>2026-10-30</t>
        </is>
      </c>
      <c r="B670" t="inlineStr">
        <is>
          <t>159980</t>
        </is>
      </c>
      <c r="C670" t="inlineStr">
        <is>
          <t>有色ETF大成</t>
        </is>
      </c>
      <c r="D670" t="n">
        <v>281282.4777</v>
      </c>
      <c r="E670" t="n">
        <v>281482.4777</v>
      </c>
      <c r="F670" t="n">
        <v>2.1352</v>
      </c>
      <c r="G670" t="n">
        <v>-200</v>
      </c>
      <c r="H670" t="n">
        <v>60.059435</v>
      </c>
      <c r="I670" t="n">
        <v>59.812212</v>
      </c>
      <c r="J670" t="n">
        <v>0.247223</v>
      </c>
      <c r="K670" s="4">
        <f>IFERROR(J670/I670,"")</f>
        <v/>
      </c>
      <c r="L670" s="4">
        <f>IFERROR((D670-E670)/E670,"")</f>
        <v/>
      </c>
      <c r="M670" s="19">
        <f>IFERROR(F670*G670/10000,"")</f>
        <v/>
      </c>
    </row>
    <row r="671">
      <c r="A671" t="inlineStr">
        <is>
          <t>2026-10-30</t>
        </is>
      </c>
      <c r="B671" t="inlineStr">
        <is>
          <t>159981</t>
        </is>
      </c>
      <c r="C671" t="inlineStr">
        <is>
          <t>能源化工ETF建信</t>
        </is>
      </c>
      <c r="D671" t="n">
        <v>191253.6957</v>
      </c>
      <c r="E671" t="n">
        <v>191253.6957</v>
      </c>
      <c r="F671" t="n">
        <v>1.913</v>
      </c>
      <c r="G671" t="n">
        <v>0</v>
      </c>
      <c r="H671" t="n">
        <v>36.586832</v>
      </c>
      <c r="I671" t="n">
        <v>36.477817</v>
      </c>
      <c r="J671" t="n">
        <v>0.109015</v>
      </c>
      <c r="K671" s="4">
        <f>IFERROR(J671/I671,"")</f>
        <v/>
      </c>
      <c r="L671" s="4">
        <f>IFERROR((D671-E671)/E671,"")</f>
        <v/>
      </c>
      <c r="M671" s="19">
        <f>IFERROR(F671*G671/10000,"")</f>
        <v/>
      </c>
    </row>
    <row r="672">
      <c r="A672" t="inlineStr">
        <is>
          <t>2026-10-30</t>
        </is>
      </c>
      <c r="B672" t="inlineStr">
        <is>
          <t>159982</t>
        </is>
      </c>
      <c r="C672" t="inlineStr">
        <is>
          <t>中证500ETF鹏华</t>
        </is>
      </c>
      <c r="D672" t="n">
        <v>20421.1253</v>
      </c>
      <c r="E672" t="n">
        <v>20421.1253</v>
      </c>
      <c r="F672" t="n">
        <v>1.8088</v>
      </c>
      <c r="G672" t="n">
        <v>0</v>
      </c>
      <c r="H672" t="n">
        <v>3.693773</v>
      </c>
      <c r="I672" t="n">
        <v>3.622503</v>
      </c>
      <c r="J672" t="n">
        <v>0.07127</v>
      </c>
      <c r="K672" s="4">
        <f>IFERROR(J672/I672,"")</f>
        <v/>
      </c>
      <c r="L672" s="4">
        <f>IFERROR((D672-E672)/E672,"")</f>
        <v/>
      </c>
      <c r="M672" s="19">
        <f>IFERROR(F672*G672/10000,"")</f>
        <v/>
      </c>
    </row>
    <row r="673">
      <c r="A673" t="inlineStr">
        <is>
          <t>2026-10-30</t>
        </is>
      </c>
      <c r="B673" t="inlineStr">
        <is>
          <t>159985</t>
        </is>
      </c>
      <c r="C673" t="inlineStr">
        <is>
          <t>豆粕ETF华夏</t>
        </is>
      </c>
      <c r="D673" t="n">
        <v>160632.4066</v>
      </c>
      <c r="E673" t="n">
        <v>160512.4066</v>
      </c>
      <c r="F673" t="n">
        <v>2.1129</v>
      </c>
      <c r="G673" t="n">
        <v>120</v>
      </c>
      <c r="H673" t="n">
        <v>33.940021</v>
      </c>
      <c r="I673" t="n">
        <v>33.807123</v>
      </c>
      <c r="J673" t="n">
        <v>0.132898</v>
      </c>
      <c r="K673" s="4">
        <f>IFERROR(J673/I673,"")</f>
        <v/>
      </c>
      <c r="L673" s="4">
        <f>IFERROR((D673-E673)/E673,"")</f>
        <v/>
      </c>
      <c r="M673" s="19">
        <f>IFERROR(F673*G673/10000,"")</f>
        <v/>
      </c>
    </row>
    <row r="674">
      <c r="A674" t="inlineStr">
        <is>
          <t>2026-10-30</t>
        </is>
      </c>
      <c r="B674" t="inlineStr">
        <is>
          <t>159991</t>
        </is>
      </c>
      <c r="C674" t="inlineStr">
        <is>
          <t>创业板大盘ETF招商</t>
        </is>
      </c>
      <c r="D674" t="n">
        <v>12786.3172</v>
      </c>
      <c r="E674" t="n">
        <v>12226.3172</v>
      </c>
      <c r="F674" t="n">
        <v>0.6203</v>
      </c>
      <c r="G674" t="n">
        <v>560</v>
      </c>
      <c r="H674" t="n">
        <v>0.793135</v>
      </c>
      <c r="I674" t="n">
        <v>0.7322340000000001</v>
      </c>
      <c r="J674" t="n">
        <v>0.060901</v>
      </c>
      <c r="K674" s="4">
        <f>IFERROR(J674/I674,"")</f>
        <v/>
      </c>
      <c r="L674" s="4">
        <f>IFERROR((D674-E674)/E674,"")</f>
        <v/>
      </c>
      <c r="M674" s="19">
        <f>IFERROR(F674*G674/10000,"")</f>
        <v/>
      </c>
    </row>
    <row r="675">
      <c r="A675" t="inlineStr">
        <is>
          <t>2026-10-30</t>
        </is>
      </c>
      <c r="B675" t="inlineStr">
        <is>
          <t>159992</t>
        </is>
      </c>
      <c r="C675" t="inlineStr">
        <is>
          <t>创新药ETF银华</t>
        </is>
      </c>
      <c r="D675" t="n">
        <v>1915678.1217</v>
      </c>
      <c r="E675" t="n">
        <v>1919158.1217</v>
      </c>
      <c r="F675" t="n">
        <v>0.7914</v>
      </c>
      <c r="G675" t="n">
        <v>-3480</v>
      </c>
      <c r="H675" t="n">
        <v>151.606767</v>
      </c>
      <c r="I675" t="n">
        <v>149.943824</v>
      </c>
      <c r="J675" t="n">
        <v>1.662943</v>
      </c>
      <c r="K675" s="4">
        <f>IFERROR(J675/I675,"")</f>
        <v/>
      </c>
      <c r="L675" s="4">
        <f>IFERROR((D675-E675)/E675,"")</f>
        <v/>
      </c>
      <c r="M675" s="19">
        <f>IFERROR(F675*G675/10000,"")</f>
        <v/>
      </c>
    </row>
    <row r="676">
      <c r="A676" t="inlineStr">
        <is>
          <t>2026-10-30</t>
        </is>
      </c>
      <c r="B676" t="inlineStr">
        <is>
          <t>159993</t>
        </is>
      </c>
      <c r="C676" t="inlineStr">
        <is>
          <t>证券ETF鹏华</t>
        </is>
      </c>
      <c r="D676" t="n">
        <v>320919.7982</v>
      </c>
      <c r="E676" t="n">
        <v>319369.7982</v>
      </c>
      <c r="F676" t="n">
        <v>1.0699</v>
      </c>
      <c r="G676" t="n">
        <v>1550</v>
      </c>
      <c r="H676" t="n">
        <v>34.335209</v>
      </c>
      <c r="I676" t="n">
        <v>34.501519</v>
      </c>
      <c r="J676" t="n">
        <v>-0.16631</v>
      </c>
      <c r="K676" s="4">
        <f>IFERROR(J676/I676,"")</f>
        <v/>
      </c>
      <c r="L676" s="4">
        <f>IFERROR((D676-E676)/E676,"")</f>
        <v/>
      </c>
      <c r="M676" s="19">
        <f>IFERROR(F676*G676/10000,"")</f>
        <v/>
      </c>
    </row>
    <row r="677">
      <c r="A677" t="inlineStr">
        <is>
          <t>2026-10-30</t>
        </is>
      </c>
      <c r="B677" t="inlineStr">
        <is>
          <t>159994</t>
        </is>
      </c>
      <c r="C677" t="inlineStr">
        <is>
          <t>通信ETF银华</t>
        </is>
      </c>
      <c r="D677" t="n">
        <v>313100.3358</v>
      </c>
      <c r="E677" t="n">
        <v>305100.3358</v>
      </c>
      <c r="F677" t="n">
        <v>0.957</v>
      </c>
      <c r="G677" t="n">
        <v>8000</v>
      </c>
      <c r="H677" t="n">
        <v>29.963702</v>
      </c>
      <c r="I677" t="n">
        <v>27.873967</v>
      </c>
      <c r="J677" t="n">
        <v>2.089735</v>
      </c>
      <c r="K677" s="4">
        <f>IFERROR(J677/I677,"")</f>
        <v/>
      </c>
      <c r="L677" s="4">
        <f>IFERROR((D677-E677)/E677,"")</f>
        <v/>
      </c>
      <c r="M677" s="19">
        <f>IFERROR(F677*G677/10000,"")</f>
        <v/>
      </c>
    </row>
    <row r="678">
      <c r="A678" t="inlineStr">
        <is>
          <t>2026-10-30</t>
        </is>
      </c>
      <c r="B678" t="inlineStr">
        <is>
          <t>159995</t>
        </is>
      </c>
      <c r="C678" t="inlineStr">
        <is>
          <t>芯片ETF华夏</t>
        </is>
      </c>
      <c r="D678" t="n">
        <v>2552612.6012</v>
      </c>
      <c r="E678" t="n">
        <v>2548612.6012</v>
      </c>
      <c r="F678" t="n">
        <v>0.8699</v>
      </c>
      <c r="G678" t="n">
        <v>4000</v>
      </c>
      <c r="H678" t="n">
        <v>222.05177</v>
      </c>
      <c r="I678" t="n">
        <v>212.834638</v>
      </c>
      <c r="J678" t="n">
        <v>9.217131999999999</v>
      </c>
      <c r="K678" s="4">
        <f>IFERROR(J678/I678,"")</f>
        <v/>
      </c>
      <c r="L678" s="4">
        <f>IFERROR((D678-E678)/E678,"")</f>
        <v/>
      </c>
      <c r="M678" s="19">
        <f>IFERROR(F678*G678/10000,"")</f>
        <v/>
      </c>
    </row>
    <row r="679">
      <c r="A679" t="inlineStr">
        <is>
          <t>2026-10-30</t>
        </is>
      </c>
      <c r="B679" t="inlineStr">
        <is>
          <t>159996</t>
        </is>
      </c>
      <c r="C679" t="inlineStr">
        <is>
          <t>家电ETF国泰</t>
        </is>
      </c>
      <c r="D679" t="n">
        <v>42655.4846</v>
      </c>
      <c r="E679" t="n">
        <v>43255.4846</v>
      </c>
      <c r="F679" t="n">
        <v>1.3374</v>
      </c>
      <c r="G679" t="n">
        <v>-600</v>
      </c>
      <c r="H679" t="n">
        <v>5.704745</v>
      </c>
      <c r="I679" t="n">
        <v>5.68031</v>
      </c>
      <c r="J679" t="n">
        <v>0.024435</v>
      </c>
      <c r="K679" s="4">
        <f>IFERROR(J679/I679,"")</f>
        <v/>
      </c>
      <c r="L679" s="4">
        <f>IFERROR((D679-E679)/E679,"")</f>
        <v/>
      </c>
      <c r="M679" s="19">
        <f>IFERROR(F679*G679/10000,"")</f>
        <v/>
      </c>
    </row>
    <row r="680">
      <c r="A680" t="inlineStr">
        <is>
          <t>2026-10-30</t>
        </is>
      </c>
      <c r="B680" t="inlineStr">
        <is>
          <t>159997</t>
        </is>
      </c>
      <c r="C680" t="inlineStr">
        <is>
          <t>电子ETF天弘</t>
        </is>
      </c>
      <c r="D680" t="n">
        <v>66730.6634</v>
      </c>
      <c r="E680" t="n">
        <v>66630.6634</v>
      </c>
      <c r="F680" t="n">
        <v>1.6445</v>
      </c>
      <c r="G680" t="n">
        <v>100</v>
      </c>
      <c r="H680" t="n">
        <v>10.973858</v>
      </c>
      <c r="I680" t="n">
        <v>10.56096</v>
      </c>
      <c r="J680" t="n">
        <v>0.412898</v>
      </c>
      <c r="K680" s="4">
        <f>IFERROR(J680/I680,"")</f>
        <v/>
      </c>
      <c r="L680" s="4">
        <f>IFERROR((D680-E680)/E680,"")</f>
        <v/>
      </c>
      <c r="M680" s="19">
        <f>IFERROR(F680*G680/10000,"")</f>
        <v/>
      </c>
    </row>
    <row r="681">
      <c r="A681" t="inlineStr">
        <is>
          <t>2026-10-30</t>
        </is>
      </c>
      <c r="B681" t="inlineStr">
        <is>
          <t>159998</t>
        </is>
      </c>
      <c r="C681" t="inlineStr">
        <is>
          <t>计算机ETF天弘</t>
        </is>
      </c>
      <c r="D681" t="n">
        <v>168225.5354</v>
      </c>
      <c r="E681" t="n">
        <v>168705.5354</v>
      </c>
      <c r="F681" t="n">
        <v>0.8455</v>
      </c>
      <c r="G681" t="n">
        <v>-480</v>
      </c>
      <c r="H681" t="n">
        <v>14.223469</v>
      </c>
      <c r="I681" t="n">
        <v>14.156081</v>
      </c>
      <c r="J681" t="n">
        <v>0.067388</v>
      </c>
      <c r="K681" s="4">
        <f>IFERROR(J681/I681,"")</f>
        <v/>
      </c>
      <c r="L681" s="4">
        <f>IFERROR((D681-E681)/E681,"")</f>
        <v/>
      </c>
      <c r="M681" s="19">
        <f>IFERROR(F681*G681/10000,"")</f>
        <v/>
      </c>
    </row>
    <row r="682">
      <c r="A682" t="inlineStr">
        <is>
          <t>2026-10-30</t>
        </is>
      </c>
      <c r="B682" t="inlineStr">
        <is>
          <t>160105</t>
        </is>
      </c>
      <c r="C682" t="inlineStr">
        <is>
          <t>南方积配LOF</t>
        </is>
      </c>
      <c r="D682" t="n">
        <v>939.0136</v>
      </c>
      <c r="E682" t="n">
        <v>939.0136</v>
      </c>
      <c r="F682" t="n">
        <v>1.1403</v>
      </c>
      <c r="G682" t="n">
        <v>0</v>
      </c>
      <c r="H682" t="n">
        <v>0.107076</v>
      </c>
      <c r="I682" t="n">
        <v>0.106681</v>
      </c>
      <c r="J682" t="n">
        <v>0.000395</v>
      </c>
      <c r="K682" s="4">
        <f>IFERROR(J682/I682,"")</f>
        <v/>
      </c>
      <c r="L682" s="4">
        <f>IFERROR((D682-E682)/E682,"")</f>
        <v/>
      </c>
      <c r="M682" s="19">
        <f>IFERROR(F682*G682/10000,"")</f>
        <v/>
      </c>
    </row>
    <row r="683">
      <c r="A683" t="inlineStr">
        <is>
          <t>2026-10-30</t>
        </is>
      </c>
      <c r="B683" t="inlineStr">
        <is>
          <t>160106</t>
        </is>
      </c>
      <c r="C683" t="inlineStr">
        <is>
          <t>南方高增LOF</t>
        </is>
      </c>
      <c r="D683" t="n">
        <v>3257.0441</v>
      </c>
      <c r="E683" t="n">
        <v>3256.3084</v>
      </c>
      <c r="F683" t="n">
        <v>1.366</v>
      </c>
      <c r="G683" t="n">
        <v>0.7357</v>
      </c>
      <c r="H683" t="n">
        <v>0.444912</v>
      </c>
      <c r="I683" t="n">
        <v>0.443184</v>
      </c>
      <c r="J683" t="n">
        <v>0.001728</v>
      </c>
      <c r="K683" s="4">
        <f>IFERROR(J683/I683,"")</f>
        <v/>
      </c>
      <c r="L683" s="4">
        <f>IFERROR((D683-E683)/E683,"")</f>
        <v/>
      </c>
      <c r="M683" s="19">
        <f>IFERROR(F683*G683/10000,"")</f>
        <v/>
      </c>
    </row>
    <row r="684">
      <c r="A684" t="inlineStr">
        <is>
          <t>2026-10-30</t>
        </is>
      </c>
      <c r="B684" t="inlineStr">
        <is>
          <t>160119</t>
        </is>
      </c>
      <c r="C684" t="inlineStr">
        <is>
          <t>500ETF联接LOF</t>
        </is>
      </c>
      <c r="D684" t="n">
        <v>3655.3912</v>
      </c>
      <c r="E684" t="n">
        <v>3645.9426</v>
      </c>
      <c r="F684" t="n">
        <v>1.9103</v>
      </c>
      <c r="G684" t="n">
        <v>9.448600000000001</v>
      </c>
      <c r="H684" t="n">
        <v>0.698289</v>
      </c>
      <c r="I684" t="n">
        <v>0.683651</v>
      </c>
      <c r="J684" t="n">
        <v>0.014638</v>
      </c>
      <c r="K684" s="4">
        <f>IFERROR(J684/I684,"")</f>
        <v/>
      </c>
      <c r="L684" s="4">
        <f>IFERROR((D684-E684)/E684,"")</f>
        <v/>
      </c>
      <c r="M684" s="19">
        <f>IFERROR(F684*G684/10000,"")</f>
        <v/>
      </c>
    </row>
    <row r="685">
      <c r="A685" t="inlineStr">
        <is>
          <t>2026-10-30</t>
        </is>
      </c>
      <c r="B685" t="inlineStr">
        <is>
          <t>160125</t>
        </is>
      </c>
      <c r="C685" t="inlineStr">
        <is>
          <t>南方香港LOF</t>
        </is>
      </c>
      <c r="D685" t="n">
        <v>1260.952</v>
      </c>
      <c r="E685" t="n">
        <v>1260.952</v>
      </c>
      <c r="F685" t="n">
        <v>1.3915</v>
      </c>
      <c r="G685" t="n">
        <v>0</v>
      </c>
      <c r="H685" t="n">
        <v>0.175461</v>
      </c>
      <c r="I685" t="n">
        <v>0.175865</v>
      </c>
      <c r="J685" t="n">
        <v>-0.000404</v>
      </c>
      <c r="K685" s="4">
        <f>IFERROR(J685/I685,"")</f>
        <v/>
      </c>
      <c r="L685" s="4">
        <f>IFERROR((D685-E685)/E685,"")</f>
        <v/>
      </c>
      <c r="M685" s="19">
        <f>IFERROR(F685*G685/10000,"")</f>
        <v/>
      </c>
    </row>
    <row r="686">
      <c r="A686" t="inlineStr">
        <is>
          <t>2026-10-30</t>
        </is>
      </c>
      <c r="B686" t="inlineStr">
        <is>
          <t>160127</t>
        </is>
      </c>
      <c r="C686" t="inlineStr">
        <is>
          <t>南方消费LOF</t>
        </is>
      </c>
      <c r="D686" t="n">
        <v>3060.5188</v>
      </c>
      <c r="E686" t="n">
        <v>3060.5188</v>
      </c>
      <c r="F686" t="n">
        <v>0.7905</v>
      </c>
      <c r="G686" t="n">
        <v>0</v>
      </c>
      <c r="H686" t="n">
        <v>0.241934</v>
      </c>
      <c r="I686" t="n">
        <v>0.242179</v>
      </c>
      <c r="J686" t="n">
        <v>-0.000245</v>
      </c>
      <c r="K686" s="4">
        <f>IFERROR(J686/I686,"")</f>
        <v/>
      </c>
      <c r="L686" s="4">
        <f>IFERROR((D686-E686)/E686,"")</f>
        <v/>
      </c>
      <c r="M686" s="19">
        <f>IFERROR(F686*G686/10000,"")</f>
        <v/>
      </c>
    </row>
    <row r="687">
      <c r="A687" t="inlineStr">
        <is>
          <t>2026-10-30</t>
        </is>
      </c>
      <c r="B687" t="inlineStr">
        <is>
          <t>160128</t>
        </is>
      </c>
      <c r="C687" t="inlineStr">
        <is>
          <t>南方金利定开</t>
        </is>
      </c>
      <c r="D687" t="n">
        <v>4433.14</v>
      </c>
      <c r="E687" t="n">
        <v>4433.14</v>
      </c>
      <c r="F687" t="n">
        <v>1.024</v>
      </c>
      <c r="G687" t="n">
        <v>0</v>
      </c>
      <c r="H687" t="n">
        <v>0.453954</v>
      </c>
      <c r="I687" t="n">
        <v>0.453954</v>
      </c>
      <c r="J687" t="n">
        <v>0</v>
      </c>
      <c r="K687" s="4">
        <f>IFERROR(J687/I687,"")</f>
        <v/>
      </c>
      <c r="L687" s="4">
        <f>IFERROR((D687-E687)/E687,"")</f>
        <v/>
      </c>
      <c r="M687" s="19">
        <f>IFERROR(F687*G687/10000,"")</f>
        <v/>
      </c>
    </row>
    <row r="688">
      <c r="A688" t="inlineStr">
        <is>
          <t>2026-10-30</t>
        </is>
      </c>
      <c r="B688" t="inlineStr">
        <is>
          <t>160133</t>
        </is>
      </c>
      <c r="C688" t="inlineStr">
        <is>
          <t>南方天元LOF</t>
        </is>
      </c>
      <c r="D688" t="n">
        <v>10642.492</v>
      </c>
      <c r="E688" t="n">
        <v>10643.4047</v>
      </c>
      <c r="F688" t="n">
        <v>3.8989</v>
      </c>
      <c r="G688" t="n">
        <v>-0.9127</v>
      </c>
      <c r="H688" t="n">
        <v>4.149401</v>
      </c>
      <c r="I688" t="n">
        <v>4.150715</v>
      </c>
      <c r="J688" t="n">
        <v>-0.001314</v>
      </c>
      <c r="K688" s="4">
        <f>IFERROR(J688/I688,"")</f>
        <v/>
      </c>
      <c r="L688" s="4">
        <f>IFERROR((D688-E688)/E688,"")</f>
        <v/>
      </c>
      <c r="M688" s="19">
        <f>IFERROR(F688*G688/10000,"")</f>
        <v/>
      </c>
    </row>
    <row r="689">
      <c r="A689" t="inlineStr">
        <is>
          <t>2026-10-30</t>
        </is>
      </c>
      <c r="B689" t="inlineStr">
        <is>
          <t>160135</t>
        </is>
      </c>
      <c r="C689" t="inlineStr">
        <is>
          <t>高铁基金LOF</t>
        </is>
      </c>
      <c r="D689" t="n">
        <v>910.9432</v>
      </c>
      <c r="E689" t="n">
        <v>915.7432</v>
      </c>
      <c r="F689" t="n">
        <v>0.9956</v>
      </c>
      <c r="G689" t="n">
        <v>-4.8</v>
      </c>
      <c r="H689" t="n">
        <v>0.090694</v>
      </c>
      <c r="I689" t="n">
        <v>0.091364</v>
      </c>
      <c r="J689" t="n">
        <v>-0.00067</v>
      </c>
      <c r="K689" s="4">
        <f>IFERROR(J689/I689,"")</f>
        <v/>
      </c>
      <c r="L689" s="4">
        <f>IFERROR((D689-E689)/E689,"")</f>
        <v/>
      </c>
      <c r="M689" s="19">
        <f>IFERROR(F689*G689/10000,"")</f>
        <v/>
      </c>
    </row>
    <row r="690">
      <c r="A690" t="inlineStr">
        <is>
          <t>2026-10-30</t>
        </is>
      </c>
      <c r="B690" t="inlineStr">
        <is>
          <t>160140</t>
        </is>
      </c>
      <c r="C690" t="inlineStr">
        <is>
          <t>美国REIT精选LOF</t>
        </is>
      </c>
      <c r="D690" t="n">
        <v>7648.6557</v>
      </c>
      <c r="E690" t="n">
        <v>7648.6413</v>
      </c>
      <c r="F690" t="n">
        <v>1.3655</v>
      </c>
      <c r="G690" t="n">
        <v>0.0144</v>
      </c>
      <c r="H690" t="n">
        <v>1.044424</v>
      </c>
      <c r="I690" t="n">
        <v>1.052988</v>
      </c>
      <c r="J690" t="n">
        <v>-0.008564</v>
      </c>
      <c r="K690" s="4">
        <f>IFERROR(J690/I690,"")</f>
        <v/>
      </c>
      <c r="L690" s="4">
        <f>IFERROR((D690-E690)/E690,"")</f>
        <v/>
      </c>
      <c r="M690" s="19">
        <f>IFERROR(F690*G690/10000,"")</f>
        <v/>
      </c>
    </row>
    <row r="691">
      <c r="A691" t="inlineStr">
        <is>
          <t>2026-10-30</t>
        </is>
      </c>
      <c r="B691" t="inlineStr">
        <is>
          <t>160142</t>
        </is>
      </c>
      <c r="C691" t="inlineStr">
        <is>
          <t>南方优势产业LOF</t>
        </is>
      </c>
      <c r="D691" t="n">
        <v>3212.0143</v>
      </c>
      <c r="E691" t="n">
        <v>3211.0201</v>
      </c>
      <c r="F691" t="n">
        <v>0.9574</v>
      </c>
      <c r="G691" t="n">
        <v>0.9942</v>
      </c>
      <c r="H691" t="n">
        <v>0.307518</v>
      </c>
      <c r="I691" t="n">
        <v>0.30723</v>
      </c>
      <c r="J691" t="n">
        <v>0.000288</v>
      </c>
      <c r="K691" s="4">
        <f>IFERROR(J691/I691,"")</f>
        <v/>
      </c>
      <c r="L691" s="4">
        <f>IFERROR((D691-E691)/E691,"")</f>
        <v/>
      </c>
      <c r="M691" s="19">
        <f>IFERROR(F691*G691/10000,"")</f>
        <v/>
      </c>
    </row>
    <row r="692">
      <c r="A692" t="inlineStr">
        <is>
          <t>2026-10-30</t>
        </is>
      </c>
      <c r="B692" t="inlineStr">
        <is>
          <t>160143</t>
        </is>
      </c>
      <c r="C692" t="inlineStr">
        <is>
          <t>创业板定开南方</t>
        </is>
      </c>
      <c r="D692" t="n">
        <v>821.5264</v>
      </c>
      <c r="E692" t="n">
        <v>821.5264</v>
      </c>
      <c r="F692" t="n">
        <v>1.3197</v>
      </c>
      <c r="G692" t="n">
        <v>0</v>
      </c>
      <c r="H692" t="n">
        <v>0.108417</v>
      </c>
      <c r="I692" t="n">
        <v>0.105057</v>
      </c>
      <c r="J692" t="n">
        <v>0.00336</v>
      </c>
      <c r="K692" s="4">
        <f>IFERROR(J692/I692,"")</f>
        <v/>
      </c>
      <c r="L692" s="4">
        <f>IFERROR((D692-E692)/E692,"")</f>
        <v/>
      </c>
      <c r="M692" s="19">
        <f>IFERROR(F692*G692/10000,"")</f>
        <v/>
      </c>
    </row>
    <row r="693">
      <c r="A693" t="inlineStr">
        <is>
          <t>2026-10-30</t>
        </is>
      </c>
      <c r="B693" t="inlineStr">
        <is>
          <t>160211</t>
        </is>
      </c>
      <c r="C693" t="inlineStr">
        <is>
          <t>国泰小盘LOF</t>
        </is>
      </c>
      <c r="D693" t="n">
        <v>1525.8399</v>
      </c>
      <c r="E693" t="n">
        <v>1527.4399</v>
      </c>
      <c r="F693" t="n">
        <v>2.53</v>
      </c>
      <c r="G693" t="n">
        <v>-1.6</v>
      </c>
      <c r="H693" t="n">
        <v>0.386037</v>
      </c>
      <c r="I693" t="n">
        <v>0.38018</v>
      </c>
      <c r="J693" t="n">
        <v>0.005857</v>
      </c>
      <c r="K693" s="4">
        <f>IFERROR(J693/I693,"")</f>
        <v/>
      </c>
      <c r="L693" s="4">
        <f>IFERROR((D693-E693)/E693,"")</f>
        <v/>
      </c>
      <c r="M693" s="19">
        <f>IFERROR(F693*G693/10000,"")</f>
        <v/>
      </c>
    </row>
    <row r="694">
      <c r="A694" t="inlineStr">
        <is>
          <t>2026-10-30</t>
        </is>
      </c>
      <c r="B694" t="inlineStr">
        <is>
          <t>160212</t>
        </is>
      </c>
      <c r="C694" t="inlineStr">
        <is>
          <t>国泰估值LOF</t>
        </is>
      </c>
      <c r="D694" t="n">
        <v>710.7377</v>
      </c>
      <c r="E694" t="n">
        <v>710.2897</v>
      </c>
      <c r="F694" t="n">
        <v>3.5932</v>
      </c>
      <c r="G694" t="n">
        <v>0.448</v>
      </c>
      <c r="H694" t="n">
        <v>0.255382</v>
      </c>
      <c r="I694" t="n">
        <v>0.237841</v>
      </c>
      <c r="J694" t="n">
        <v>0.017541</v>
      </c>
      <c r="K694" s="4">
        <f>IFERROR(J694/I694,"")</f>
        <v/>
      </c>
      <c r="L694" s="4">
        <f>IFERROR((D694-E694)/E694,"")</f>
        <v/>
      </c>
      <c r="M694" s="19">
        <f>IFERROR(F694*G694/10000,"")</f>
        <v/>
      </c>
    </row>
    <row r="695">
      <c r="A695" t="inlineStr">
        <is>
          <t>2026-10-30</t>
        </is>
      </c>
      <c r="B695" t="inlineStr">
        <is>
          <t>160215</t>
        </is>
      </c>
      <c r="C695" t="inlineStr">
        <is>
          <t>国泰价值LOF</t>
        </is>
      </c>
      <c r="D695" t="n">
        <v>194.9131</v>
      </c>
      <c r="E695" t="n">
        <v>195.1631</v>
      </c>
      <c r="F695" t="n">
        <v>3.237</v>
      </c>
      <c r="G695" t="n">
        <v>-0.25</v>
      </c>
      <c r="H695" t="n">
        <v>0.063093</v>
      </c>
      <c r="I695" t="n">
        <v>0.061672</v>
      </c>
      <c r="J695" t="n">
        <v>0.001421</v>
      </c>
      <c r="K695" s="4">
        <f>IFERROR(J695/I695,"")</f>
        <v/>
      </c>
      <c r="L695" s="4">
        <f>IFERROR((D695-E695)/E695,"")</f>
        <v/>
      </c>
      <c r="M695" s="19">
        <f>IFERROR(F695*G695/10000,"")</f>
        <v/>
      </c>
    </row>
    <row r="696">
      <c r="A696" t="inlineStr">
        <is>
          <t>2026-10-30</t>
        </is>
      </c>
      <c r="B696" t="inlineStr">
        <is>
          <t>160216</t>
        </is>
      </c>
      <c r="C696" t="inlineStr">
        <is>
          <t>国泰商品LOF</t>
        </is>
      </c>
      <c r="D696" t="n">
        <v>17497.7991</v>
      </c>
      <c r="E696" t="n">
        <v>17510.3988</v>
      </c>
      <c r="F696" t="n">
        <v>0.599</v>
      </c>
      <c r="G696" t="n">
        <v>-12.5997</v>
      </c>
      <c r="H696" t="n">
        <v>1.048118</v>
      </c>
      <c r="I696" t="n">
        <v>1.036616</v>
      </c>
      <c r="J696" t="n">
        <v>0.011502</v>
      </c>
      <c r="K696" s="4">
        <f>IFERROR(J696/I696,"")</f>
        <v/>
      </c>
      <c r="L696" s="4">
        <f>IFERROR((D696-E696)/E696,"")</f>
        <v/>
      </c>
      <c r="M696" s="19">
        <f>IFERROR(F696*G696/10000,"")</f>
        <v/>
      </c>
    </row>
    <row r="697">
      <c r="A697" t="inlineStr">
        <is>
          <t>2026-10-30</t>
        </is>
      </c>
      <c r="B697" t="inlineStr">
        <is>
          <t>160218</t>
        </is>
      </c>
      <c r="C697" t="inlineStr">
        <is>
          <t>房地产LOF</t>
        </is>
      </c>
      <c r="D697" t="n">
        <v>2940.1982</v>
      </c>
      <c r="E697" t="n">
        <v>2942.5217</v>
      </c>
      <c r="F697" t="n">
        <v>0.5626</v>
      </c>
      <c r="G697" t="n">
        <v>-2.3235</v>
      </c>
      <c r="H697" t="n">
        <v>0.165416</v>
      </c>
      <c r="I697" t="n">
        <v>0.165252</v>
      </c>
      <c r="J697" t="n">
        <v>0.000164</v>
      </c>
      <c r="K697" s="4">
        <f>IFERROR(J697/I697,"")</f>
        <v/>
      </c>
      <c r="L697" s="4">
        <f>IFERROR((D697-E697)/E697,"")</f>
        <v/>
      </c>
      <c r="M697" s="19">
        <f>IFERROR(F697*G697/10000,"")</f>
        <v/>
      </c>
    </row>
    <row r="698">
      <c r="A698" t="inlineStr">
        <is>
          <t>2026-10-30</t>
        </is>
      </c>
      <c r="B698" t="inlineStr">
        <is>
          <t>160219</t>
        </is>
      </c>
      <c r="C698" t="inlineStr">
        <is>
          <t>医药LOF</t>
        </is>
      </c>
      <c r="D698" t="n">
        <v>14396.2259</v>
      </c>
      <c r="E698" t="n">
        <v>14404.2259</v>
      </c>
      <c r="F698" t="n">
        <v>0.549</v>
      </c>
      <c r="G698" t="n">
        <v>-8</v>
      </c>
      <c r="H698" t="n">
        <v>0.790353</v>
      </c>
      <c r="I698" t="n">
        <v>0.784454</v>
      </c>
      <c r="J698" t="n">
        <v>0.005899</v>
      </c>
      <c r="K698" s="4">
        <f>IFERROR(J698/I698,"")</f>
        <v/>
      </c>
      <c r="L698" s="4">
        <f>IFERROR((D698-E698)/E698,"")</f>
        <v/>
      </c>
      <c r="M698" s="19">
        <f>IFERROR(F698*G698/10000,"")</f>
        <v/>
      </c>
    </row>
    <row r="699">
      <c r="A699" t="inlineStr">
        <is>
          <t>2026-10-30</t>
        </is>
      </c>
      <c r="B699" t="inlineStr">
        <is>
          <t>160220</t>
        </is>
      </c>
      <c r="C699" t="inlineStr">
        <is>
          <t>国泰民益LOF</t>
        </is>
      </c>
      <c r="D699" t="n">
        <v>498.0045</v>
      </c>
      <c r="E699" t="n">
        <v>498.4045</v>
      </c>
      <c r="F699" t="n">
        <v>4.1357</v>
      </c>
      <c r="G699" t="n">
        <v>-0.4</v>
      </c>
      <c r="H699" t="n">
        <v>0.20596</v>
      </c>
      <c r="I699" t="n">
        <v>0.201186</v>
      </c>
      <c r="J699" t="n">
        <v>0.004774</v>
      </c>
      <c r="K699" s="4">
        <f>IFERROR(J699/I699,"")</f>
        <v/>
      </c>
      <c r="L699" s="4">
        <f>IFERROR((D699-E699)/E699,"")</f>
        <v/>
      </c>
      <c r="M699" s="19">
        <f>IFERROR(F699*G699/10000,"")</f>
        <v/>
      </c>
    </row>
    <row r="700">
      <c r="A700" t="inlineStr">
        <is>
          <t>2026-10-30</t>
        </is>
      </c>
      <c r="B700" t="inlineStr">
        <is>
          <t>160221</t>
        </is>
      </c>
      <c r="C700" t="inlineStr">
        <is>
          <t>有色金属LOF</t>
        </is>
      </c>
      <c r="D700" t="n">
        <v>3724.6321</v>
      </c>
      <c r="E700" t="n">
        <v>3735.8504</v>
      </c>
      <c r="F700" t="n">
        <v>1.854</v>
      </c>
      <c r="G700" t="n">
        <v>-11.2183</v>
      </c>
      <c r="H700" t="n">
        <v>0.690547</v>
      </c>
      <c r="I700" t="n">
        <v>0.691431</v>
      </c>
      <c r="J700" t="n">
        <v>-0.000884</v>
      </c>
      <c r="K700" s="4">
        <f>IFERROR(J700/I700,"")</f>
        <v/>
      </c>
      <c r="L700" s="4">
        <f>IFERROR((D700-E700)/E700,"")</f>
        <v/>
      </c>
      <c r="M700" s="19">
        <f>IFERROR(F700*G700/10000,"")</f>
        <v/>
      </c>
    </row>
    <row r="701">
      <c r="A701" t="inlineStr">
        <is>
          <t>2026-10-30</t>
        </is>
      </c>
      <c r="B701" t="inlineStr">
        <is>
          <t>160222</t>
        </is>
      </c>
      <c r="C701" t="inlineStr">
        <is>
          <t>食品LOF</t>
        </is>
      </c>
      <c r="D701" t="n">
        <v>8308.645200000001</v>
      </c>
      <c r="E701" t="n">
        <v>8308.645200000001</v>
      </c>
      <c r="F701" t="n">
        <v>0.6498</v>
      </c>
      <c r="G701" t="n">
        <v>0</v>
      </c>
      <c r="H701" t="n">
        <v>0.539896</v>
      </c>
      <c r="I701" t="n">
        <v>0.547041</v>
      </c>
      <c r="J701" t="n">
        <v>-0.007145</v>
      </c>
      <c r="K701" s="4">
        <f>IFERROR(J701/I701,"")</f>
        <v/>
      </c>
      <c r="L701" s="4">
        <f>IFERROR((D701-E701)/E701,"")</f>
        <v/>
      </c>
      <c r="M701" s="19">
        <f>IFERROR(F701*G701/10000,"")</f>
        <v/>
      </c>
    </row>
    <row r="702">
      <c r="A702" t="inlineStr">
        <is>
          <t>2026-10-30</t>
        </is>
      </c>
      <c r="B702" t="inlineStr">
        <is>
          <t>160223</t>
        </is>
      </c>
      <c r="C702" t="inlineStr">
        <is>
          <t>创业板LOF</t>
        </is>
      </c>
      <c r="D702" t="n">
        <v>1240.7152</v>
      </c>
      <c r="E702" t="n">
        <v>1238.7692</v>
      </c>
      <c r="F702" t="n">
        <v>1.5032</v>
      </c>
      <c r="G702" t="n">
        <v>1.946</v>
      </c>
      <c r="H702" t="n">
        <v>0.186504</v>
      </c>
      <c r="I702" t="n">
        <v>0.180501</v>
      </c>
      <c r="J702" t="n">
        <v>0.006003</v>
      </c>
      <c r="K702" s="4">
        <f>IFERROR(J702/I702,"")</f>
        <v/>
      </c>
      <c r="L702" s="4">
        <f>IFERROR((D702-E702)/E702,"")</f>
        <v/>
      </c>
      <c r="M702" s="19">
        <f>IFERROR(F702*G702/10000,"")</f>
        <v/>
      </c>
    </row>
    <row r="703">
      <c r="A703" t="inlineStr">
        <is>
          <t>2026-10-30</t>
        </is>
      </c>
      <c r="B703" t="inlineStr">
        <is>
          <t>160225</t>
        </is>
      </c>
      <c r="C703" t="inlineStr">
        <is>
          <t>新能源汽车LOF</t>
        </is>
      </c>
      <c r="D703" t="n">
        <v>917.3678</v>
      </c>
      <c r="E703" t="n">
        <v>927.2778</v>
      </c>
      <c r="F703" t="n">
        <v>1.453</v>
      </c>
      <c r="G703" t="n">
        <v>-9.91</v>
      </c>
      <c r="H703" t="n">
        <v>0.133294</v>
      </c>
      <c r="I703" t="n">
        <v>0.132879</v>
      </c>
      <c r="J703" t="n">
        <v>0.000415</v>
      </c>
      <c r="K703" s="4">
        <f>IFERROR(J703/I703,"")</f>
        <v/>
      </c>
      <c r="L703" s="4">
        <f>IFERROR((D703-E703)/E703,"")</f>
        <v/>
      </c>
      <c r="M703" s="19">
        <f>IFERROR(F703*G703/10000,"")</f>
        <v/>
      </c>
    </row>
    <row r="704">
      <c r="A704" t="inlineStr">
        <is>
          <t>2026-10-30</t>
        </is>
      </c>
      <c r="B704" t="inlineStr">
        <is>
          <t>160311</t>
        </is>
      </c>
      <c r="C704" t="inlineStr">
        <is>
          <t>华夏蓝筹LOF</t>
        </is>
      </c>
      <c r="D704" t="n">
        <v>6300.6589</v>
      </c>
      <c r="E704" t="n">
        <v>6300.6589</v>
      </c>
      <c r="F704" t="n">
        <v>1.29</v>
      </c>
      <c r="G704" t="n">
        <v>0</v>
      </c>
      <c r="H704" t="n">
        <v>0.812785</v>
      </c>
      <c r="I704" t="n">
        <v>0.816565</v>
      </c>
      <c r="J704" t="n">
        <v>-0.00378</v>
      </c>
      <c r="K704" s="4">
        <f>IFERROR(J704/I704,"")</f>
        <v/>
      </c>
      <c r="L704" s="4">
        <f>IFERROR((D704-E704)/E704,"")</f>
        <v/>
      </c>
      <c r="M704" s="19">
        <f>IFERROR(F704*G704/10000,"")</f>
        <v/>
      </c>
    </row>
    <row r="705">
      <c r="A705" t="inlineStr">
        <is>
          <t>2026-10-30</t>
        </is>
      </c>
      <c r="B705" t="inlineStr">
        <is>
          <t>160314</t>
        </is>
      </c>
      <c r="C705" t="inlineStr">
        <is>
          <t>华夏行业LOF</t>
        </is>
      </c>
      <c r="D705" t="n">
        <v>6210.4837</v>
      </c>
      <c r="E705" t="n">
        <v>6210.4809</v>
      </c>
      <c r="F705" t="n">
        <v>1.158</v>
      </c>
      <c r="G705" t="n">
        <v>0.0028</v>
      </c>
      <c r="H705" t="n">
        <v>0.719174</v>
      </c>
      <c r="I705" t="n">
        <v>0.6875</v>
      </c>
      <c r="J705" t="n">
        <v>0.031674</v>
      </c>
      <c r="K705" s="4">
        <f>IFERROR(J705/I705,"")</f>
        <v/>
      </c>
      <c r="L705" s="4">
        <f>IFERROR((D705-E705)/E705,"")</f>
        <v/>
      </c>
      <c r="M705" s="19">
        <f>IFERROR(F705*G705/10000,"")</f>
        <v/>
      </c>
    </row>
    <row r="706">
      <c r="A706" t="inlineStr">
        <is>
          <t>2026-10-30</t>
        </is>
      </c>
      <c r="B706" t="inlineStr">
        <is>
          <t>160322</t>
        </is>
      </c>
      <c r="C706" t="inlineStr">
        <is>
          <t>港股精选LOF</t>
        </is>
      </c>
      <c r="D706" t="n">
        <v>1187.0751</v>
      </c>
      <c r="E706" t="n">
        <v>1187.0751</v>
      </c>
      <c r="F706" t="n">
        <v>0.9019</v>
      </c>
      <c r="G706" t="n">
        <v>0</v>
      </c>
      <c r="H706" t="n">
        <v>0.107062</v>
      </c>
      <c r="I706" t="n">
        <v>0.106148</v>
      </c>
      <c r="J706" t="n">
        <v>0.000914</v>
      </c>
      <c r="K706" s="4">
        <f>IFERROR(J706/I706,"")</f>
        <v/>
      </c>
      <c r="L706" s="4">
        <f>IFERROR((D706-E706)/E706,"")</f>
        <v/>
      </c>
      <c r="M706" s="19">
        <f>IFERROR(F706*G706/10000,"")</f>
        <v/>
      </c>
    </row>
    <row r="707">
      <c r="A707" t="inlineStr">
        <is>
          <t>2026-10-30</t>
        </is>
      </c>
      <c r="B707" t="inlineStr">
        <is>
          <t>160323</t>
        </is>
      </c>
      <c r="C707" t="inlineStr">
        <is>
          <t>华夏磐泰LOF</t>
        </is>
      </c>
      <c r="D707" t="n">
        <v>7163.4911</v>
      </c>
      <c r="E707" t="n">
        <v>7163.4501</v>
      </c>
      <c r="F707" t="n">
        <v>1.7279</v>
      </c>
      <c r="G707" t="n">
        <v>0.041</v>
      </c>
      <c r="H707" t="n">
        <v>1.23778</v>
      </c>
      <c r="I707" t="n">
        <v>1.2324</v>
      </c>
      <c r="J707" t="n">
        <v>0.00538</v>
      </c>
      <c r="K707" s="4">
        <f>IFERROR(J707/I707,"")</f>
        <v/>
      </c>
      <c r="L707" s="4">
        <f>IFERROR((D707-E707)/E707,"")</f>
        <v/>
      </c>
      <c r="M707" s="19">
        <f>IFERROR(F707*G707/10000,"")</f>
        <v/>
      </c>
    </row>
    <row r="708">
      <c r="A708" t="inlineStr">
        <is>
          <t>2026-10-30</t>
        </is>
      </c>
      <c r="B708" t="inlineStr">
        <is>
          <t>160324</t>
        </is>
      </c>
      <c r="C708" t="inlineStr">
        <is>
          <t>华夏磐晟LOF</t>
        </is>
      </c>
      <c r="D708" t="n">
        <v>899.5021</v>
      </c>
      <c r="E708" t="n">
        <v>903.2655999999999</v>
      </c>
      <c r="F708" t="n">
        <v>2.8026</v>
      </c>
      <c r="G708" t="n">
        <v>-3.7635</v>
      </c>
      <c r="H708" t="n">
        <v>0.252094</v>
      </c>
      <c r="I708" t="n">
        <v>0.23867</v>
      </c>
      <c r="J708" t="n">
        <v>0.013424</v>
      </c>
      <c r="K708" s="4">
        <f>IFERROR(J708/I708,"")</f>
        <v/>
      </c>
      <c r="L708" s="4">
        <f>IFERROR((D708-E708)/E708,"")</f>
        <v/>
      </c>
      <c r="M708" s="19">
        <f>IFERROR(F708*G708/10000,"")</f>
        <v/>
      </c>
    </row>
    <row r="709">
      <c r="A709" t="inlineStr">
        <is>
          <t>2026-10-30</t>
        </is>
      </c>
      <c r="B709" t="inlineStr">
        <is>
          <t>160325</t>
        </is>
      </c>
      <c r="C709" t="inlineStr">
        <is>
          <t>华夏创业板定开</t>
        </is>
      </c>
      <c r="D709" t="n">
        <v>3513.7369</v>
      </c>
      <c r="E709" t="n">
        <v>3513.7369</v>
      </c>
      <c r="F709" t="n">
        <v>1.2689</v>
      </c>
      <c r="G709" t="n">
        <v>0</v>
      </c>
      <c r="H709" t="n">
        <v>0.445858</v>
      </c>
      <c r="I709" t="n">
        <v>0.427833</v>
      </c>
      <c r="J709" t="n">
        <v>0.018025</v>
      </c>
      <c r="K709" s="4">
        <f>IFERROR(J709/I709,"")</f>
        <v/>
      </c>
      <c r="L709" s="4">
        <f>IFERROR((D709-E709)/E709,"")</f>
        <v/>
      </c>
      <c r="M709" s="19">
        <f>IFERROR(F709*G709/10000,"")</f>
        <v/>
      </c>
    </row>
    <row r="710">
      <c r="A710" t="inlineStr">
        <is>
          <t>2026-10-30</t>
        </is>
      </c>
      <c r="B710" t="inlineStr">
        <is>
          <t>160326</t>
        </is>
      </c>
      <c r="C710" t="inlineStr">
        <is>
          <t>优选配置FOF-LOF</t>
        </is>
      </c>
      <c r="D710" t="n">
        <v>6667.4571</v>
      </c>
      <c r="E710" t="n">
        <v>6667.4571</v>
      </c>
      <c r="F710" t="n">
        <v>0.8574000000000001</v>
      </c>
      <c r="G710" t="n">
        <v>0</v>
      </c>
      <c r="H710" t="n">
        <v>0.571668</v>
      </c>
      <c r="I710" t="n">
        <v>0.568734</v>
      </c>
      <c r="J710" t="n">
        <v>0.002934</v>
      </c>
      <c r="K710" s="4">
        <f>IFERROR(J710/I710,"")</f>
        <v/>
      </c>
      <c r="L710" s="4">
        <f>IFERROR((D710-E710)/E710,"")</f>
        <v/>
      </c>
      <c r="M710" s="19">
        <f>IFERROR(F710*G710/10000,"")</f>
        <v/>
      </c>
    </row>
    <row r="711">
      <c r="A711" t="inlineStr">
        <is>
          <t>2026-10-30</t>
        </is>
      </c>
      <c r="B711" t="inlineStr">
        <is>
          <t>160416</t>
        </is>
      </c>
      <c r="C711" t="inlineStr">
        <is>
          <t>石油基金LOF</t>
        </is>
      </c>
      <c r="D711" t="n">
        <v>8632.175300000001</v>
      </c>
      <c r="E711" t="n">
        <v>8632.706399999999</v>
      </c>
      <c r="F711" t="n">
        <v>2.3275</v>
      </c>
      <c r="G711" t="n">
        <v>-0.5311</v>
      </c>
      <c r="H711" t="n">
        <v>2.009139</v>
      </c>
      <c r="I711" t="n">
        <v>2.040254</v>
      </c>
      <c r="J711" t="n">
        <v>-0.031115</v>
      </c>
      <c r="K711" s="4">
        <f>IFERROR(J711/I711,"")</f>
        <v/>
      </c>
      <c r="L711" s="4">
        <f>IFERROR((D711-E711)/E711,"")</f>
        <v/>
      </c>
      <c r="M711" s="19">
        <f>IFERROR(F711*G711/10000,"")</f>
        <v/>
      </c>
    </row>
    <row r="712">
      <c r="A712" t="inlineStr">
        <is>
          <t>2026-10-30</t>
        </is>
      </c>
      <c r="B712" t="inlineStr">
        <is>
          <t>160421</t>
        </is>
      </c>
      <c r="C712" t="inlineStr">
        <is>
          <t>华安智增LOF</t>
        </is>
      </c>
      <c r="D712" t="n">
        <v>1169.6445</v>
      </c>
      <c r="E712" t="n">
        <v>1169.2399</v>
      </c>
      <c r="F712" t="n">
        <v>1.4291</v>
      </c>
      <c r="G712" t="n">
        <v>0.4046</v>
      </c>
      <c r="H712" t="n">
        <v>0.167154</v>
      </c>
      <c r="I712" t="n">
        <v>0.158771</v>
      </c>
      <c r="J712" t="n">
        <v>0.008383</v>
      </c>
      <c r="K712" s="4">
        <f>IFERROR(J712/I712,"")</f>
        <v/>
      </c>
      <c r="L712" s="4">
        <f>IFERROR((D712-E712)/E712,"")</f>
        <v/>
      </c>
      <c r="M712" s="19">
        <f>IFERROR(F712*G712/10000,"")</f>
        <v/>
      </c>
    </row>
    <row r="713">
      <c r="A713" t="inlineStr">
        <is>
          <t>2026-10-30</t>
        </is>
      </c>
      <c r="B713" t="inlineStr">
        <is>
          <t>160505</t>
        </is>
      </c>
      <c r="C713" t="inlineStr">
        <is>
          <t>博时主题LOF</t>
        </is>
      </c>
      <c r="D713" t="n">
        <v>15731.2192</v>
      </c>
      <c r="E713" t="n">
        <v>15727.5554</v>
      </c>
      <c r="F713" t="n">
        <v>0.925</v>
      </c>
      <c r="G713" t="n">
        <v>3.6638</v>
      </c>
      <c r="H713" t="n">
        <v>1.455138</v>
      </c>
      <c r="I713" t="n">
        <v>1.445362</v>
      </c>
      <c r="J713" t="n">
        <v>0.009776</v>
      </c>
      <c r="K713" s="4">
        <f>IFERROR(J713/I713,"")</f>
        <v/>
      </c>
      <c r="L713" s="4">
        <f>IFERROR((D713-E713)/E713,"")</f>
        <v/>
      </c>
      <c r="M713" s="19">
        <f>IFERROR(F713*G713/10000,"")</f>
        <v/>
      </c>
    </row>
    <row r="714">
      <c r="A714" t="inlineStr">
        <is>
          <t>2026-10-30</t>
        </is>
      </c>
      <c r="B714" t="inlineStr">
        <is>
          <t>160512</t>
        </is>
      </c>
      <c r="C714" t="inlineStr">
        <is>
          <t>博时卓越LOF</t>
        </is>
      </c>
      <c r="D714" t="n">
        <v>1038.8786</v>
      </c>
      <c r="E714" t="n">
        <v>1038.8786</v>
      </c>
      <c r="F714" t="n">
        <v>2.354</v>
      </c>
      <c r="G714" t="n">
        <v>0</v>
      </c>
      <c r="H714" t="n">
        <v>0.244552</v>
      </c>
      <c r="I714" t="n">
        <v>0.235514</v>
      </c>
      <c r="J714" t="n">
        <v>0.009037999999999999</v>
      </c>
      <c r="K714" s="4">
        <f>IFERROR(J714/I714,"")</f>
        <v/>
      </c>
      <c r="L714" s="4">
        <f>IFERROR((D714-E714)/E714,"")</f>
        <v/>
      </c>
      <c r="M714" s="19">
        <f>IFERROR(F714*G714/10000,"")</f>
        <v/>
      </c>
    </row>
    <row r="715">
      <c r="A715" t="inlineStr">
        <is>
          <t>2026-10-30</t>
        </is>
      </c>
      <c r="B715" t="inlineStr">
        <is>
          <t>160513</t>
        </is>
      </c>
      <c r="C715" t="inlineStr">
        <is>
          <t>稳健债LOF</t>
        </is>
      </c>
      <c r="D715" t="n">
        <v>495.7928</v>
      </c>
      <c r="E715" t="n">
        <v>495.7928</v>
      </c>
      <c r="F715" t="n">
        <v>2.2067</v>
      </c>
      <c r="G715" t="n">
        <v>0</v>
      </c>
      <c r="H715" t="n">
        <v>0.109407</v>
      </c>
      <c r="I715" t="n">
        <v>0.109183</v>
      </c>
      <c r="J715" t="n">
        <v>0.000224</v>
      </c>
      <c r="K715" s="4">
        <f>IFERROR(J715/I715,"")</f>
        <v/>
      </c>
      <c r="L715" s="4">
        <f>IFERROR((D715-E715)/E715,"")</f>
        <v/>
      </c>
      <c r="M715" s="19">
        <f>IFERROR(F715*G715/10000,"")</f>
        <v/>
      </c>
    </row>
    <row r="716">
      <c r="A716" t="inlineStr">
        <is>
          <t>2026-10-30</t>
        </is>
      </c>
      <c r="B716" t="inlineStr">
        <is>
          <t>160515</t>
        </is>
      </c>
      <c r="C716" t="inlineStr">
        <is>
          <t>安丰18定开</t>
        </is>
      </c>
      <c r="D716" t="n">
        <v>306.0394</v>
      </c>
      <c r="E716" t="n">
        <v>306.0394</v>
      </c>
      <c r="F716" t="n">
        <v>1.0424</v>
      </c>
      <c r="G716" t="n">
        <v>0</v>
      </c>
      <c r="H716" t="n">
        <v>0.031902</v>
      </c>
      <c r="I716" t="n">
        <v>0.031911</v>
      </c>
      <c r="J716" t="n">
        <v>-9e-06</v>
      </c>
      <c r="K716" s="4">
        <f>IFERROR(J716/I716,"")</f>
        <v/>
      </c>
      <c r="L716" s="4">
        <f>IFERROR((D716-E716)/E716,"")</f>
        <v/>
      </c>
      <c r="M716" s="19">
        <f>IFERROR(F716*G716/10000,"")</f>
        <v/>
      </c>
    </row>
    <row r="717">
      <c r="A717" t="inlineStr">
        <is>
          <t>2026-10-30</t>
        </is>
      </c>
      <c r="B717" t="inlineStr">
        <is>
          <t>160518</t>
        </is>
      </c>
      <c r="C717" t="inlineStr">
        <is>
          <t>博时睿远LOF</t>
        </is>
      </c>
      <c r="D717" t="n">
        <v>1534.3131</v>
      </c>
      <c r="E717" t="n">
        <v>1534.3131</v>
      </c>
      <c r="F717" t="n">
        <v>2.211</v>
      </c>
      <c r="G717" t="n">
        <v>0</v>
      </c>
      <c r="H717" t="n">
        <v>0.339237</v>
      </c>
      <c r="I717" t="n">
        <v>0.330798</v>
      </c>
      <c r="J717" t="n">
        <v>0.008439</v>
      </c>
      <c r="K717" s="4">
        <f>IFERROR(J717/I717,"")</f>
        <v/>
      </c>
      <c r="L717" s="4">
        <f>IFERROR((D717-E717)/E717,"")</f>
        <v/>
      </c>
      <c r="M717" s="19">
        <f>IFERROR(F717*G717/10000,"")</f>
        <v/>
      </c>
    </row>
    <row r="718">
      <c r="A718" t="inlineStr">
        <is>
          <t>2026-10-30</t>
        </is>
      </c>
      <c r="B718" t="inlineStr">
        <is>
          <t>160526</t>
        </is>
      </c>
      <c r="C718" t="inlineStr">
        <is>
          <t>博时优势企业</t>
        </is>
      </c>
      <c r="D718" t="n">
        <v>162.5859</v>
      </c>
      <c r="E718" t="n">
        <v>162.5859</v>
      </c>
      <c r="F718" t="n">
        <v>1.206</v>
      </c>
      <c r="G718" t="n">
        <v>0</v>
      </c>
      <c r="H718" t="n">
        <v>0.019608</v>
      </c>
      <c r="I718" t="n">
        <v>0.019468</v>
      </c>
      <c r="J718" t="n">
        <v>0.00014</v>
      </c>
      <c r="K718" s="4">
        <f>IFERROR(J718/I718,"")</f>
        <v/>
      </c>
      <c r="L718" s="4">
        <f>IFERROR((D718-E718)/E718,"")</f>
        <v/>
      </c>
      <c r="M718" s="19">
        <f>IFERROR(F718*G718/10000,"")</f>
        <v/>
      </c>
    </row>
    <row r="719">
      <c r="A719" t="inlineStr">
        <is>
          <t>2026-10-30</t>
        </is>
      </c>
      <c r="B719" t="inlineStr">
        <is>
          <t>160527</t>
        </is>
      </c>
      <c r="C719" t="inlineStr">
        <is>
          <t>博时研究优选LOF</t>
        </is>
      </c>
      <c r="D719" t="n">
        <v>497.4589</v>
      </c>
      <c r="E719" t="n">
        <v>496.9532</v>
      </c>
      <c r="F719" t="n">
        <v>0.6818</v>
      </c>
      <c r="G719" t="n">
        <v>0.5057</v>
      </c>
      <c r="H719" t="n">
        <v>0.033917</v>
      </c>
      <c r="I719" t="n">
        <v>0.033475</v>
      </c>
      <c r="J719" t="n">
        <v>0.000442</v>
      </c>
      <c r="K719" s="4">
        <f>IFERROR(J719/I719,"")</f>
        <v/>
      </c>
      <c r="L719" s="4">
        <f>IFERROR((D719-E719)/E719,"")</f>
        <v/>
      </c>
      <c r="M719" s="19">
        <f>IFERROR(F719*G719/10000,"")</f>
        <v/>
      </c>
    </row>
    <row r="720">
      <c r="A720" t="inlineStr">
        <is>
          <t>2026-10-30</t>
        </is>
      </c>
      <c r="B720" t="inlineStr">
        <is>
          <t>160529</t>
        </is>
      </c>
      <c r="C720" t="inlineStr">
        <is>
          <t>创业板博时定开</t>
        </is>
      </c>
      <c r="D720" t="n">
        <v>993.9862000000001</v>
      </c>
      <c r="E720" t="n">
        <v>993.9862000000001</v>
      </c>
      <c r="F720" t="n">
        <v>1.2068</v>
      </c>
      <c r="G720" t="n">
        <v>0</v>
      </c>
      <c r="H720" t="n">
        <v>0.119954</v>
      </c>
      <c r="I720" t="n">
        <v>0.116426</v>
      </c>
      <c r="J720" t="n">
        <v>0.003528</v>
      </c>
      <c r="K720" s="4">
        <f>IFERROR(J720/I720,"")</f>
        <v/>
      </c>
      <c r="L720" s="4">
        <f>IFERROR((D720-E720)/E720,"")</f>
        <v/>
      </c>
      <c r="M720" s="19">
        <f>IFERROR(F720*G720/10000,"")</f>
        <v/>
      </c>
    </row>
    <row r="721">
      <c r="A721" t="inlineStr">
        <is>
          <t>2026-10-30</t>
        </is>
      </c>
      <c r="B721" t="inlineStr">
        <is>
          <t>160607</t>
        </is>
      </c>
      <c r="C721" t="inlineStr">
        <is>
          <t>鹏华价值优势LOF</t>
        </is>
      </c>
      <c r="D721" t="n">
        <v>5514.8305</v>
      </c>
      <c r="E721" t="n">
        <v>5514.338</v>
      </c>
      <c r="F721" t="n">
        <v>0.735</v>
      </c>
      <c r="G721" t="n">
        <v>0.4925</v>
      </c>
      <c r="H721" t="n">
        <v>0.40534</v>
      </c>
      <c r="I721" t="n">
        <v>0.395378</v>
      </c>
      <c r="J721" t="n">
        <v>0.009962</v>
      </c>
      <c r="K721" s="4">
        <f>IFERROR(J721/I721,"")</f>
        <v/>
      </c>
      <c r="L721" s="4">
        <f>IFERROR((D721-E721)/E721,"")</f>
        <v/>
      </c>
      <c r="M721" s="19">
        <f>IFERROR(F721*G721/10000,"")</f>
        <v/>
      </c>
    </row>
    <row r="722">
      <c r="A722" t="inlineStr">
        <is>
          <t>2026-10-30</t>
        </is>
      </c>
      <c r="B722" t="inlineStr">
        <is>
          <t>160610</t>
        </is>
      </c>
      <c r="C722" t="inlineStr">
        <is>
          <t>鹏华动力LOF</t>
        </is>
      </c>
      <c r="D722" t="n">
        <v>2515.1919</v>
      </c>
      <c r="E722" t="n">
        <v>2515.1919</v>
      </c>
      <c r="F722" t="n">
        <v>1.142</v>
      </c>
      <c r="G722" t="n">
        <v>0</v>
      </c>
      <c r="H722" t="n">
        <v>0.287235</v>
      </c>
      <c r="I722" t="n">
        <v>0.277929</v>
      </c>
      <c r="J722" t="n">
        <v>0.009306</v>
      </c>
      <c r="K722" s="4">
        <f>IFERROR(J722/I722,"")</f>
        <v/>
      </c>
      <c r="L722" s="4">
        <f>IFERROR((D722-E722)/E722,"")</f>
        <v/>
      </c>
      <c r="M722" s="19">
        <f>IFERROR(F722*G722/10000,"")</f>
        <v/>
      </c>
    </row>
    <row r="723">
      <c r="A723" t="inlineStr">
        <is>
          <t>2026-10-30</t>
        </is>
      </c>
      <c r="B723" t="inlineStr">
        <is>
          <t>160611</t>
        </is>
      </c>
      <c r="C723" t="inlineStr">
        <is>
          <t>鹏华优质治理LOF</t>
        </is>
      </c>
      <c r="D723" t="n">
        <v>5809.1056</v>
      </c>
      <c r="E723" t="n">
        <v>5809.9556</v>
      </c>
      <c r="F723" t="n">
        <v>1.2499</v>
      </c>
      <c r="G723" t="n">
        <v>-0.85</v>
      </c>
      <c r="H723" t="n">
        <v>0.7260799999999999</v>
      </c>
      <c r="I723" t="n">
        <v>0.718982</v>
      </c>
      <c r="J723" t="n">
        <v>0.007098</v>
      </c>
      <c r="K723" s="4">
        <f>IFERROR(J723/I723,"")</f>
        <v/>
      </c>
      <c r="L723" s="4">
        <f>IFERROR((D723-E723)/E723,"")</f>
        <v/>
      </c>
      <c r="M723" s="19">
        <f>IFERROR(F723*G723/10000,"")</f>
        <v/>
      </c>
    </row>
    <row r="724">
      <c r="A724" t="inlineStr">
        <is>
          <t>2026-10-30</t>
        </is>
      </c>
      <c r="B724" t="inlineStr">
        <is>
          <t>160613</t>
        </is>
      </c>
      <c r="C724" t="inlineStr">
        <is>
          <t>鹏华盛世创新LOF</t>
        </is>
      </c>
      <c r="D724" t="n">
        <v>765.1653</v>
      </c>
      <c r="E724" t="n">
        <v>765.2839</v>
      </c>
      <c r="F724" t="n">
        <v>1.1923</v>
      </c>
      <c r="G724" t="n">
        <v>-0.1186</v>
      </c>
      <c r="H724" t="n">
        <v>0.09123100000000001</v>
      </c>
      <c r="I724" t="n">
        <v>0.09155099999999999</v>
      </c>
      <c r="J724" t="n">
        <v>-0.00032</v>
      </c>
      <c r="K724" s="4">
        <f>IFERROR(J724/I724,"")</f>
        <v/>
      </c>
      <c r="L724" s="4">
        <f>IFERROR((D724-E724)/E724,"")</f>
        <v/>
      </c>
      <c r="M724" s="19">
        <f>IFERROR(F724*G724/10000,"")</f>
        <v/>
      </c>
    </row>
    <row r="725">
      <c r="A725" t="inlineStr">
        <is>
          <t>2026-10-30</t>
        </is>
      </c>
      <c r="B725" t="inlineStr">
        <is>
          <t>160615</t>
        </is>
      </c>
      <c r="C725" t="inlineStr">
        <is>
          <t>鹏华300LOF</t>
        </is>
      </c>
      <c r="D725" t="n">
        <v>351.5539</v>
      </c>
      <c r="E725" t="n">
        <v>352.1539</v>
      </c>
      <c r="F725" t="n">
        <v>1.2647</v>
      </c>
      <c r="G725" t="n">
        <v>-0.6</v>
      </c>
      <c r="H725" t="n">
        <v>0.044461</v>
      </c>
      <c r="I725" t="n">
        <v>0.044181</v>
      </c>
      <c r="J725" t="n">
        <v>0.00028</v>
      </c>
      <c r="K725" s="4">
        <f>IFERROR(J725/I725,"")</f>
        <v/>
      </c>
      <c r="L725" s="4">
        <f>IFERROR((D725-E725)/E725,"")</f>
        <v/>
      </c>
      <c r="M725" s="19">
        <f>IFERROR(F725*G725/10000,"")</f>
        <v/>
      </c>
    </row>
    <row r="726">
      <c r="A726" t="inlineStr">
        <is>
          <t>2026-10-30</t>
        </is>
      </c>
      <c r="B726" t="inlineStr">
        <is>
          <t>160616</t>
        </is>
      </c>
      <c r="C726" t="inlineStr">
        <is>
          <t>鹏华500LOF</t>
        </is>
      </c>
      <c r="D726" t="n">
        <v>356.7019</v>
      </c>
      <c r="E726" t="n">
        <v>356.7219</v>
      </c>
      <c r="F726" t="n">
        <v>2.003</v>
      </c>
      <c r="G726" t="n">
        <v>-0.02</v>
      </c>
      <c r="H726" t="n">
        <v>0.071447</v>
      </c>
      <c r="I726" t="n">
        <v>0.07013900000000001</v>
      </c>
      <c r="J726" t="n">
        <v>0.001308</v>
      </c>
      <c r="K726" s="4">
        <f>IFERROR(J726/I726,"")</f>
        <v/>
      </c>
      <c r="L726" s="4">
        <f>IFERROR((D726-E726)/E726,"")</f>
        <v/>
      </c>
      <c r="M726" s="19">
        <f>IFERROR(F726*G726/10000,"")</f>
        <v/>
      </c>
    </row>
    <row r="727">
      <c r="A727" t="inlineStr">
        <is>
          <t>2026-10-30</t>
        </is>
      </c>
      <c r="B727" t="inlineStr">
        <is>
          <t>160617</t>
        </is>
      </c>
      <c r="C727" t="inlineStr">
        <is>
          <t>鹏华丰润LOF</t>
        </is>
      </c>
      <c r="D727" t="n">
        <v>140.5786</v>
      </c>
      <c r="E727" t="n">
        <v>140.5786</v>
      </c>
      <c r="F727" t="n">
        <v>1.1139</v>
      </c>
      <c r="G727" t="n">
        <v>0</v>
      </c>
      <c r="H727" t="n">
        <v>0.015659</v>
      </c>
      <c r="I727" t="n">
        <v>0.01566</v>
      </c>
      <c r="J727" t="n">
        <v>-1e-06</v>
      </c>
      <c r="K727" s="4">
        <f>IFERROR(J727/I727,"")</f>
        <v/>
      </c>
      <c r="L727" s="4">
        <f>IFERROR((D727-E727)/E727,"")</f>
        <v/>
      </c>
      <c r="M727" s="19">
        <f>IFERROR(F727*G727/10000,"")</f>
        <v/>
      </c>
    </row>
    <row r="728">
      <c r="A728" t="inlineStr">
        <is>
          <t>2026-10-30</t>
        </is>
      </c>
      <c r="B728" t="inlineStr">
        <is>
          <t>160618</t>
        </is>
      </c>
      <c r="C728" t="inlineStr">
        <is>
          <t>鹏华丰泽LOF</t>
        </is>
      </c>
      <c r="D728" t="n">
        <v>4464.4643</v>
      </c>
      <c r="E728" t="n">
        <v>4467.4943</v>
      </c>
      <c r="F728" t="n">
        <v>1.6369</v>
      </c>
      <c r="G728" t="n">
        <v>-3.03</v>
      </c>
      <c r="H728" t="n">
        <v>0.730788</v>
      </c>
      <c r="I728" t="n">
        <v>0.731105</v>
      </c>
      <c r="J728" t="n">
        <v>-0.000317</v>
      </c>
      <c r="K728" s="4">
        <f>IFERROR(J728/I728,"")</f>
        <v/>
      </c>
      <c r="L728" s="4">
        <f>IFERROR((D728-E728)/E728,"")</f>
        <v/>
      </c>
      <c r="M728" s="19">
        <f>IFERROR(F728*G728/10000,"")</f>
        <v/>
      </c>
    </row>
    <row r="729">
      <c r="A729" t="inlineStr">
        <is>
          <t>2026-10-30</t>
        </is>
      </c>
      <c r="B729" t="inlineStr">
        <is>
          <t>160620</t>
        </is>
      </c>
      <c r="C729" t="inlineStr">
        <is>
          <t>资源LOF</t>
        </is>
      </c>
      <c r="D729" t="n">
        <v>627.6468</v>
      </c>
      <c r="E729" t="n">
        <v>627.9468000000001</v>
      </c>
      <c r="F729" t="n">
        <v>2.4971</v>
      </c>
      <c r="G729" t="n">
        <v>-0.3</v>
      </c>
      <c r="H729" t="n">
        <v>0.15673</v>
      </c>
      <c r="I729" t="n">
        <v>0.156227</v>
      </c>
      <c r="J729" t="n">
        <v>0.000503</v>
      </c>
      <c r="K729" s="4">
        <f>IFERROR(J729/I729,"")</f>
        <v/>
      </c>
      <c r="L729" s="4">
        <f>IFERROR((D729-E729)/E729,"")</f>
        <v/>
      </c>
      <c r="M729" s="19">
        <f>IFERROR(F729*G729/10000,"")</f>
        <v/>
      </c>
    </row>
    <row r="730">
      <c r="A730" t="inlineStr">
        <is>
          <t>2026-10-30</t>
        </is>
      </c>
      <c r="B730" t="inlineStr">
        <is>
          <t>160621</t>
        </is>
      </c>
      <c r="C730" t="inlineStr">
        <is>
          <t>鹏华丰和LOF</t>
        </is>
      </c>
      <c r="D730" t="n">
        <v>93.5247</v>
      </c>
      <c r="E730" t="n">
        <v>93.5247</v>
      </c>
      <c r="F730" t="n">
        <v>1.4004</v>
      </c>
      <c r="G730" t="n">
        <v>0</v>
      </c>
      <c r="H730" t="n">
        <v>0.013097</v>
      </c>
      <c r="I730" t="n">
        <v>0.013095</v>
      </c>
      <c r="J730" t="n">
        <v>2e-06</v>
      </c>
      <c r="K730" s="4">
        <f>IFERROR(J730/I730,"")</f>
        <v/>
      </c>
      <c r="L730" s="4">
        <f>IFERROR((D730-E730)/E730,"")</f>
        <v/>
      </c>
      <c r="M730" s="19">
        <f>IFERROR(F730*G730/10000,"")</f>
        <v/>
      </c>
    </row>
    <row r="731">
      <c r="A731" t="inlineStr">
        <is>
          <t>2026-10-30</t>
        </is>
      </c>
      <c r="B731" t="inlineStr">
        <is>
          <t>160622</t>
        </is>
      </c>
      <c r="C731" t="inlineStr">
        <is>
          <t>鹏华丰利LOF</t>
        </is>
      </c>
      <c r="D731" t="n">
        <v>2259.7538</v>
      </c>
      <c r="E731" t="n">
        <v>2466.4638</v>
      </c>
      <c r="F731" t="n">
        <v>1.1462</v>
      </c>
      <c r="G731" t="n">
        <v>-206.71</v>
      </c>
      <c r="H731" t="n">
        <v>0.259013</v>
      </c>
      <c r="I731" t="n">
        <v>0.282558</v>
      </c>
      <c r="J731" t="n">
        <v>-0.023545</v>
      </c>
      <c r="K731" s="4">
        <f>IFERROR(J731/I731,"")</f>
        <v/>
      </c>
      <c r="L731" s="4">
        <f>IFERROR((D731-E731)/E731,"")</f>
        <v/>
      </c>
      <c r="M731" s="19">
        <f>IFERROR(F731*G731/10000,"")</f>
        <v/>
      </c>
    </row>
    <row r="732">
      <c r="A732" t="inlineStr">
        <is>
          <t>2026-10-30</t>
        </is>
      </c>
      <c r="B732" t="inlineStr">
        <is>
          <t>160625</t>
        </is>
      </c>
      <c r="C732" t="inlineStr">
        <is>
          <t>证保LOF</t>
        </is>
      </c>
      <c r="D732" t="n">
        <v>5626.3615</v>
      </c>
      <c r="E732" t="n">
        <v>5623.805</v>
      </c>
      <c r="F732" t="n">
        <v>0.7815</v>
      </c>
      <c r="G732" t="n">
        <v>2.5565</v>
      </c>
      <c r="H732" t="n">
        <v>0.4397</v>
      </c>
      <c r="I732" t="n">
        <v>0.442706</v>
      </c>
      <c r="J732" t="n">
        <v>-0.003006</v>
      </c>
      <c r="K732" s="4">
        <f>IFERROR(J732/I732,"")</f>
        <v/>
      </c>
      <c r="L732" s="4">
        <f>IFERROR((D732-E732)/E732,"")</f>
        <v/>
      </c>
      <c r="M732" s="19">
        <f>IFERROR(F732*G732/10000,"")</f>
        <v/>
      </c>
    </row>
    <row r="733">
      <c r="A733" t="inlineStr">
        <is>
          <t>2026-10-30</t>
        </is>
      </c>
      <c r="B733" t="inlineStr">
        <is>
          <t>160626</t>
        </is>
      </c>
      <c r="C733" t="inlineStr">
        <is>
          <t>信息LOF</t>
        </is>
      </c>
      <c r="D733" t="n">
        <v>879.2944</v>
      </c>
      <c r="E733" t="n">
        <v>878.5245</v>
      </c>
      <c r="F733" t="n">
        <v>1.317</v>
      </c>
      <c r="G733" t="n">
        <v>0.7699</v>
      </c>
      <c r="H733" t="n">
        <v>0.115803</v>
      </c>
      <c r="I733" t="n">
        <v>0.112073</v>
      </c>
      <c r="J733" t="n">
        <v>0.00373</v>
      </c>
      <c r="K733" s="4">
        <f>IFERROR(J733/I733,"")</f>
        <v/>
      </c>
      <c r="L733" s="4">
        <f>IFERROR((D733-E733)/E733,"")</f>
        <v/>
      </c>
      <c r="M733" s="19">
        <f>IFERROR(F733*G733/10000,"")</f>
        <v/>
      </c>
    </row>
    <row r="734">
      <c r="A734" t="inlineStr">
        <is>
          <t>2026-10-30</t>
        </is>
      </c>
      <c r="B734" t="inlineStr">
        <is>
          <t>160628</t>
        </is>
      </c>
      <c r="C734" t="inlineStr">
        <is>
          <t>地产LOF</t>
        </is>
      </c>
      <c r="D734" t="n">
        <v>1286.9987</v>
      </c>
      <c r="E734" t="n">
        <v>1293.2583</v>
      </c>
      <c r="F734" t="n">
        <v>0.4934</v>
      </c>
      <c r="G734" t="n">
        <v>-6.2596</v>
      </c>
      <c r="H734" t="n">
        <v>0.063501</v>
      </c>
      <c r="I734" t="n">
        <v>0.0639</v>
      </c>
      <c r="J734" t="n">
        <v>-0.000399</v>
      </c>
      <c r="K734" s="4">
        <f>IFERROR(J734/I734,"")</f>
        <v/>
      </c>
      <c r="L734" s="4">
        <f>IFERROR((D734-E734)/E734,"")</f>
        <v/>
      </c>
      <c r="M734" s="19">
        <f>IFERROR(F734*G734/10000,"")</f>
        <v/>
      </c>
    </row>
    <row r="735">
      <c r="A735" t="inlineStr">
        <is>
          <t>2026-10-30</t>
        </is>
      </c>
      <c r="B735" t="inlineStr">
        <is>
          <t>160629</t>
        </is>
      </c>
      <c r="C735" t="inlineStr">
        <is>
          <t>传媒LOF</t>
        </is>
      </c>
      <c r="D735" t="n">
        <v>999.0456</v>
      </c>
      <c r="E735" t="n">
        <v>999.0656</v>
      </c>
      <c r="F735" t="n">
        <v>1.0074</v>
      </c>
      <c r="G735" t="n">
        <v>-0.02</v>
      </c>
      <c r="H735" t="n">
        <v>0.100644</v>
      </c>
      <c r="I735" t="n">
        <v>0.09908699999999999</v>
      </c>
      <c r="J735" t="n">
        <v>0.001557</v>
      </c>
      <c r="K735" s="4">
        <f>IFERROR(J735/I735,"")</f>
        <v/>
      </c>
      <c r="L735" s="4">
        <f>IFERROR((D735-E735)/E735,"")</f>
        <v/>
      </c>
      <c r="M735" s="19">
        <f>IFERROR(F735*G735/10000,"")</f>
        <v/>
      </c>
    </row>
    <row r="736">
      <c r="A736" t="inlineStr">
        <is>
          <t>2026-10-30</t>
        </is>
      </c>
      <c r="B736" t="inlineStr">
        <is>
          <t>160630</t>
        </is>
      </c>
      <c r="C736" t="inlineStr">
        <is>
          <t>国防LOF</t>
        </is>
      </c>
      <c r="D736" t="n">
        <v>7927.2499</v>
      </c>
      <c r="E736" t="n">
        <v>7928.0736</v>
      </c>
      <c r="F736" t="n">
        <v>0.9106</v>
      </c>
      <c r="G736" t="n">
        <v>-0.8237</v>
      </c>
      <c r="H736" t="n">
        <v>0.721855</v>
      </c>
      <c r="I736" t="n">
        <v>0.715429</v>
      </c>
      <c r="J736" t="n">
        <v>0.006426</v>
      </c>
      <c r="K736" s="4">
        <f>IFERROR(J736/I736,"")</f>
        <v/>
      </c>
      <c r="L736" s="4">
        <f>IFERROR((D736-E736)/E736,"")</f>
        <v/>
      </c>
      <c r="M736" s="19">
        <f>IFERROR(F736*G736/10000,"")</f>
        <v/>
      </c>
    </row>
    <row r="737">
      <c r="A737" t="inlineStr">
        <is>
          <t>2026-10-30</t>
        </is>
      </c>
      <c r="B737" t="inlineStr">
        <is>
          <t>160631</t>
        </is>
      </c>
      <c r="C737" t="inlineStr">
        <is>
          <t>银行LOF基金</t>
        </is>
      </c>
      <c r="D737" t="n">
        <v>8408.686</v>
      </c>
      <c r="E737" t="n">
        <v>8408.755999999999</v>
      </c>
      <c r="F737" t="n">
        <v>1.4648</v>
      </c>
      <c r="G737" t="n">
        <v>-0.07000000000000001</v>
      </c>
      <c r="H737" t="n">
        <v>1.231704</v>
      </c>
      <c r="I737" t="n">
        <v>1.23903</v>
      </c>
      <c r="J737" t="n">
        <v>-0.007326</v>
      </c>
      <c r="K737" s="4">
        <f>IFERROR(J737/I737,"")</f>
        <v/>
      </c>
      <c r="L737" s="4">
        <f>IFERROR((D737-E737)/E737,"")</f>
        <v/>
      </c>
      <c r="M737" s="19">
        <f>IFERROR(F737*G737/10000,"")</f>
        <v/>
      </c>
    </row>
    <row r="738">
      <c r="A738" t="inlineStr">
        <is>
          <t>2026-10-30</t>
        </is>
      </c>
      <c r="B738" t="inlineStr">
        <is>
          <t>160632</t>
        </is>
      </c>
      <c r="C738" t="inlineStr">
        <is>
          <t>酒LOF</t>
        </is>
      </c>
      <c r="D738" t="n">
        <v>38220.6899</v>
      </c>
      <c r="E738" t="n">
        <v>38220.7599</v>
      </c>
      <c r="F738" t="n">
        <v>0.2555</v>
      </c>
      <c r="G738" t="n">
        <v>-0.07000000000000001</v>
      </c>
      <c r="H738" t="n">
        <v>0.976539</v>
      </c>
      <c r="I738" t="n">
        <v>0.994122</v>
      </c>
      <c r="J738" t="n">
        <v>-0.017583</v>
      </c>
      <c r="K738" s="4">
        <f>IFERROR(J738/I738,"")</f>
        <v/>
      </c>
      <c r="L738" s="4">
        <f>IFERROR((D738-E738)/E738,"")</f>
        <v/>
      </c>
      <c r="M738" s="19">
        <f>IFERROR(F738*G738/10000,"")</f>
        <v/>
      </c>
    </row>
    <row r="739">
      <c r="A739" t="inlineStr">
        <is>
          <t>2026-10-30</t>
        </is>
      </c>
      <c r="B739" t="inlineStr">
        <is>
          <t>160633</t>
        </is>
      </c>
      <c r="C739" t="inlineStr">
        <is>
          <t>券商LOF</t>
        </is>
      </c>
      <c r="D739" t="n">
        <v>2267.3756</v>
      </c>
      <c r="E739" t="n">
        <v>2273.0356</v>
      </c>
      <c r="F739" t="n">
        <v>0.9829</v>
      </c>
      <c r="G739" t="n">
        <v>-5.66</v>
      </c>
      <c r="H739" t="n">
        <v>0.22286</v>
      </c>
      <c r="I739" t="n">
        <v>0.225349</v>
      </c>
      <c r="J739" t="n">
        <v>-0.002489</v>
      </c>
      <c r="K739" s="4">
        <f>IFERROR(J739/I739,"")</f>
        <v/>
      </c>
      <c r="L739" s="4">
        <f>IFERROR((D739-E739)/E739,"")</f>
        <v/>
      </c>
      <c r="M739" s="19">
        <f>IFERROR(F739*G739/10000,"")</f>
        <v/>
      </c>
    </row>
    <row r="740">
      <c r="A740" t="inlineStr">
        <is>
          <t>2026-10-30</t>
        </is>
      </c>
      <c r="B740" t="inlineStr">
        <is>
          <t>160635</t>
        </is>
      </c>
      <c r="C740" t="inlineStr">
        <is>
          <t>医药LOF基金</t>
        </is>
      </c>
      <c r="D740" t="n">
        <v>596.2907</v>
      </c>
      <c r="E740" t="n">
        <v>596.2907</v>
      </c>
      <c r="F740" t="n">
        <v>0.8615</v>
      </c>
      <c r="G740" t="n">
        <v>0</v>
      </c>
      <c r="H740" t="n">
        <v>0.05137</v>
      </c>
      <c r="I740" t="n">
        <v>0.051084</v>
      </c>
      <c r="J740" t="n">
        <v>0.000286</v>
      </c>
      <c r="K740" s="4">
        <f>IFERROR(J740/I740,"")</f>
        <v/>
      </c>
      <c r="L740" s="4">
        <f>IFERROR((D740-E740)/E740,"")</f>
        <v/>
      </c>
      <c r="M740" s="19">
        <f>IFERROR(F740*G740/10000,"")</f>
        <v/>
      </c>
    </row>
    <row r="741">
      <c r="A741" t="inlineStr">
        <is>
          <t>2026-10-30</t>
        </is>
      </c>
      <c r="B741" t="inlineStr">
        <is>
          <t>160637</t>
        </is>
      </c>
      <c r="C741" t="inlineStr">
        <is>
          <t>创业板LOF基金</t>
        </is>
      </c>
      <c r="D741" t="n">
        <v>843.3482</v>
      </c>
      <c r="E741" t="n">
        <v>843.0859</v>
      </c>
      <c r="F741" t="n">
        <v>1.2405</v>
      </c>
      <c r="G741" t="n">
        <v>0.2623</v>
      </c>
      <c r="H741" t="n">
        <v>0.104617</v>
      </c>
      <c r="I741" t="n">
        <v>0.101347</v>
      </c>
      <c r="J741" t="n">
        <v>0.00327</v>
      </c>
      <c r="K741" s="4">
        <f>IFERROR(J741/I741,"")</f>
        <v/>
      </c>
      <c r="L741" s="4">
        <f>IFERROR((D741-E741)/E741,"")</f>
        <v/>
      </c>
      <c r="M741" s="19">
        <f>IFERROR(F741*G741/10000,"")</f>
        <v/>
      </c>
    </row>
    <row r="742">
      <c r="A742" t="inlineStr">
        <is>
          <t>2026-10-30</t>
        </is>
      </c>
      <c r="B742" t="inlineStr">
        <is>
          <t>160638</t>
        </is>
      </c>
      <c r="C742" t="inlineStr">
        <is>
          <t>带路LOF</t>
        </is>
      </c>
      <c r="D742" t="n">
        <v>276.3573</v>
      </c>
      <c r="E742" t="n">
        <v>276.3573</v>
      </c>
      <c r="F742" t="n">
        <v>2.6853</v>
      </c>
      <c r="G742" t="n">
        <v>0</v>
      </c>
      <c r="H742" t="n">
        <v>0.07421</v>
      </c>
      <c r="I742" t="n">
        <v>0.073522</v>
      </c>
      <c r="J742" t="n">
        <v>0.000688</v>
      </c>
      <c r="K742" s="4">
        <f>IFERROR(J742/I742,"")</f>
        <v/>
      </c>
      <c r="L742" s="4">
        <f>IFERROR((D742-E742)/E742,"")</f>
        <v/>
      </c>
      <c r="M742" s="19">
        <f>IFERROR(F742*G742/10000,"")</f>
        <v/>
      </c>
    </row>
    <row r="743">
      <c r="A743" t="inlineStr">
        <is>
          <t>2026-10-30</t>
        </is>
      </c>
      <c r="B743" t="inlineStr">
        <is>
          <t>160639</t>
        </is>
      </c>
      <c r="C743" t="inlineStr">
        <is>
          <t>高铁LOF</t>
        </is>
      </c>
      <c r="D743" t="n">
        <v>766.7415</v>
      </c>
      <c r="E743" t="n">
        <v>766.7415</v>
      </c>
      <c r="F743" t="n">
        <v>0.8385</v>
      </c>
      <c r="G743" t="n">
        <v>0</v>
      </c>
      <c r="H743" t="n">
        <v>0.064291</v>
      </c>
      <c r="I743" t="n">
        <v>0.06442199999999999</v>
      </c>
      <c r="J743" t="n">
        <v>-0.000131</v>
      </c>
      <c r="K743" s="4">
        <f>IFERROR(J743/I743,"")</f>
        <v/>
      </c>
      <c r="L743" s="4">
        <f>IFERROR((D743-E743)/E743,"")</f>
        <v/>
      </c>
      <c r="M743" s="19">
        <f>IFERROR(F743*G743/10000,"")</f>
        <v/>
      </c>
    </row>
    <row r="744">
      <c r="A744" t="inlineStr">
        <is>
          <t>2026-10-30</t>
        </is>
      </c>
      <c r="B744" t="inlineStr">
        <is>
          <t>160641</t>
        </is>
      </c>
      <c r="C744" t="inlineStr">
        <is>
          <t>鹏华丰锐LOF</t>
        </is>
      </c>
      <c r="D744" t="n">
        <v>55.0996</v>
      </c>
      <c r="E744" t="n">
        <v>55.0898</v>
      </c>
      <c r="F744" t="n">
        <v>101.8563</v>
      </c>
      <c r="G744" t="n">
        <v>0.0098</v>
      </c>
      <c r="H744" t="n">
        <v>0.5612239999999999</v>
      </c>
      <c r="I744" t="n">
        <v>0.5584440000000001</v>
      </c>
      <c r="J744" t="n">
        <v>0.00278</v>
      </c>
      <c r="K744" s="4">
        <f>IFERROR(J744/I744,"")</f>
        <v/>
      </c>
      <c r="L744" s="4">
        <f>IFERROR((D744-E744)/E744,"")</f>
        <v/>
      </c>
      <c r="M744" s="19">
        <f>IFERROR(F744*G744/10000,"")</f>
        <v/>
      </c>
    </row>
    <row r="745">
      <c r="A745" t="inlineStr">
        <is>
          <t>2026-10-30</t>
        </is>
      </c>
      <c r="B745" t="inlineStr">
        <is>
          <t>160642</t>
        </is>
      </c>
      <c r="C745" t="inlineStr">
        <is>
          <t>鹏华增瑞LOF</t>
        </is>
      </c>
      <c r="D745" t="n">
        <v>57.8333</v>
      </c>
      <c r="E745" t="n">
        <v>57.8333</v>
      </c>
      <c r="F745" t="n">
        <v>2.4231</v>
      </c>
      <c r="G745" t="n">
        <v>0</v>
      </c>
      <c r="H745" t="n">
        <v>0.014014</v>
      </c>
      <c r="I745" t="n">
        <v>0.01387</v>
      </c>
      <c r="J745" t="n">
        <v>0.000144</v>
      </c>
      <c r="K745" s="4">
        <f>IFERROR(J745/I745,"")</f>
        <v/>
      </c>
      <c r="L745" s="4">
        <f>IFERROR((D745-E745)/E745,"")</f>
        <v/>
      </c>
      <c r="M745" s="19">
        <f>IFERROR(F745*G745/10000,"")</f>
        <v/>
      </c>
    </row>
    <row r="746">
      <c r="A746" t="inlineStr">
        <is>
          <t>2026-10-30</t>
        </is>
      </c>
      <c r="B746" t="inlineStr">
        <is>
          <t>160643</t>
        </is>
      </c>
      <c r="C746" t="inlineStr">
        <is>
          <t>空天军工LOF</t>
        </is>
      </c>
      <c r="D746" t="n">
        <v>2948.1755</v>
      </c>
      <c r="E746" t="n">
        <v>2948.17</v>
      </c>
      <c r="F746" t="n">
        <v>1.0725</v>
      </c>
      <c r="G746" t="n">
        <v>0.0055</v>
      </c>
      <c r="H746" t="n">
        <v>0.316192</v>
      </c>
      <c r="I746" t="n">
        <v>0.31283</v>
      </c>
      <c r="J746" t="n">
        <v>0.003362</v>
      </c>
      <c r="K746" s="4">
        <f>IFERROR(J746/I746,"")</f>
        <v/>
      </c>
      <c r="L746" s="4">
        <f>IFERROR((D746-E746)/E746,"")</f>
        <v/>
      </c>
      <c r="M746" s="19">
        <f>IFERROR(F746*G746/10000,"")</f>
        <v/>
      </c>
    </row>
    <row r="747">
      <c r="A747" t="inlineStr">
        <is>
          <t>2026-10-30</t>
        </is>
      </c>
      <c r="B747" t="inlineStr">
        <is>
          <t>160644</t>
        </is>
      </c>
      <c r="C747" t="inlineStr">
        <is>
          <t>港美互联网LOF</t>
        </is>
      </c>
      <c r="D747" t="n">
        <v>45598.6216</v>
      </c>
      <c r="E747" t="n">
        <v>45624.3616</v>
      </c>
      <c r="F747" t="n">
        <v>1.6851</v>
      </c>
      <c r="G747" t="n">
        <v>-25.74</v>
      </c>
      <c r="H747" t="n">
        <v>7.683824</v>
      </c>
      <c r="I747" t="n">
        <v>7.516614</v>
      </c>
      <c r="J747" t="n">
        <v>0.16721</v>
      </c>
      <c r="K747" s="4">
        <f>IFERROR(J747/I747,"")</f>
        <v/>
      </c>
      <c r="L747" s="4">
        <f>IFERROR((D747-E747)/E747,"")</f>
        <v/>
      </c>
      <c r="M747" s="19">
        <f>IFERROR(F747*G747/10000,"")</f>
        <v/>
      </c>
    </row>
    <row r="748">
      <c r="A748" t="inlineStr">
        <is>
          <t>2026-10-30</t>
        </is>
      </c>
      <c r="B748" t="inlineStr">
        <is>
          <t>160706</t>
        </is>
      </c>
      <c r="C748" t="inlineStr">
        <is>
          <t>沪深300LOF</t>
        </is>
      </c>
      <c r="D748" t="n">
        <v>25208.2844</v>
      </c>
      <c r="E748" t="n">
        <v>25206.2937</v>
      </c>
      <c r="F748" t="n">
        <v>1.0694</v>
      </c>
      <c r="G748" t="n">
        <v>1.9907</v>
      </c>
      <c r="H748" t="n">
        <v>2.695774</v>
      </c>
      <c r="I748" t="n">
        <v>2.674388</v>
      </c>
      <c r="J748" t="n">
        <v>0.021386</v>
      </c>
      <c r="K748" s="4">
        <f>IFERROR(J748/I748,"")</f>
        <v/>
      </c>
      <c r="L748" s="4">
        <f>IFERROR((D748-E748)/E748,"")</f>
        <v/>
      </c>
      <c r="M748" s="19">
        <f>IFERROR(F748*G748/10000,"")</f>
        <v/>
      </c>
    </row>
    <row r="749">
      <c r="A749" t="inlineStr">
        <is>
          <t>2026-10-30</t>
        </is>
      </c>
      <c r="B749" t="inlineStr">
        <is>
          <t>160716</t>
        </is>
      </c>
      <c r="C749" t="inlineStr">
        <is>
          <t>基本面50LOF</t>
        </is>
      </c>
      <c r="D749" t="n">
        <v>1267.3563</v>
      </c>
      <c r="E749" t="n">
        <v>1267.3763</v>
      </c>
      <c r="F749" t="n">
        <v>2.1201</v>
      </c>
      <c r="G749" t="n">
        <v>-0.02</v>
      </c>
      <c r="H749" t="n">
        <v>0.268692</v>
      </c>
      <c r="I749" t="n">
        <v>0.269634</v>
      </c>
      <c r="J749" t="n">
        <v>-0.000942</v>
      </c>
      <c r="K749" s="4">
        <f>IFERROR(J749/I749,"")</f>
        <v/>
      </c>
      <c r="L749" s="4">
        <f>IFERROR((D749-E749)/E749,"")</f>
        <v/>
      </c>
      <c r="M749" s="19">
        <f>IFERROR(F749*G749/10000,"")</f>
        <v/>
      </c>
    </row>
    <row r="750">
      <c r="A750" t="inlineStr">
        <is>
          <t>2026-10-30</t>
        </is>
      </c>
      <c r="B750" t="inlineStr">
        <is>
          <t>160717</t>
        </is>
      </c>
      <c r="C750" t="inlineStr">
        <is>
          <t>H股LOF</t>
        </is>
      </c>
      <c r="D750" t="n">
        <v>3824.6807</v>
      </c>
      <c r="E750" t="n">
        <v>3824.6807</v>
      </c>
      <c r="F750" t="n">
        <v>0.6679</v>
      </c>
      <c r="G750" t="n">
        <v>0</v>
      </c>
      <c r="H750" t="n">
        <v>0.25545</v>
      </c>
      <c r="I750" t="n">
        <v>0.254724</v>
      </c>
      <c r="J750" t="n">
        <v>0.000726</v>
      </c>
      <c r="K750" s="4">
        <f>IFERROR(J750/I750,"")</f>
        <v/>
      </c>
      <c r="L750" s="4">
        <f>IFERROR((D750-E750)/E750,"")</f>
        <v/>
      </c>
      <c r="M750" s="19">
        <f>IFERROR(F750*G750/10000,"")</f>
        <v/>
      </c>
    </row>
    <row r="751">
      <c r="A751" t="inlineStr">
        <is>
          <t>2026-10-30</t>
        </is>
      </c>
      <c r="B751" t="inlineStr">
        <is>
          <t>160719</t>
        </is>
      </c>
      <c r="C751" t="inlineStr">
        <is>
          <t>嘉实黄金LOF</t>
        </is>
      </c>
      <c r="D751" t="n">
        <v>9393.047399999999</v>
      </c>
      <c r="E751" t="n">
        <v>9393.071400000001</v>
      </c>
      <c r="F751" t="n">
        <v>1.788</v>
      </c>
      <c r="G751" t="n">
        <v>-0.024</v>
      </c>
      <c r="H751" t="n">
        <v>1.679477</v>
      </c>
      <c r="I751" t="n">
        <v>1.660695</v>
      </c>
      <c r="J751" t="n">
        <v>0.018782</v>
      </c>
      <c r="K751" s="4">
        <f>IFERROR(J751/I751,"")</f>
        <v/>
      </c>
      <c r="L751" s="4">
        <f>IFERROR((D751-E751)/E751,"")</f>
        <v/>
      </c>
      <c r="M751" s="19">
        <f>IFERROR(F751*G751/10000,"")</f>
        <v/>
      </c>
    </row>
    <row r="752">
      <c r="A752" t="inlineStr">
        <is>
          <t>2026-10-30</t>
        </is>
      </c>
      <c r="B752" t="inlineStr">
        <is>
          <t>160722</t>
        </is>
      </c>
      <c r="C752" t="inlineStr">
        <is>
          <t>嘉实惠泽LOF</t>
        </is>
      </c>
      <c r="D752" t="n">
        <v>273.6412</v>
      </c>
      <c r="E752" t="n">
        <v>273.6412</v>
      </c>
      <c r="F752" t="n">
        <v>1.7534</v>
      </c>
      <c r="G752" t="n">
        <v>0</v>
      </c>
      <c r="H752" t="n">
        <v>0.04798</v>
      </c>
      <c r="I752" t="n">
        <v>0.04667</v>
      </c>
      <c r="J752" t="n">
        <v>0.00131</v>
      </c>
      <c r="K752" s="4">
        <f>IFERROR(J752/I752,"")</f>
        <v/>
      </c>
      <c r="L752" s="4">
        <f>IFERROR((D752-E752)/E752,"")</f>
        <v/>
      </c>
      <c r="M752" s="19">
        <f>IFERROR(F752*G752/10000,"")</f>
        <v/>
      </c>
    </row>
    <row r="753">
      <c r="A753" t="inlineStr">
        <is>
          <t>2026-10-30</t>
        </is>
      </c>
      <c r="B753" t="inlineStr">
        <is>
          <t>160723</t>
        </is>
      </c>
      <c r="C753" t="inlineStr">
        <is>
          <t>嘉实原油LOF</t>
        </is>
      </c>
      <c r="D753" t="n">
        <v>49087.9342</v>
      </c>
      <c r="E753" t="n">
        <v>49106.9642</v>
      </c>
      <c r="F753" t="n">
        <v>2.5456</v>
      </c>
      <c r="G753" t="n">
        <v>-19.03</v>
      </c>
      <c r="H753" t="n">
        <v>12.495825</v>
      </c>
      <c r="I753" t="n">
        <v>12.66174</v>
      </c>
      <c r="J753" t="n">
        <v>-0.165915</v>
      </c>
      <c r="K753" s="4">
        <f>IFERROR(J753/I753,"")</f>
        <v/>
      </c>
      <c r="L753" s="4">
        <f>IFERROR((D753-E753)/E753,"")</f>
        <v/>
      </c>
      <c r="M753" s="19">
        <f>IFERROR(F753*G753/10000,"")</f>
        <v/>
      </c>
    </row>
    <row r="754">
      <c r="A754" t="inlineStr">
        <is>
          <t>2026-10-30</t>
        </is>
      </c>
      <c r="B754" t="inlineStr">
        <is>
          <t>160726</t>
        </is>
      </c>
      <c r="C754" t="inlineStr">
        <is>
          <t>嘉实瑞享定开</t>
        </is>
      </c>
      <c r="D754" t="n">
        <v>1505.2913</v>
      </c>
      <c r="E754" t="n">
        <v>1505.2913</v>
      </c>
      <c r="F754" t="n">
        <v>0.9725</v>
      </c>
      <c r="G754" t="n">
        <v>0</v>
      </c>
      <c r="H754" t="n">
        <v>0.14639</v>
      </c>
      <c r="I754" t="n">
        <v>0.144553</v>
      </c>
      <c r="J754" t="n">
        <v>0.001837</v>
      </c>
      <c r="K754" s="4">
        <f>IFERROR(J754/I754,"")</f>
        <v/>
      </c>
      <c r="L754" s="4">
        <f>IFERROR((D754-E754)/E754,"")</f>
        <v/>
      </c>
      <c r="M754" s="19">
        <f>IFERROR(F754*G754/10000,"")</f>
        <v/>
      </c>
    </row>
    <row r="755">
      <c r="A755" t="inlineStr">
        <is>
          <t>2026-10-30</t>
        </is>
      </c>
      <c r="B755" t="inlineStr">
        <is>
          <t>160805</t>
        </is>
      </c>
      <c r="C755" t="inlineStr">
        <is>
          <t>长盛同智LOF</t>
        </is>
      </c>
      <c r="D755" t="n">
        <v>3579.1412</v>
      </c>
      <c r="E755" t="n">
        <v>3579.1412</v>
      </c>
      <c r="F755" t="n">
        <v>0.6479</v>
      </c>
      <c r="G755" t="n">
        <v>0</v>
      </c>
      <c r="H755" t="n">
        <v>0.231893</v>
      </c>
      <c r="I755" t="n">
        <v>0.230389</v>
      </c>
      <c r="J755" t="n">
        <v>0.001504</v>
      </c>
      <c r="K755" s="4">
        <f>IFERROR(J755/I755,"")</f>
        <v/>
      </c>
      <c r="L755" s="4">
        <f>IFERROR((D755-E755)/E755,"")</f>
        <v/>
      </c>
      <c r="M755" s="19">
        <f>IFERROR(F755*G755/10000,"")</f>
        <v/>
      </c>
    </row>
    <row r="756">
      <c r="A756" t="inlineStr">
        <is>
          <t>2026-10-30</t>
        </is>
      </c>
      <c r="B756" t="inlineStr">
        <is>
          <t>160806</t>
        </is>
      </c>
      <c r="C756" t="inlineStr">
        <is>
          <t>长盛中证800LOF</t>
        </is>
      </c>
      <c r="D756" t="n">
        <v>2831.2505</v>
      </c>
      <c r="E756" t="n">
        <v>2831.813</v>
      </c>
      <c r="F756" t="n">
        <v>1.8455</v>
      </c>
      <c r="G756" t="n">
        <v>-0.5625</v>
      </c>
      <c r="H756" t="n">
        <v>0.5225070000000001</v>
      </c>
      <c r="I756" t="n">
        <v>0.515305</v>
      </c>
      <c r="J756" t="n">
        <v>0.007202</v>
      </c>
      <c r="K756" s="4">
        <f>IFERROR(J756/I756,"")</f>
        <v/>
      </c>
      <c r="L756" s="4">
        <f>IFERROR((D756-E756)/E756,"")</f>
        <v/>
      </c>
      <c r="M756" s="19">
        <f>IFERROR(F756*G756/10000,"")</f>
        <v/>
      </c>
    </row>
    <row r="757">
      <c r="A757" t="inlineStr">
        <is>
          <t>2026-10-30</t>
        </is>
      </c>
      <c r="B757" t="inlineStr">
        <is>
          <t>160807</t>
        </is>
      </c>
      <c r="C757" t="inlineStr">
        <is>
          <t>长盛沪深300LOF</t>
        </is>
      </c>
      <c r="D757" t="n">
        <v>120.2009</v>
      </c>
      <c r="E757" t="n">
        <v>120.0201</v>
      </c>
      <c r="F757" t="n">
        <v>1.6392</v>
      </c>
      <c r="G757" t="n">
        <v>0.1808</v>
      </c>
      <c r="H757" t="n">
        <v>0.019703</v>
      </c>
      <c r="I757" t="n">
        <v>0.019442</v>
      </c>
      <c r="J757" t="n">
        <v>0.000261</v>
      </c>
      <c r="K757" s="4">
        <f>IFERROR(J757/I757,"")</f>
        <v/>
      </c>
      <c r="L757" s="4">
        <f>IFERROR((D757-E757)/E757,"")</f>
        <v/>
      </c>
      <c r="M757" s="19">
        <f>IFERROR(F757*G757/10000,"")</f>
        <v/>
      </c>
    </row>
    <row r="758">
      <c r="A758" t="inlineStr">
        <is>
          <t>2026-10-30</t>
        </is>
      </c>
      <c r="B758" t="inlineStr">
        <is>
          <t>160812</t>
        </is>
      </c>
      <c r="C758" t="inlineStr">
        <is>
          <t>长盛同益LOF</t>
        </is>
      </c>
      <c r="D758" t="n">
        <v>4521.6985</v>
      </c>
      <c r="E758" t="n">
        <v>4521.6985</v>
      </c>
      <c r="F758" t="n">
        <v>2.044</v>
      </c>
      <c r="G758" t="n">
        <v>0</v>
      </c>
      <c r="H758" t="n">
        <v>0.924235</v>
      </c>
      <c r="I758" t="n">
        <v>0.907053</v>
      </c>
      <c r="J758" t="n">
        <v>0.017182</v>
      </c>
      <c r="K758" s="4">
        <f>IFERROR(J758/I758,"")</f>
        <v/>
      </c>
      <c r="L758" s="4">
        <f>IFERROR((D758-E758)/E758,"")</f>
        <v/>
      </c>
      <c r="M758" s="19">
        <f>IFERROR(F758*G758/10000,"")</f>
        <v/>
      </c>
    </row>
    <row r="759">
      <c r="A759" t="inlineStr">
        <is>
          <t>2026-10-30</t>
        </is>
      </c>
      <c r="B759" t="inlineStr">
        <is>
          <t>160813</t>
        </is>
      </c>
      <c r="C759" t="inlineStr">
        <is>
          <t>长盛同盛LOF</t>
        </is>
      </c>
      <c r="D759" t="n">
        <v>7933.8287</v>
      </c>
      <c r="E759" t="n">
        <v>7933.3738</v>
      </c>
      <c r="F759" t="n">
        <v>1.49</v>
      </c>
      <c r="G759" t="n">
        <v>0.4549</v>
      </c>
      <c r="H759" t="n">
        <v>1.18214</v>
      </c>
      <c r="I759" t="n">
        <v>1.140819</v>
      </c>
      <c r="J759" t="n">
        <v>0.041321</v>
      </c>
      <c r="K759" s="4">
        <f>IFERROR(J759/I759,"")</f>
        <v/>
      </c>
      <c r="L759" s="4">
        <f>IFERROR((D759-E759)/E759,"")</f>
        <v/>
      </c>
      <c r="M759" s="19">
        <f>IFERROR(F759*G759/10000,"")</f>
        <v/>
      </c>
    </row>
    <row r="760">
      <c r="A760" t="inlineStr">
        <is>
          <t>2026-10-30</t>
        </is>
      </c>
      <c r="B760" t="inlineStr">
        <is>
          <t>160910</t>
        </is>
      </c>
      <c r="C760" t="inlineStr">
        <is>
          <t>创新成长LOF</t>
        </is>
      </c>
      <c r="D760" t="n">
        <v>2183.3384</v>
      </c>
      <c r="E760" t="n">
        <v>2183.3384</v>
      </c>
      <c r="F760" t="n">
        <v>0.922</v>
      </c>
      <c r="G760" t="n">
        <v>0</v>
      </c>
      <c r="H760" t="n">
        <v>0.201304</v>
      </c>
      <c r="I760" t="n">
        <v>0.20174</v>
      </c>
      <c r="J760" t="n">
        <v>-0.000436</v>
      </c>
      <c r="K760" s="4">
        <f>IFERROR(J760/I760,"")</f>
        <v/>
      </c>
      <c r="L760" s="4">
        <f>IFERROR((D760-E760)/E760,"")</f>
        <v/>
      </c>
      <c r="M760" s="19">
        <f>IFERROR(F760*G760/10000,"")</f>
        <v/>
      </c>
    </row>
    <row r="761">
      <c r="A761" t="inlineStr">
        <is>
          <t>2026-10-30</t>
        </is>
      </c>
      <c r="B761" t="inlineStr">
        <is>
          <t>160916</t>
        </is>
      </c>
      <c r="C761" t="inlineStr">
        <is>
          <t>优选LOF</t>
        </is>
      </c>
      <c r="D761" t="n">
        <v>6500.5438</v>
      </c>
      <c r="E761" t="n">
        <v>6500.5438</v>
      </c>
      <c r="F761" t="n">
        <v>4.298</v>
      </c>
      <c r="G761" t="n">
        <v>0</v>
      </c>
      <c r="H761" t="n">
        <v>2.793934</v>
      </c>
      <c r="I761" t="n">
        <v>2.793284</v>
      </c>
      <c r="J761" t="n">
        <v>0.00065</v>
      </c>
      <c r="K761" s="4">
        <f>IFERROR(J761/I761,"")</f>
        <v/>
      </c>
      <c r="L761" s="4">
        <f>IFERROR((D761-E761)/E761,"")</f>
        <v/>
      </c>
      <c r="M761" s="19">
        <f>IFERROR(F761*G761/10000,"")</f>
        <v/>
      </c>
    </row>
    <row r="762">
      <c r="A762" t="inlineStr">
        <is>
          <t>2026-10-30</t>
        </is>
      </c>
      <c r="B762" t="inlineStr">
        <is>
          <t>160918</t>
        </is>
      </c>
      <c r="C762" t="inlineStr">
        <is>
          <t>中小盘LOF</t>
        </is>
      </c>
      <c r="D762" t="n">
        <v>4728.7657</v>
      </c>
      <c r="E762" t="n">
        <v>4728.7461</v>
      </c>
      <c r="F762" t="n">
        <v>2.5074</v>
      </c>
      <c r="G762" t="n">
        <v>0.0196</v>
      </c>
      <c r="H762" t="n">
        <v>1.185691</v>
      </c>
      <c r="I762" t="n">
        <v>1.186159</v>
      </c>
      <c r="J762" t="n">
        <v>-0.000468</v>
      </c>
      <c r="K762" s="4">
        <f>IFERROR(J762/I762,"")</f>
        <v/>
      </c>
      <c r="L762" s="4">
        <f>IFERROR((D762-E762)/E762,"")</f>
        <v/>
      </c>
      <c r="M762" s="19">
        <f>IFERROR(F762*G762/10000,"")</f>
        <v/>
      </c>
    </row>
    <row r="763">
      <c r="A763" t="inlineStr">
        <is>
          <t>2026-10-30</t>
        </is>
      </c>
      <c r="B763" t="inlineStr">
        <is>
          <t>160919</t>
        </is>
      </c>
      <c r="C763" t="inlineStr">
        <is>
          <t>产业升级LOF</t>
        </is>
      </c>
      <c r="D763" t="n">
        <v>8351.211300000001</v>
      </c>
      <c r="E763" t="n">
        <v>8349.394200000001</v>
      </c>
      <c r="F763" t="n">
        <v>3.0696</v>
      </c>
      <c r="G763" t="n">
        <v>1.8171</v>
      </c>
      <c r="H763" t="n">
        <v>2.563488</v>
      </c>
      <c r="I763" t="n">
        <v>2.551825</v>
      </c>
      <c r="J763" t="n">
        <v>0.011663</v>
      </c>
      <c r="K763" s="4">
        <f>IFERROR(J763/I763,"")</f>
        <v/>
      </c>
      <c r="L763" s="4">
        <f>IFERROR((D763-E763)/E763,"")</f>
        <v/>
      </c>
      <c r="M763" s="19">
        <f>IFERROR(F763*G763/10000,"")</f>
        <v/>
      </c>
    </row>
    <row r="764">
      <c r="A764" t="inlineStr">
        <is>
          <t>2026-10-30</t>
        </is>
      </c>
      <c r="B764" t="inlineStr">
        <is>
          <t>160921</t>
        </is>
      </c>
      <c r="C764" t="inlineStr">
        <is>
          <t>多策略LOF</t>
        </is>
      </c>
      <c r="D764" t="n">
        <v>184.4214</v>
      </c>
      <c r="E764" t="n">
        <v>186.4214</v>
      </c>
      <c r="F764" t="n">
        <v>1.3067</v>
      </c>
      <c r="G764" t="n">
        <v>-2</v>
      </c>
      <c r="H764" t="n">
        <v>0.024098</v>
      </c>
      <c r="I764" t="n">
        <v>0.0243</v>
      </c>
      <c r="J764" t="n">
        <v>-0.000202</v>
      </c>
      <c r="K764" s="4">
        <f>IFERROR(J764/I764,"")</f>
        <v/>
      </c>
      <c r="L764" s="4">
        <f>IFERROR((D764-E764)/E764,"")</f>
        <v/>
      </c>
      <c r="M764" s="19">
        <f>IFERROR(F764*G764/10000,"")</f>
        <v/>
      </c>
    </row>
    <row r="765">
      <c r="A765" t="inlineStr">
        <is>
          <t>2026-10-30</t>
        </is>
      </c>
      <c r="B765" t="inlineStr">
        <is>
          <t>160924</t>
        </is>
      </c>
      <c r="C765" t="inlineStr">
        <is>
          <t>恒生指数LOF</t>
        </is>
      </c>
      <c r="D765" t="n">
        <v>694.0808</v>
      </c>
      <c r="E765" t="n">
        <v>694.5208</v>
      </c>
      <c r="F765" t="n">
        <v>0.9098000000000001</v>
      </c>
      <c r="G765" t="n">
        <v>-0.44</v>
      </c>
      <c r="H765" t="n">
        <v>0.06314699999999999</v>
      </c>
      <c r="I765" t="n">
        <v>0.063056</v>
      </c>
      <c r="J765" t="n">
        <v>9.1e-05</v>
      </c>
      <c r="K765" s="4">
        <f>IFERROR(J765/I765,"")</f>
        <v/>
      </c>
      <c r="L765" s="4">
        <f>IFERROR((D765-E765)/E765,"")</f>
        <v/>
      </c>
      <c r="M765" s="19">
        <f>IFERROR(F765*G765/10000,"")</f>
        <v/>
      </c>
    </row>
    <row r="766">
      <c r="A766" t="inlineStr">
        <is>
          <t>2026-10-30</t>
        </is>
      </c>
      <c r="B766" t="inlineStr">
        <is>
          <t>160925</t>
        </is>
      </c>
      <c r="C766" t="inlineStr">
        <is>
          <t>沪深港300LOF</t>
        </is>
      </c>
      <c r="D766" t="n">
        <v>218.7117</v>
      </c>
      <c r="E766" t="n">
        <v>219.5817</v>
      </c>
      <c r="F766" t="n">
        <v>1.1838</v>
      </c>
      <c r="G766" t="n">
        <v>-0.87</v>
      </c>
      <c r="H766" t="n">
        <v>0.025891</v>
      </c>
      <c r="I766" t="n">
        <v>0.025825</v>
      </c>
      <c r="J766" t="n">
        <v>6.600000000000001e-05</v>
      </c>
      <c r="K766" s="4">
        <f>IFERROR(J766/I766,"")</f>
        <v/>
      </c>
      <c r="L766" s="4">
        <f>IFERROR((D766-E766)/E766,"")</f>
        <v/>
      </c>
      <c r="M766" s="19">
        <f>IFERROR(F766*G766/10000,"")</f>
        <v/>
      </c>
    </row>
    <row r="767">
      <c r="A767" t="inlineStr">
        <is>
          <t>2026-10-30</t>
        </is>
      </c>
      <c r="B767" t="inlineStr">
        <is>
          <t>160926</t>
        </is>
      </c>
      <c r="C767" t="inlineStr">
        <is>
          <t>创业板定开</t>
        </is>
      </c>
      <c r="D767" t="n">
        <v>2288.2078</v>
      </c>
      <c r="E767" t="n">
        <v>2288.2078</v>
      </c>
      <c r="F767" t="n">
        <v>0.9098000000000001</v>
      </c>
      <c r="G767" t="n">
        <v>0</v>
      </c>
      <c r="H767" t="n">
        <v>0.208181</v>
      </c>
      <c r="I767" t="n">
        <v>0.204909</v>
      </c>
      <c r="J767" t="n">
        <v>0.003272</v>
      </c>
      <c r="K767" s="4">
        <f>IFERROR(J767/I767,"")</f>
        <v/>
      </c>
      <c r="L767" s="4">
        <f>IFERROR((D767-E767)/E767,"")</f>
        <v/>
      </c>
      <c r="M767" s="19">
        <f>IFERROR(F767*G767/10000,"")</f>
        <v/>
      </c>
    </row>
    <row r="768">
      <c r="A768" t="inlineStr">
        <is>
          <t>2026-10-30</t>
        </is>
      </c>
      <c r="B768" t="inlineStr">
        <is>
          <t>161005</t>
        </is>
      </c>
      <c r="C768" t="inlineStr">
        <is>
          <t>富国天惠LOF</t>
        </is>
      </c>
      <c r="D768" t="n">
        <v>34529.4962</v>
      </c>
      <c r="E768" t="n">
        <v>34528.2152</v>
      </c>
      <c r="F768" t="n">
        <v>2.6193</v>
      </c>
      <c r="G768" t="n">
        <v>1.281</v>
      </c>
      <c r="H768" t="n">
        <v>9.044311</v>
      </c>
      <c r="I768" t="n">
        <v>8.915876000000001</v>
      </c>
      <c r="J768" t="n">
        <v>0.128435</v>
      </c>
      <c r="K768" s="4">
        <f>IFERROR(J768/I768,"")</f>
        <v/>
      </c>
      <c r="L768" s="4">
        <f>IFERROR((D768-E768)/E768,"")</f>
        <v/>
      </c>
      <c r="M768" s="19">
        <f>IFERROR(F768*G768/10000,"")</f>
        <v/>
      </c>
    </row>
    <row r="769">
      <c r="A769" t="inlineStr">
        <is>
          <t>2026-10-30</t>
        </is>
      </c>
      <c r="B769" t="inlineStr">
        <is>
          <t>161010</t>
        </is>
      </c>
      <c r="C769" t="inlineStr">
        <is>
          <t>富国天丰LOF</t>
        </is>
      </c>
      <c r="D769" t="n">
        <v>3563.8024</v>
      </c>
      <c r="E769" t="n">
        <v>3559.7494</v>
      </c>
      <c r="F769" t="n">
        <v>1.0717</v>
      </c>
      <c r="G769" t="n">
        <v>4.053</v>
      </c>
      <c r="H769" t="n">
        <v>0.381933</v>
      </c>
      <c r="I769" t="n">
        <v>0.37502</v>
      </c>
      <c r="J769" t="n">
        <v>0.006913</v>
      </c>
      <c r="K769" s="4">
        <f>IFERROR(J769/I769,"")</f>
        <v/>
      </c>
      <c r="L769" s="4">
        <f>IFERROR((D769-E769)/E769,"")</f>
        <v/>
      </c>
      <c r="M769" s="19">
        <f>IFERROR(F769*G769/10000,"")</f>
        <v/>
      </c>
    </row>
    <row r="770">
      <c r="A770" t="inlineStr">
        <is>
          <t>2026-10-30</t>
        </is>
      </c>
      <c r="B770" t="inlineStr">
        <is>
          <t>161014</t>
        </is>
      </c>
      <c r="C770" t="inlineStr">
        <is>
          <t>富国汇利定开</t>
        </is>
      </c>
      <c r="D770" t="n">
        <v>994.1552</v>
      </c>
      <c r="E770" t="n">
        <v>994.1552</v>
      </c>
      <c r="F770" t="n">
        <v>1.4545</v>
      </c>
      <c r="G770" t="n">
        <v>0</v>
      </c>
      <c r="H770" t="n">
        <v>0.1446</v>
      </c>
      <c r="I770" t="n">
        <v>0.144401</v>
      </c>
      <c r="J770" t="n">
        <v>0.000199</v>
      </c>
      <c r="K770" s="4">
        <f>IFERROR(J770/I770,"")</f>
        <v/>
      </c>
      <c r="L770" s="4">
        <f>IFERROR((D770-E770)/E770,"")</f>
        <v/>
      </c>
      <c r="M770" s="19">
        <f>IFERROR(F770*G770/10000,"")</f>
        <v/>
      </c>
    </row>
    <row r="771">
      <c r="A771" t="inlineStr">
        <is>
          <t>2026-10-30</t>
        </is>
      </c>
      <c r="B771" t="inlineStr">
        <is>
          <t>161015</t>
        </is>
      </c>
      <c r="C771" t="inlineStr">
        <is>
          <t>富国天盈LOF</t>
        </is>
      </c>
      <c r="D771" t="n">
        <v>1110.484</v>
      </c>
      <c r="E771" t="n">
        <v>1110.844</v>
      </c>
      <c r="F771" t="n">
        <v>1.3119</v>
      </c>
      <c r="G771" t="n">
        <v>-0.36</v>
      </c>
      <c r="H771" t="n">
        <v>0.145684</v>
      </c>
      <c r="I771" t="n">
        <v>0.145732</v>
      </c>
      <c r="J771" t="n">
        <v>-4.8e-05</v>
      </c>
      <c r="K771" s="4">
        <f>IFERROR(J771/I771,"")</f>
        <v/>
      </c>
      <c r="L771" s="4">
        <f>IFERROR((D771-E771)/E771,"")</f>
        <v/>
      </c>
      <c r="M771" s="19">
        <f>IFERROR(F771*G771/10000,"")</f>
        <v/>
      </c>
    </row>
    <row r="772">
      <c r="A772" t="inlineStr">
        <is>
          <t>2026-10-30</t>
        </is>
      </c>
      <c r="B772" t="inlineStr">
        <is>
          <t>161017</t>
        </is>
      </c>
      <c r="C772" t="inlineStr">
        <is>
          <t>500增强LOF</t>
        </is>
      </c>
      <c r="D772" t="n">
        <v>2397.3266</v>
      </c>
      <c r="E772" t="n">
        <v>2397.3901</v>
      </c>
      <c r="F772" t="n">
        <v>2.183</v>
      </c>
      <c r="G772" t="n">
        <v>-0.0635</v>
      </c>
      <c r="H772" t="n">
        <v>0.523336</v>
      </c>
      <c r="I772" t="n">
        <v>0.5123220000000001</v>
      </c>
      <c r="J772" t="n">
        <v>0.011014</v>
      </c>
      <c r="K772" s="4">
        <f>IFERROR(J772/I772,"")</f>
        <v/>
      </c>
      <c r="L772" s="4">
        <f>IFERROR((D772-E772)/E772,"")</f>
        <v/>
      </c>
      <c r="M772" s="19">
        <f>IFERROR(F772*G772/10000,"")</f>
        <v/>
      </c>
    </row>
    <row r="773">
      <c r="A773" t="inlineStr">
        <is>
          <t>2026-10-30</t>
        </is>
      </c>
      <c r="B773" t="inlineStr">
        <is>
          <t>161019</t>
        </is>
      </c>
      <c r="C773" t="inlineStr">
        <is>
          <t>富国天锋LOF</t>
        </is>
      </c>
      <c r="D773" t="n">
        <v>939.9163</v>
      </c>
      <c r="E773" t="n">
        <v>945.1663</v>
      </c>
      <c r="F773" t="n">
        <v>1.1975</v>
      </c>
      <c r="G773" t="n">
        <v>-5.25</v>
      </c>
      <c r="H773" t="n">
        <v>0.112555</v>
      </c>
      <c r="I773" t="n">
        <v>0.112919</v>
      </c>
      <c r="J773" t="n">
        <v>-0.000364</v>
      </c>
      <c r="K773" s="4">
        <f>IFERROR(J773/I773,"")</f>
        <v/>
      </c>
      <c r="L773" s="4">
        <f>IFERROR((D773-E773)/E773,"")</f>
        <v/>
      </c>
      <c r="M773" s="19">
        <f>IFERROR(F773*G773/10000,"")</f>
        <v/>
      </c>
    </row>
    <row r="774">
      <c r="A774" t="inlineStr">
        <is>
          <t>2026-10-30</t>
        </is>
      </c>
      <c r="B774" t="inlineStr">
        <is>
          <t>161024</t>
        </is>
      </c>
      <c r="C774" t="inlineStr">
        <is>
          <t>军工LOF</t>
        </is>
      </c>
      <c r="D774" t="n">
        <v>14814.1447</v>
      </c>
      <c r="E774" t="n">
        <v>14785.2626</v>
      </c>
      <c r="F774" t="n">
        <v>1.002</v>
      </c>
      <c r="G774" t="n">
        <v>28.8821</v>
      </c>
      <c r="H774" t="n">
        <v>1.484377</v>
      </c>
      <c r="I774" t="n">
        <v>1.469655</v>
      </c>
      <c r="J774" t="n">
        <v>0.014722</v>
      </c>
      <c r="K774" s="4">
        <f>IFERROR(J774/I774,"")</f>
        <v/>
      </c>
      <c r="L774" s="4">
        <f>IFERROR((D774-E774)/E774,"")</f>
        <v/>
      </c>
      <c r="M774" s="19">
        <f>IFERROR(F774*G774/10000,"")</f>
        <v/>
      </c>
    </row>
    <row r="775">
      <c r="A775" t="inlineStr">
        <is>
          <t>2026-10-30</t>
        </is>
      </c>
      <c r="B775" t="inlineStr">
        <is>
          <t>161025</t>
        </is>
      </c>
      <c r="C775" t="inlineStr">
        <is>
          <t>互联网LOF</t>
        </is>
      </c>
      <c r="D775" t="n">
        <v>3413.2946</v>
      </c>
      <c r="E775" t="n">
        <v>3412.7281</v>
      </c>
      <c r="F775" t="n">
        <v>1.239</v>
      </c>
      <c r="G775" t="n">
        <v>0.5665</v>
      </c>
      <c r="H775" t="n">
        <v>0.422907</v>
      </c>
      <c r="I775" t="n">
        <v>0.41294</v>
      </c>
      <c r="J775" t="n">
        <v>0.009967</v>
      </c>
      <c r="K775" s="4">
        <f>IFERROR(J775/I775,"")</f>
        <v/>
      </c>
      <c r="L775" s="4">
        <f>IFERROR((D775-E775)/E775,"")</f>
        <v/>
      </c>
      <c r="M775" s="19">
        <f>IFERROR(F775*G775/10000,"")</f>
        <v/>
      </c>
    </row>
    <row r="776">
      <c r="A776" t="inlineStr">
        <is>
          <t>2026-10-30</t>
        </is>
      </c>
      <c r="B776" t="inlineStr">
        <is>
          <t>161026</t>
        </is>
      </c>
      <c r="C776" t="inlineStr">
        <is>
          <t>国企改革LOF</t>
        </is>
      </c>
      <c r="D776" t="n">
        <v>16447.4164</v>
      </c>
      <c r="E776" t="n">
        <v>16464.1483</v>
      </c>
      <c r="F776" t="n">
        <v>1.113</v>
      </c>
      <c r="G776" t="n">
        <v>-16.7319</v>
      </c>
      <c r="H776" t="n">
        <v>1.830597</v>
      </c>
      <c r="I776" t="n">
        <v>1.825874</v>
      </c>
      <c r="J776" t="n">
        <v>0.004723</v>
      </c>
      <c r="K776" s="4">
        <f>IFERROR(J776/I776,"")</f>
        <v/>
      </c>
      <c r="L776" s="4">
        <f>IFERROR((D776-E776)/E776,"")</f>
        <v/>
      </c>
      <c r="M776" s="19">
        <f>IFERROR(F776*G776/10000,"")</f>
        <v/>
      </c>
    </row>
    <row r="777">
      <c r="A777" t="inlineStr">
        <is>
          <t>2026-10-30</t>
        </is>
      </c>
      <c r="B777" t="inlineStr">
        <is>
          <t>161027</t>
        </is>
      </c>
      <c r="C777" t="inlineStr">
        <is>
          <t>证券LOF</t>
        </is>
      </c>
      <c r="D777" t="n">
        <v>13419.1057</v>
      </c>
      <c r="E777" t="n">
        <v>13422.405</v>
      </c>
      <c r="F777" t="n">
        <v>0.95</v>
      </c>
      <c r="G777" t="n">
        <v>-3.2993</v>
      </c>
      <c r="H777" t="n">
        <v>1.274815</v>
      </c>
      <c r="I777" t="n">
        <v>1.285866</v>
      </c>
      <c r="J777" t="n">
        <v>-0.011051</v>
      </c>
      <c r="K777" s="4">
        <f>IFERROR(J777/I777,"")</f>
        <v/>
      </c>
      <c r="L777" s="4">
        <f>IFERROR((D777-E777)/E777,"")</f>
        <v/>
      </c>
      <c r="M777" s="19">
        <f>IFERROR(F777*G777/10000,"")</f>
        <v/>
      </c>
    </row>
    <row r="778">
      <c r="A778" t="inlineStr">
        <is>
          <t>2026-10-30</t>
        </is>
      </c>
      <c r="B778" t="inlineStr">
        <is>
          <t>161028</t>
        </is>
      </c>
      <c r="C778" t="inlineStr">
        <is>
          <t>新能源车LOF</t>
        </is>
      </c>
      <c r="D778" t="n">
        <v>7833.8709</v>
      </c>
      <c r="E778" t="n">
        <v>7833.8708</v>
      </c>
      <c r="F778" t="n">
        <v>0.841</v>
      </c>
      <c r="G778" t="n">
        <v>0.0001</v>
      </c>
      <c r="H778" t="n">
        <v>0.658829</v>
      </c>
      <c r="I778" t="n">
        <v>0.649428</v>
      </c>
      <c r="J778" t="n">
        <v>0.009401</v>
      </c>
      <c r="K778" s="4">
        <f>IFERROR(J778/I778,"")</f>
        <v/>
      </c>
      <c r="L778" s="4">
        <f>IFERROR((D778-E778)/E778,"")</f>
        <v/>
      </c>
      <c r="M778" s="19">
        <f>IFERROR(F778*G778/10000,"")</f>
        <v/>
      </c>
    </row>
    <row r="779">
      <c r="A779" t="inlineStr">
        <is>
          <t>2026-10-30</t>
        </is>
      </c>
      <c r="B779" t="inlineStr">
        <is>
          <t>161029</t>
        </is>
      </c>
      <c r="C779" t="inlineStr">
        <is>
          <t>银行龙头LOF</t>
        </is>
      </c>
      <c r="D779" t="n">
        <v>609.0852</v>
      </c>
      <c r="E779" t="n">
        <v>609.0852</v>
      </c>
      <c r="F779" t="n">
        <v>1.904</v>
      </c>
      <c r="G779" t="n">
        <v>0</v>
      </c>
      <c r="H779" t="n">
        <v>0.11597</v>
      </c>
      <c r="I779" t="n">
        <v>0.11664</v>
      </c>
      <c r="J779" t="n">
        <v>-0.00067</v>
      </c>
      <c r="K779" s="4">
        <f>IFERROR(J779/I779,"")</f>
        <v/>
      </c>
      <c r="L779" s="4">
        <f>IFERROR((D779-E779)/E779,"")</f>
        <v/>
      </c>
      <c r="M779" s="19">
        <f>IFERROR(F779*G779/10000,"")</f>
        <v/>
      </c>
    </row>
    <row r="780">
      <c r="A780" t="inlineStr">
        <is>
          <t>2026-10-30</t>
        </is>
      </c>
      <c r="B780" t="inlineStr">
        <is>
          <t>161030</t>
        </is>
      </c>
      <c r="C780" t="inlineStr">
        <is>
          <t>体育LOF</t>
        </is>
      </c>
      <c r="D780" t="n">
        <v>720.5245</v>
      </c>
      <c r="E780" t="n">
        <v>720.5245</v>
      </c>
      <c r="F780" t="n">
        <v>0.957</v>
      </c>
      <c r="G780" t="n">
        <v>0</v>
      </c>
      <c r="H780" t="n">
        <v>0.068954</v>
      </c>
      <c r="I780" t="n">
        <v>0.06765699999999999</v>
      </c>
      <c r="J780" t="n">
        <v>0.001297</v>
      </c>
      <c r="K780" s="4">
        <f>IFERROR(J780/I780,"")</f>
        <v/>
      </c>
      <c r="L780" s="4">
        <f>IFERROR((D780-E780)/E780,"")</f>
        <v/>
      </c>
      <c r="M780" s="19">
        <f>IFERROR(F780*G780/10000,"")</f>
        <v/>
      </c>
    </row>
    <row r="781">
      <c r="A781" t="inlineStr">
        <is>
          <t>2026-10-30</t>
        </is>
      </c>
      <c r="B781" t="inlineStr">
        <is>
          <t>161031</t>
        </is>
      </c>
      <c r="C781" t="inlineStr">
        <is>
          <t>工业40LOF</t>
        </is>
      </c>
      <c r="D781" t="n">
        <v>1139.2689</v>
      </c>
      <c r="E781" t="n">
        <v>1144.9533</v>
      </c>
      <c r="F781" t="n">
        <v>1.305</v>
      </c>
      <c r="G781" t="n">
        <v>-5.6844</v>
      </c>
      <c r="H781" t="n">
        <v>0.148675</v>
      </c>
      <c r="I781" t="n">
        <v>0.143921</v>
      </c>
      <c r="J781" t="n">
        <v>0.004754</v>
      </c>
      <c r="K781" s="4">
        <f>IFERROR(J781/I781,"")</f>
        <v/>
      </c>
      <c r="L781" s="4">
        <f>IFERROR((D781-E781)/E781,"")</f>
        <v/>
      </c>
      <c r="M781" s="19">
        <f>IFERROR(F781*G781/10000,"")</f>
        <v/>
      </c>
    </row>
    <row r="782">
      <c r="A782" t="inlineStr">
        <is>
          <t>2026-10-30</t>
        </is>
      </c>
      <c r="B782" t="inlineStr">
        <is>
          <t>161032</t>
        </is>
      </c>
      <c r="C782" t="inlineStr">
        <is>
          <t>煤炭龙头LOF</t>
        </is>
      </c>
      <c r="D782" t="n">
        <v>1134.8754</v>
      </c>
      <c r="E782" t="n">
        <v>1145.8754</v>
      </c>
      <c r="F782" t="n">
        <v>2.216</v>
      </c>
      <c r="G782" t="n">
        <v>-11</v>
      </c>
      <c r="H782" t="n">
        <v>0.251488</v>
      </c>
      <c r="I782" t="n">
        <v>0.253582</v>
      </c>
      <c r="J782" t="n">
        <v>-0.002094</v>
      </c>
      <c r="K782" s="4">
        <f>IFERROR(J782/I782,"")</f>
        <v/>
      </c>
      <c r="L782" s="4">
        <f>IFERROR((D782-E782)/E782,"")</f>
        <v/>
      </c>
      <c r="M782" s="19">
        <f>IFERROR(F782*G782/10000,"")</f>
        <v/>
      </c>
    </row>
    <row r="783">
      <c r="A783" t="inlineStr">
        <is>
          <t>2026-10-30</t>
        </is>
      </c>
      <c r="B783" t="inlineStr">
        <is>
          <t>161033</t>
        </is>
      </c>
      <c r="C783" t="inlineStr">
        <is>
          <t>智能汽车LOF</t>
        </is>
      </c>
      <c r="D783" t="n">
        <v>276.5244</v>
      </c>
      <c r="E783" t="n">
        <v>276.5229</v>
      </c>
      <c r="F783" t="n">
        <v>1.603</v>
      </c>
      <c r="G783" t="n">
        <v>0.0015</v>
      </c>
      <c r="H783" t="n">
        <v>0.044327</v>
      </c>
      <c r="I783" t="n">
        <v>0.04311</v>
      </c>
      <c r="J783" t="n">
        <v>0.001217</v>
      </c>
      <c r="K783" s="4">
        <f>IFERROR(J783/I783,"")</f>
        <v/>
      </c>
      <c r="L783" s="4">
        <f>IFERROR((D783-E783)/E783,"")</f>
        <v/>
      </c>
      <c r="M783" s="19">
        <f>IFERROR(F783*G783/10000,"")</f>
        <v/>
      </c>
    </row>
    <row r="784">
      <c r="A784" t="inlineStr">
        <is>
          <t>2026-10-30</t>
        </is>
      </c>
      <c r="B784" t="inlineStr">
        <is>
          <t>161035</t>
        </is>
      </c>
      <c r="C784" t="inlineStr">
        <is>
          <t>医药增强LOF</t>
        </is>
      </c>
      <c r="D784" t="n">
        <v>432.0636</v>
      </c>
      <c r="E784" t="n">
        <v>432.0636</v>
      </c>
      <c r="F784" t="n">
        <v>1.239</v>
      </c>
      <c r="G784" t="n">
        <v>0</v>
      </c>
      <c r="H784" t="n">
        <v>0.053533</v>
      </c>
      <c r="I784" t="n">
        <v>0.052712</v>
      </c>
      <c r="J784" t="n">
        <v>0.000821</v>
      </c>
      <c r="K784" s="4">
        <f>IFERROR(J784/I784,"")</f>
        <v/>
      </c>
      <c r="L784" s="4">
        <f>IFERROR((D784-E784)/E784,"")</f>
        <v/>
      </c>
      <c r="M784" s="19">
        <f>IFERROR(F784*G784/10000,"")</f>
        <v/>
      </c>
    </row>
    <row r="785">
      <c r="A785" t="inlineStr">
        <is>
          <t>2026-10-30</t>
        </is>
      </c>
      <c r="B785" t="inlineStr">
        <is>
          <t>161036</t>
        </is>
      </c>
      <c r="C785" t="inlineStr">
        <is>
          <t>娱乐增强LOF</t>
        </is>
      </c>
      <c r="D785" t="n">
        <v>533.8187</v>
      </c>
      <c r="E785" t="n">
        <v>539.0187</v>
      </c>
      <c r="F785" t="n">
        <v>0.6346000000000001</v>
      </c>
      <c r="G785" t="n">
        <v>-5.2</v>
      </c>
      <c r="H785" t="n">
        <v>0.033876</v>
      </c>
      <c r="I785" t="n">
        <v>0.033726</v>
      </c>
      <c r="J785" t="n">
        <v>0.00015</v>
      </c>
      <c r="K785" s="4">
        <f>IFERROR(J785/I785,"")</f>
        <v/>
      </c>
      <c r="L785" s="4">
        <f>IFERROR((D785-E785)/E785,"")</f>
        <v/>
      </c>
      <c r="M785" s="19">
        <f>IFERROR(F785*G785/10000,"")</f>
        <v/>
      </c>
    </row>
    <row r="786">
      <c r="A786" t="inlineStr">
        <is>
          <t>2026-10-30</t>
        </is>
      </c>
      <c r="B786" t="inlineStr">
        <is>
          <t>161037</t>
        </is>
      </c>
      <c r="C786" t="inlineStr">
        <is>
          <t>高端制造LOF</t>
        </is>
      </c>
      <c r="D786" t="n">
        <v>274.6063</v>
      </c>
      <c r="E786" t="n">
        <v>277.7163</v>
      </c>
      <c r="F786" t="n">
        <v>2.34</v>
      </c>
      <c r="G786" t="n">
        <v>-3.11</v>
      </c>
      <c r="H786" t="n">
        <v>0.064258</v>
      </c>
      <c r="I786" t="n">
        <v>0.06310499999999999</v>
      </c>
      <c r="J786" t="n">
        <v>0.001153</v>
      </c>
      <c r="K786" s="4">
        <f>IFERROR(J786/I786,"")</f>
        <v/>
      </c>
      <c r="L786" s="4">
        <f>IFERROR((D786-E786)/E786,"")</f>
        <v/>
      </c>
      <c r="M786" s="19">
        <f>IFERROR(F786*G786/10000,"")</f>
        <v/>
      </c>
    </row>
    <row r="787">
      <c r="A787" t="inlineStr">
        <is>
          <t>2026-10-30</t>
        </is>
      </c>
      <c r="B787" t="inlineStr">
        <is>
          <t>161038</t>
        </is>
      </c>
      <c r="C787" t="inlineStr">
        <is>
          <t>成长LOF</t>
        </is>
      </c>
      <c r="D787" t="n">
        <v>101.6458</v>
      </c>
      <c r="E787" t="n">
        <v>101.8458</v>
      </c>
      <c r="F787" t="n">
        <v>1.3451</v>
      </c>
      <c r="G787" t="n">
        <v>-0.2</v>
      </c>
      <c r="H787" t="n">
        <v>0.013672</v>
      </c>
      <c r="I787" t="n">
        <v>0.01318</v>
      </c>
      <c r="J787" t="n">
        <v>0.000492</v>
      </c>
      <c r="K787" s="4">
        <f>IFERROR(J787/I787,"")</f>
        <v/>
      </c>
      <c r="L787" s="4">
        <f>IFERROR((D787-E787)/E787,"")</f>
        <v/>
      </c>
      <c r="M787" s="19">
        <f>IFERROR(F787*G787/10000,"")</f>
        <v/>
      </c>
    </row>
    <row r="788">
      <c r="A788" t="inlineStr">
        <is>
          <t>2026-10-30</t>
        </is>
      </c>
      <c r="B788" t="inlineStr">
        <is>
          <t>161039</t>
        </is>
      </c>
      <c r="C788" t="inlineStr">
        <is>
          <t>1000增强LOF</t>
        </is>
      </c>
      <c r="D788" t="n">
        <v>539.485</v>
      </c>
      <c r="E788" t="n">
        <v>538.4146</v>
      </c>
      <c r="F788" t="n">
        <v>2.3055</v>
      </c>
      <c r="G788" t="n">
        <v>1.0704</v>
      </c>
      <c r="H788" t="n">
        <v>0.124378</v>
      </c>
      <c r="I788" t="n">
        <v>0.121149</v>
      </c>
      <c r="J788" t="n">
        <v>0.003229</v>
      </c>
      <c r="K788" s="4">
        <f>IFERROR(J788/I788,"")</f>
        <v/>
      </c>
      <c r="L788" s="4">
        <f>IFERROR((D788-E788)/E788,"")</f>
        <v/>
      </c>
      <c r="M788" s="19">
        <f>IFERROR(F788*G788/10000,"")</f>
        <v/>
      </c>
    </row>
    <row r="789">
      <c r="A789" t="inlineStr">
        <is>
          <t>2026-10-30</t>
        </is>
      </c>
      <c r="B789" t="inlineStr">
        <is>
          <t>161040</t>
        </is>
      </c>
      <c r="C789" t="inlineStr">
        <is>
          <t>创业富国定开</t>
        </is>
      </c>
      <c r="D789" t="n">
        <v>2229.8615</v>
      </c>
      <c r="E789" t="n">
        <v>2229.8615</v>
      </c>
      <c r="F789" t="n">
        <v>1.774</v>
      </c>
      <c r="G789" t="n">
        <v>0</v>
      </c>
      <c r="H789" t="n">
        <v>0.395577</v>
      </c>
      <c r="I789" t="n">
        <v>0.380191</v>
      </c>
      <c r="J789" t="n">
        <v>0.015386</v>
      </c>
      <c r="K789" s="4">
        <f>IFERROR(J789/I789,"")</f>
        <v/>
      </c>
      <c r="L789" s="4">
        <f>IFERROR((D789-E789)/E789,"")</f>
        <v/>
      </c>
      <c r="M789" s="19">
        <f>IFERROR(F789*G789/10000,"")</f>
        <v/>
      </c>
    </row>
    <row r="790">
      <c r="A790" t="inlineStr">
        <is>
          <t>2026-10-30</t>
        </is>
      </c>
      <c r="B790" t="inlineStr">
        <is>
          <t>161115</t>
        </is>
      </c>
      <c r="C790" t="inlineStr">
        <is>
          <t>易基岁丰添利LOF</t>
        </is>
      </c>
      <c r="D790" t="n">
        <v>11195.0161</v>
      </c>
      <c r="E790" t="n">
        <v>11195.0161</v>
      </c>
      <c r="F790" t="n">
        <v>1.7581</v>
      </c>
      <c r="G790" t="n">
        <v>0</v>
      </c>
      <c r="H790" t="n">
        <v>1.968196</v>
      </c>
      <c r="I790" t="n">
        <v>1.96786</v>
      </c>
      <c r="J790" t="n">
        <v>0.000336</v>
      </c>
      <c r="K790" s="4">
        <f>IFERROR(J790/I790,"")</f>
        <v/>
      </c>
      <c r="L790" s="4">
        <f>IFERROR((D790-E790)/E790,"")</f>
        <v/>
      </c>
      <c r="M790" s="19">
        <f>IFERROR(F790*G790/10000,"")</f>
        <v/>
      </c>
    </row>
    <row r="791">
      <c r="A791" t="inlineStr">
        <is>
          <t>2026-10-30</t>
        </is>
      </c>
      <c r="B791" t="inlineStr">
        <is>
          <t>161116</t>
        </is>
      </c>
      <c r="C791" t="inlineStr">
        <is>
          <t>黄金主题LOF</t>
        </is>
      </c>
      <c r="D791" t="n">
        <v>18540.852</v>
      </c>
      <c r="E791" t="n">
        <v>18551.242</v>
      </c>
      <c r="F791" t="n">
        <v>1.4864</v>
      </c>
      <c r="G791" t="n">
        <v>-10.39</v>
      </c>
      <c r="H791" t="n">
        <v>2.755912</v>
      </c>
      <c r="I791" t="n">
        <v>2.725734</v>
      </c>
      <c r="J791" t="n">
        <v>0.030178</v>
      </c>
      <c r="K791" s="4">
        <f>IFERROR(J791/I791,"")</f>
        <v/>
      </c>
      <c r="L791" s="4">
        <f>IFERROR((D791-E791)/E791,"")</f>
        <v/>
      </c>
      <c r="M791" s="19">
        <f>IFERROR(F791*G791/10000,"")</f>
        <v/>
      </c>
    </row>
    <row r="792">
      <c r="A792" t="inlineStr">
        <is>
          <t>2026-10-30</t>
        </is>
      </c>
      <c r="B792" t="inlineStr">
        <is>
          <t>161117</t>
        </is>
      </c>
      <c r="C792" t="inlineStr">
        <is>
          <t>易基永旭添利定开</t>
        </is>
      </c>
      <c r="D792" t="n">
        <v>20686.1468</v>
      </c>
      <c r="E792" t="n">
        <v>20686.1468</v>
      </c>
      <c r="F792" t="n">
        <v>1.042</v>
      </c>
      <c r="G792" t="n">
        <v>0</v>
      </c>
      <c r="H792" t="n">
        <v>2.155496</v>
      </c>
      <c r="I792" t="n">
        <v>2.155496</v>
      </c>
      <c r="J792" t="n">
        <v>0</v>
      </c>
      <c r="K792" s="4">
        <f>IFERROR(J792/I792,"")</f>
        <v/>
      </c>
      <c r="L792" s="4">
        <f>IFERROR((D792-E792)/E792,"")</f>
        <v/>
      </c>
      <c r="M792" s="19">
        <f>IFERROR(F792*G792/10000,"")</f>
        <v/>
      </c>
    </row>
    <row r="793">
      <c r="A793" t="inlineStr">
        <is>
          <t>2026-10-30</t>
        </is>
      </c>
      <c r="B793" t="inlineStr">
        <is>
          <t>161118</t>
        </is>
      </c>
      <c r="C793" t="inlineStr">
        <is>
          <t>中小企业100LOF</t>
        </is>
      </c>
      <c r="D793" t="n">
        <v>1117.6712</v>
      </c>
      <c r="E793" t="n">
        <v>1118.5712</v>
      </c>
      <c r="F793" t="n">
        <v>1.3264</v>
      </c>
      <c r="G793" t="n">
        <v>-0.9</v>
      </c>
      <c r="H793" t="n">
        <v>0.148248</v>
      </c>
      <c r="I793" t="n">
        <v>0.146085</v>
      </c>
      <c r="J793" t="n">
        <v>0.002163</v>
      </c>
      <c r="K793" s="4">
        <f>IFERROR(J793/I793,"")</f>
        <v/>
      </c>
      <c r="L793" s="4">
        <f>IFERROR((D793-E793)/E793,"")</f>
        <v/>
      </c>
      <c r="M793" s="19">
        <f>IFERROR(F793*G793/10000,"")</f>
        <v/>
      </c>
    </row>
    <row r="794">
      <c r="A794" t="inlineStr">
        <is>
          <t>2026-10-30</t>
        </is>
      </c>
      <c r="B794" t="inlineStr">
        <is>
          <t>161119</t>
        </is>
      </c>
      <c r="C794" t="inlineStr">
        <is>
          <t>易方达新综债LOF</t>
        </is>
      </c>
      <c r="D794" t="n">
        <v>73130.9163</v>
      </c>
      <c r="E794" t="n">
        <v>72960.30190000001</v>
      </c>
      <c r="F794" t="n">
        <v>1.8181</v>
      </c>
      <c r="G794" t="n">
        <v>170.6144</v>
      </c>
      <c r="H794" t="n">
        <v>13.295932</v>
      </c>
      <c r="I794" t="n">
        <v>13.265642</v>
      </c>
      <c r="J794" t="n">
        <v>0.03029</v>
      </c>
      <c r="K794" s="4">
        <f>IFERROR(J794/I794,"")</f>
        <v/>
      </c>
      <c r="L794" s="4">
        <f>IFERROR((D794-E794)/E794,"")</f>
        <v/>
      </c>
      <c r="M794" s="19">
        <f>IFERROR(F794*G794/10000,"")</f>
        <v/>
      </c>
    </row>
    <row r="795">
      <c r="A795" t="inlineStr">
        <is>
          <t>2026-10-30</t>
        </is>
      </c>
      <c r="B795" t="inlineStr">
        <is>
          <t>161121</t>
        </is>
      </c>
      <c r="C795" t="inlineStr">
        <is>
          <t>银行LOF易方达</t>
        </is>
      </c>
      <c r="D795" t="n">
        <v>659.8703</v>
      </c>
      <c r="E795" t="n">
        <v>660.9903</v>
      </c>
      <c r="F795" t="n">
        <v>1.7435</v>
      </c>
      <c r="G795" t="n">
        <v>-1.12</v>
      </c>
      <c r="H795" t="n">
        <v>0.115048</v>
      </c>
      <c r="I795" t="n">
        <v>0.115931</v>
      </c>
      <c r="J795" t="n">
        <v>-0.000883</v>
      </c>
      <c r="K795" s="4">
        <f>IFERROR(J795/I795,"")</f>
        <v/>
      </c>
      <c r="L795" s="4">
        <f>IFERROR((D795-E795)/E795,"")</f>
        <v/>
      </c>
      <c r="M795" s="19">
        <f>IFERROR(F795*G795/10000,"")</f>
        <v/>
      </c>
    </row>
    <row r="796">
      <c r="A796" t="inlineStr">
        <is>
          <t>2026-10-30</t>
        </is>
      </c>
      <c r="B796" t="inlineStr">
        <is>
          <t>161122</t>
        </is>
      </c>
      <c r="C796" t="inlineStr">
        <is>
          <t>生物科技LOF</t>
        </is>
      </c>
      <c r="D796" t="n">
        <v>2365.5601</v>
      </c>
      <c r="E796" t="n">
        <v>2365.56</v>
      </c>
      <c r="F796" t="n">
        <v>0.5457</v>
      </c>
      <c r="G796" t="n">
        <v>0.0001</v>
      </c>
      <c r="H796" t="n">
        <v>0.129089</v>
      </c>
      <c r="I796" t="n">
        <v>0.126794</v>
      </c>
      <c r="J796" t="n">
        <v>0.002295</v>
      </c>
      <c r="K796" s="4">
        <f>IFERROR(J796/I796,"")</f>
        <v/>
      </c>
      <c r="L796" s="4">
        <f>IFERROR((D796-E796)/E796,"")</f>
        <v/>
      </c>
      <c r="M796" s="19">
        <f>IFERROR(F796*G796/10000,"")</f>
        <v/>
      </c>
    </row>
    <row r="797">
      <c r="A797" t="inlineStr">
        <is>
          <t>2026-10-30</t>
        </is>
      </c>
      <c r="B797" t="inlineStr">
        <is>
          <t>161123</t>
        </is>
      </c>
      <c r="C797" t="inlineStr">
        <is>
          <t>并购重组LOF</t>
        </is>
      </c>
      <c r="D797" t="n">
        <v>2257.7921</v>
      </c>
      <c r="E797" t="n">
        <v>2260.357</v>
      </c>
      <c r="F797" t="n">
        <v>1.2913</v>
      </c>
      <c r="G797" t="n">
        <v>-2.5649</v>
      </c>
      <c r="H797" t="n">
        <v>0.291549</v>
      </c>
      <c r="I797" t="n">
        <v>0.286975</v>
      </c>
      <c r="J797" t="n">
        <v>0.004574</v>
      </c>
      <c r="K797" s="4">
        <f>IFERROR(J797/I797,"")</f>
        <v/>
      </c>
      <c r="L797" s="4">
        <f>IFERROR((D797-E797)/E797,"")</f>
        <v/>
      </c>
      <c r="M797" s="19">
        <f>IFERROR(F797*G797/10000,"")</f>
        <v/>
      </c>
    </row>
    <row r="798">
      <c r="A798" t="inlineStr">
        <is>
          <t>2026-10-30</t>
        </is>
      </c>
      <c r="B798" t="inlineStr">
        <is>
          <t>161124</t>
        </is>
      </c>
      <c r="C798" t="inlineStr">
        <is>
          <t>港股小盘LOF</t>
        </is>
      </c>
      <c r="D798" t="n">
        <v>5453.6909</v>
      </c>
      <c r="E798" t="n">
        <v>5468.1942</v>
      </c>
      <c r="F798" t="n">
        <v>0.8038</v>
      </c>
      <c r="G798" t="n">
        <v>-14.5033</v>
      </c>
      <c r="H798" t="n">
        <v>0.438368</v>
      </c>
      <c r="I798" t="n">
        <v>0.436034</v>
      </c>
      <c r="J798" t="n">
        <v>0.002334</v>
      </c>
      <c r="K798" s="4">
        <f>IFERROR(J798/I798,"")</f>
        <v/>
      </c>
      <c r="L798" s="4">
        <f>IFERROR((D798-E798)/E798,"")</f>
        <v/>
      </c>
      <c r="M798" s="19">
        <f>IFERROR(F798*G798/10000,"")</f>
        <v/>
      </c>
    </row>
    <row r="799">
      <c r="A799" t="inlineStr">
        <is>
          <t>2026-10-30</t>
        </is>
      </c>
      <c r="B799" t="inlineStr">
        <is>
          <t>161125</t>
        </is>
      </c>
      <c r="C799" t="inlineStr">
        <is>
          <t>标普500LOF</t>
        </is>
      </c>
      <c r="D799" t="n">
        <v>24469.3982</v>
      </c>
      <c r="E799" t="n">
        <v>24469.3982</v>
      </c>
      <c r="F799" t="n">
        <v>3.1422</v>
      </c>
      <c r="G799" t="n">
        <v>0</v>
      </c>
      <c r="H799" t="n">
        <v>7.688774</v>
      </c>
      <c r="I799" t="n">
        <v>7.644974</v>
      </c>
      <c r="J799" t="n">
        <v>0.0438</v>
      </c>
      <c r="K799" s="4">
        <f>IFERROR(J799/I799,"")</f>
        <v/>
      </c>
      <c r="L799" s="4">
        <f>IFERROR((D799-E799)/E799,"")</f>
        <v/>
      </c>
      <c r="M799" s="19">
        <f>IFERROR(F799*G799/10000,"")</f>
        <v/>
      </c>
    </row>
    <row r="800">
      <c r="A800" t="inlineStr">
        <is>
          <t>2026-10-30</t>
        </is>
      </c>
      <c r="B800" t="inlineStr">
        <is>
          <t>161126</t>
        </is>
      </c>
      <c r="C800" t="inlineStr">
        <is>
          <t>标普医疗保健LOF</t>
        </is>
      </c>
      <c r="D800" t="n">
        <v>4472.487</v>
      </c>
      <c r="E800" t="n">
        <v>4472.487</v>
      </c>
      <c r="F800" t="n">
        <v>2.2458</v>
      </c>
      <c r="G800" t="n">
        <v>0</v>
      </c>
      <c r="H800" t="n">
        <v>1.004431</v>
      </c>
      <c r="I800" t="n">
        <v>1.007159</v>
      </c>
      <c r="J800" t="n">
        <v>-0.002728</v>
      </c>
      <c r="K800" s="4">
        <f>IFERROR(J800/I800,"")</f>
        <v/>
      </c>
      <c r="L800" s="4">
        <f>IFERROR((D800-E800)/E800,"")</f>
        <v/>
      </c>
      <c r="M800" s="19">
        <f>IFERROR(F800*G800/10000,"")</f>
        <v/>
      </c>
    </row>
    <row r="801">
      <c r="A801" t="inlineStr">
        <is>
          <t>2026-10-30</t>
        </is>
      </c>
      <c r="B801" t="inlineStr">
        <is>
          <t>161127</t>
        </is>
      </c>
      <c r="C801" t="inlineStr">
        <is>
          <t>标普生物科技LOF</t>
        </is>
      </c>
      <c r="D801" t="n">
        <v>5946.361</v>
      </c>
      <c r="E801" t="n">
        <v>5946.361</v>
      </c>
      <c r="F801" t="n">
        <v>2.0272</v>
      </c>
      <c r="G801" t="n">
        <v>0</v>
      </c>
      <c r="H801" t="n">
        <v>1.205446</v>
      </c>
      <c r="I801" t="n">
        <v>1.173931</v>
      </c>
      <c r="J801" t="n">
        <v>0.031515</v>
      </c>
      <c r="K801" s="4">
        <f>IFERROR(J801/I801,"")</f>
        <v/>
      </c>
      <c r="L801" s="4">
        <f>IFERROR((D801-E801)/E801,"")</f>
        <v/>
      </c>
      <c r="M801" s="19">
        <f>IFERROR(F801*G801/10000,"")</f>
        <v/>
      </c>
    </row>
    <row r="802">
      <c r="A802" t="inlineStr">
        <is>
          <t>2026-10-30</t>
        </is>
      </c>
      <c r="B802" t="inlineStr">
        <is>
          <t>161128</t>
        </is>
      </c>
      <c r="C802" t="inlineStr">
        <is>
          <t>标普信息科技LOF</t>
        </is>
      </c>
      <c r="D802" t="n">
        <v>47889.3599</v>
      </c>
      <c r="E802" t="n">
        <v>47890.1721</v>
      </c>
      <c r="F802" t="n">
        <v>6.83</v>
      </c>
      <c r="G802" t="n">
        <v>-0.8122</v>
      </c>
      <c r="H802" t="n">
        <v>32.708433</v>
      </c>
      <c r="I802" t="n">
        <v>32.251636</v>
      </c>
      <c r="J802" t="n">
        <v>0.456797</v>
      </c>
      <c r="K802" s="4">
        <f>IFERROR(J802/I802,"")</f>
        <v/>
      </c>
      <c r="L802" s="4">
        <f>IFERROR((D802-E802)/E802,"")</f>
        <v/>
      </c>
      <c r="M802" s="19">
        <f>IFERROR(F802*G802/10000,"")</f>
        <v/>
      </c>
    </row>
    <row r="803">
      <c r="A803" t="inlineStr">
        <is>
          <t>2026-10-30</t>
        </is>
      </c>
      <c r="B803" t="inlineStr">
        <is>
          <t>161129</t>
        </is>
      </c>
      <c r="C803" t="inlineStr">
        <is>
          <t>原油LOF易方达</t>
        </is>
      </c>
      <c r="D803" t="n">
        <v>43602.1036</v>
      </c>
      <c r="E803" t="n">
        <v>43602.1836</v>
      </c>
      <c r="F803" t="n">
        <v>2.133</v>
      </c>
      <c r="G803" t="n">
        <v>-0.08</v>
      </c>
      <c r="H803" t="n">
        <v>9.300329</v>
      </c>
      <c r="I803" t="n">
        <v>9.426792000000001</v>
      </c>
      <c r="J803" t="n">
        <v>-0.126463</v>
      </c>
      <c r="K803" s="4">
        <f>IFERROR(J803/I803,"")</f>
        <v/>
      </c>
      <c r="L803" s="4">
        <f>IFERROR((D803-E803)/E803,"")</f>
        <v/>
      </c>
      <c r="M803" s="19">
        <f>IFERROR(F803*G803/10000,"")</f>
        <v/>
      </c>
    </row>
    <row r="804">
      <c r="A804" t="inlineStr">
        <is>
          <t>2026-10-30</t>
        </is>
      </c>
      <c r="B804" t="inlineStr">
        <is>
          <t>161130</t>
        </is>
      </c>
      <c r="C804" t="inlineStr">
        <is>
          <t>纳斯达克100LOF</t>
        </is>
      </c>
      <c r="D804" t="n">
        <v>15729.6845</v>
      </c>
      <c r="E804" t="n">
        <v>15729.8551</v>
      </c>
      <c r="F804" t="n">
        <v>4.4324</v>
      </c>
      <c r="G804" t="n">
        <v>-0.1706</v>
      </c>
      <c r="H804" t="n">
        <v>6.972025</v>
      </c>
      <c r="I804" t="n">
        <v>6.88716</v>
      </c>
      <c r="J804" t="n">
        <v>0.084865</v>
      </c>
      <c r="K804" s="4">
        <f>IFERROR(J804/I804,"")</f>
        <v/>
      </c>
      <c r="L804" s="4">
        <f>IFERROR((D804-E804)/E804,"")</f>
        <v/>
      </c>
      <c r="M804" s="19">
        <f>IFERROR(F804*G804/10000,"")</f>
        <v/>
      </c>
    </row>
    <row r="805">
      <c r="A805" t="inlineStr">
        <is>
          <t>2026-10-30</t>
        </is>
      </c>
      <c r="B805" t="inlineStr">
        <is>
          <t>161131</t>
        </is>
      </c>
      <c r="C805" t="inlineStr">
        <is>
          <t>易方达科润LOF</t>
        </is>
      </c>
      <c r="D805" t="n">
        <v>3873.4622</v>
      </c>
      <c r="E805" t="n">
        <v>3873.4622</v>
      </c>
      <c r="F805" t="n">
        <v>0.9102</v>
      </c>
      <c r="G805" t="n">
        <v>0</v>
      </c>
      <c r="H805" t="n">
        <v>0.352563</v>
      </c>
      <c r="I805" t="n">
        <v>0.346365</v>
      </c>
      <c r="J805" t="n">
        <v>0.006198</v>
      </c>
      <c r="K805" s="4">
        <f>IFERROR(J805/I805,"")</f>
        <v/>
      </c>
      <c r="L805" s="4">
        <f>IFERROR((D805-E805)/E805,"")</f>
        <v/>
      </c>
      <c r="M805" s="19">
        <f>IFERROR(F805*G805/10000,"")</f>
        <v/>
      </c>
    </row>
    <row r="806">
      <c r="A806" t="inlineStr">
        <is>
          <t>2026-10-30</t>
        </is>
      </c>
      <c r="B806" t="inlineStr">
        <is>
          <t>161132</t>
        </is>
      </c>
      <c r="C806" t="inlineStr">
        <is>
          <t>易方达科顺定开</t>
        </is>
      </c>
      <c r="D806" t="n">
        <v>685.3815</v>
      </c>
      <c r="E806" t="n">
        <v>685.3815</v>
      </c>
      <c r="F806" t="n">
        <v>2.3012</v>
      </c>
      <c r="G806" t="n">
        <v>0</v>
      </c>
      <c r="H806" t="n">
        <v>0.15772</v>
      </c>
      <c r="I806" t="n">
        <v>0.153457</v>
      </c>
      <c r="J806" t="n">
        <v>0.004263</v>
      </c>
      <c r="K806" s="4">
        <f>IFERROR(J806/I806,"")</f>
        <v/>
      </c>
      <c r="L806" s="4">
        <f>IFERROR((D806-E806)/E806,"")</f>
        <v/>
      </c>
      <c r="M806" s="19">
        <f>IFERROR(F806*G806/10000,"")</f>
        <v/>
      </c>
    </row>
    <row r="807">
      <c r="A807" t="inlineStr">
        <is>
          <t>2026-10-30</t>
        </is>
      </c>
      <c r="B807" t="inlineStr">
        <is>
          <t>161133</t>
        </is>
      </c>
      <c r="C807" t="inlineStr">
        <is>
          <t>优势回报FOF-LOF</t>
        </is>
      </c>
      <c r="D807" t="n">
        <v>752.8609</v>
      </c>
      <c r="E807" t="n">
        <v>752.8609</v>
      </c>
      <c r="F807" t="n">
        <v>1.464</v>
      </c>
      <c r="G807" t="n">
        <v>0</v>
      </c>
      <c r="H807" t="n">
        <v>0.110219</v>
      </c>
      <c r="I807" t="n">
        <v>0.111371</v>
      </c>
      <c r="J807" t="n">
        <v>-0.001152</v>
      </c>
      <c r="K807" s="4">
        <f>IFERROR(J807/I807,"")</f>
        <v/>
      </c>
      <c r="L807" s="4">
        <f>IFERROR((D807-E807)/E807,"")</f>
        <v/>
      </c>
      <c r="M807" s="19">
        <f>IFERROR(F807*G807/10000,"")</f>
        <v/>
      </c>
    </row>
    <row r="808">
      <c r="A808" t="inlineStr">
        <is>
          <t>2026-10-30</t>
        </is>
      </c>
      <c r="B808" t="inlineStr">
        <is>
          <t>161216</t>
        </is>
      </c>
      <c r="C808" t="inlineStr">
        <is>
          <t>国投双债LOF</t>
        </is>
      </c>
      <c r="D808" t="n">
        <v>2618.746</v>
      </c>
      <c r="E808" t="n">
        <v>2618.746</v>
      </c>
      <c r="F808" t="n">
        <v>1.3852</v>
      </c>
      <c r="G808" t="n">
        <v>0</v>
      </c>
      <c r="H808" t="n">
        <v>0.362749</v>
      </c>
      <c r="I808" t="n">
        <v>0.362173</v>
      </c>
      <c r="J808" t="n">
        <v>0.000576</v>
      </c>
      <c r="K808" s="4">
        <f>IFERROR(J808/I808,"")</f>
        <v/>
      </c>
      <c r="L808" s="4">
        <f>IFERROR((D808-E808)/E808,"")</f>
        <v/>
      </c>
      <c r="M808" s="19">
        <f>IFERROR(F808*G808/10000,"")</f>
        <v/>
      </c>
    </row>
    <row r="809">
      <c r="A809" t="inlineStr">
        <is>
          <t>2026-10-30</t>
        </is>
      </c>
      <c r="B809" t="inlineStr">
        <is>
          <t>161217</t>
        </is>
      </c>
      <c r="C809" t="inlineStr">
        <is>
          <t>国投资源LOF</t>
        </is>
      </c>
      <c r="D809" t="n">
        <v>2283.9836</v>
      </c>
      <c r="E809" t="n">
        <v>2288.0261</v>
      </c>
      <c r="F809" t="n">
        <v>1.9734</v>
      </c>
      <c r="G809" t="n">
        <v>-4.0425</v>
      </c>
      <c r="H809" t="n">
        <v>0.450721</v>
      </c>
      <c r="I809" t="n">
        <v>0.449872</v>
      </c>
      <c r="J809" t="n">
        <v>0.000849</v>
      </c>
      <c r="K809" s="4">
        <f>IFERROR(J809/I809,"")</f>
        <v/>
      </c>
      <c r="L809" s="4">
        <f>IFERROR((D809-E809)/E809,"")</f>
        <v/>
      </c>
      <c r="M809" s="19">
        <f>IFERROR(F809*G809/10000,"")</f>
        <v/>
      </c>
    </row>
    <row r="810">
      <c r="A810" t="inlineStr">
        <is>
          <t>2026-10-30</t>
        </is>
      </c>
      <c r="B810" t="inlineStr">
        <is>
          <t>161219</t>
        </is>
      </c>
      <c r="C810" t="inlineStr">
        <is>
          <t>国投新兴产业LOF</t>
        </is>
      </c>
      <c r="D810" t="n">
        <v>60.0938</v>
      </c>
      <c r="E810" t="n">
        <v>60.0938</v>
      </c>
      <c r="F810" t="n">
        <v>3.1408</v>
      </c>
      <c r="G810" t="n">
        <v>0</v>
      </c>
      <c r="H810" t="n">
        <v>0.018874</v>
      </c>
      <c r="I810" t="n">
        <v>0.018822</v>
      </c>
      <c r="J810" t="n">
        <v>5.2e-05</v>
      </c>
      <c r="K810" s="4">
        <f>IFERROR(J810/I810,"")</f>
        <v/>
      </c>
      <c r="L810" s="4">
        <f>IFERROR((D810-E810)/E810,"")</f>
        <v/>
      </c>
      <c r="M810" s="19">
        <f>IFERROR(F810*G810/10000,"")</f>
        <v/>
      </c>
    </row>
    <row r="811">
      <c r="A811" t="inlineStr">
        <is>
          <t>2026-10-30</t>
        </is>
      </c>
      <c r="B811" t="inlineStr">
        <is>
          <t>161222</t>
        </is>
      </c>
      <c r="C811" t="inlineStr">
        <is>
          <t>国投瑞利LOF</t>
        </is>
      </c>
      <c r="D811" t="n">
        <v>753.3341</v>
      </c>
      <c r="E811" t="n">
        <v>753.3341</v>
      </c>
      <c r="F811" t="n">
        <v>2.7976</v>
      </c>
      <c r="G811" t="n">
        <v>0</v>
      </c>
      <c r="H811" t="n">
        <v>0.210753</v>
      </c>
      <c r="I811" t="n">
        <v>0.21009</v>
      </c>
      <c r="J811" t="n">
        <v>0.000663</v>
      </c>
      <c r="K811" s="4">
        <f>IFERROR(J811/I811,"")</f>
        <v/>
      </c>
      <c r="L811" s="4">
        <f>IFERROR((D811-E811)/E811,"")</f>
        <v/>
      </c>
      <c r="M811" s="19">
        <f>IFERROR(F811*G811/10000,"")</f>
        <v/>
      </c>
    </row>
    <row r="812">
      <c r="A812" t="inlineStr">
        <is>
          <t>2026-10-30</t>
        </is>
      </c>
      <c r="B812" t="inlineStr">
        <is>
          <t>161224</t>
        </is>
      </c>
      <c r="C812" t="inlineStr">
        <is>
          <t>国投新丝路LOF</t>
        </is>
      </c>
      <c r="D812" t="n">
        <v>531.5666</v>
      </c>
      <c r="E812" t="n">
        <v>531.6866</v>
      </c>
      <c r="F812" t="n">
        <v>0.9862</v>
      </c>
      <c r="G812" t="n">
        <v>-0.12</v>
      </c>
      <c r="H812" t="n">
        <v>0.052423</v>
      </c>
      <c r="I812" t="n">
        <v>0.051053</v>
      </c>
      <c r="J812" t="n">
        <v>0.00137</v>
      </c>
      <c r="K812" s="4">
        <f>IFERROR(J812/I812,"")</f>
        <v/>
      </c>
      <c r="L812" s="4">
        <f>IFERROR((D812-E812)/E812,"")</f>
        <v/>
      </c>
      <c r="M812" s="19">
        <f>IFERROR(F812*G812/10000,"")</f>
        <v/>
      </c>
    </row>
    <row r="813">
      <c r="A813" t="inlineStr">
        <is>
          <t>2026-10-30</t>
        </is>
      </c>
      <c r="B813" t="inlineStr">
        <is>
          <t>161225</t>
        </is>
      </c>
      <c r="C813" t="inlineStr">
        <is>
          <t>国投瑞盈LOF</t>
        </is>
      </c>
      <c r="D813" t="n">
        <v>567.953</v>
      </c>
      <c r="E813" t="n">
        <v>567.9836</v>
      </c>
      <c r="F813" t="n">
        <v>2.3948</v>
      </c>
      <c r="G813" t="n">
        <v>-0.0306</v>
      </c>
      <c r="H813" t="n">
        <v>0.136013</v>
      </c>
      <c r="I813" t="n">
        <v>0.134567</v>
      </c>
      <c r="J813" t="n">
        <v>0.001446</v>
      </c>
      <c r="K813" s="4">
        <f>IFERROR(J813/I813,"")</f>
        <v/>
      </c>
      <c r="L813" s="4">
        <f>IFERROR((D813-E813)/E813,"")</f>
        <v/>
      </c>
      <c r="M813" s="19">
        <f>IFERROR(F813*G813/10000,"")</f>
        <v/>
      </c>
    </row>
    <row r="814">
      <c r="A814" t="inlineStr">
        <is>
          <t>2026-10-30</t>
        </is>
      </c>
      <c r="B814" t="inlineStr">
        <is>
          <t>161226</t>
        </is>
      </c>
      <c r="C814" t="inlineStr">
        <is>
          <t>国投白银LOF</t>
        </is>
      </c>
      <c r="D814" t="n">
        <v>365459.0492</v>
      </c>
      <c r="E814" t="n">
        <v>365459.0306</v>
      </c>
      <c r="F814" t="n">
        <v>1.477</v>
      </c>
      <c r="G814" t="n">
        <v>0.0186</v>
      </c>
      <c r="H814" t="n">
        <v>53.978302</v>
      </c>
      <c r="I814" t="n">
        <v>53.495893</v>
      </c>
      <c r="J814" t="n">
        <v>0.482409</v>
      </c>
      <c r="K814" s="4">
        <f>IFERROR(J814/I814,"")</f>
        <v/>
      </c>
      <c r="L814" s="4">
        <f>IFERROR((D814-E814)/E814,"")</f>
        <v/>
      </c>
      <c r="M814" s="19">
        <f>IFERROR(F814*G814/10000,"")</f>
        <v/>
      </c>
    </row>
    <row r="815">
      <c r="A815" t="inlineStr">
        <is>
          <t>2026-10-30</t>
        </is>
      </c>
      <c r="B815" t="inlineStr">
        <is>
          <t>161227</t>
        </is>
      </c>
      <c r="C815" t="inlineStr">
        <is>
          <t>国投深证100LOF</t>
        </is>
      </c>
      <c r="D815" t="n">
        <v>11123.0533</v>
      </c>
      <c r="E815" t="n">
        <v>11123.0733</v>
      </c>
      <c r="F815" t="n">
        <v>1.3383</v>
      </c>
      <c r="G815" t="n">
        <v>-0.02</v>
      </c>
      <c r="H815" t="n">
        <v>1.488598</v>
      </c>
      <c r="I815" t="n">
        <v>1.464019</v>
      </c>
      <c r="J815" t="n">
        <v>0.024579</v>
      </c>
      <c r="K815" s="4">
        <f>IFERROR(J815/I815,"")</f>
        <v/>
      </c>
      <c r="L815" s="4">
        <f>IFERROR((D815-E815)/E815,"")</f>
        <v/>
      </c>
      <c r="M815" s="19">
        <f>IFERROR(F815*G815/10000,"")</f>
        <v/>
      </c>
    </row>
    <row r="816">
      <c r="A816" t="inlineStr">
        <is>
          <t>2026-10-30</t>
        </is>
      </c>
      <c r="B816" t="inlineStr">
        <is>
          <t>161229</t>
        </is>
      </c>
      <c r="C816" t="inlineStr">
        <is>
          <t>国投中国价值LOF</t>
        </is>
      </c>
      <c r="D816" t="n">
        <v>486.2431</v>
      </c>
      <c r="E816" t="n">
        <v>486.6625</v>
      </c>
      <c r="F816" t="n">
        <v>1.3486</v>
      </c>
      <c r="G816" t="n">
        <v>-0.4194</v>
      </c>
      <c r="H816" t="n">
        <v>0.06557499999999999</v>
      </c>
      <c r="I816" t="n">
        <v>0.06551899999999999</v>
      </c>
      <c r="J816" t="n">
        <v>5.6e-05</v>
      </c>
      <c r="K816" s="4">
        <f>IFERROR(J816/I816,"")</f>
        <v/>
      </c>
      <c r="L816" s="4">
        <f>IFERROR((D816-E816)/E816,"")</f>
        <v/>
      </c>
      <c r="M816" s="19">
        <f>IFERROR(F816*G816/10000,"")</f>
        <v/>
      </c>
    </row>
    <row r="817">
      <c r="A817" t="inlineStr">
        <is>
          <t>2026-10-30</t>
        </is>
      </c>
      <c r="B817" t="inlineStr">
        <is>
          <t>161232</t>
        </is>
      </c>
      <c r="C817" t="inlineStr">
        <is>
          <t>国投瑞盛LOF</t>
        </is>
      </c>
      <c r="D817" t="n">
        <v>888.4533</v>
      </c>
      <c r="E817" t="n">
        <v>888.4533</v>
      </c>
      <c r="F817" t="n">
        <v>1.2502</v>
      </c>
      <c r="G817" t="n">
        <v>0</v>
      </c>
      <c r="H817" t="n">
        <v>0.111074</v>
      </c>
      <c r="I817" t="n">
        <v>0.110763</v>
      </c>
      <c r="J817" t="n">
        <v>0.000311</v>
      </c>
      <c r="K817" s="4">
        <f>IFERROR(J817/I817,"")</f>
        <v/>
      </c>
      <c r="L817" s="4">
        <f>IFERROR((D817-E817)/E817,"")</f>
        <v/>
      </c>
      <c r="M817" s="19">
        <f>IFERROR(F817*G817/10000,"")</f>
        <v/>
      </c>
    </row>
    <row r="818">
      <c r="A818" t="inlineStr">
        <is>
          <t>2026-10-30</t>
        </is>
      </c>
      <c r="B818" t="inlineStr">
        <is>
          <t>161233</t>
        </is>
      </c>
      <c r="C818" t="inlineStr">
        <is>
          <t>国投瑞泰LOF</t>
        </is>
      </c>
      <c r="D818" t="n">
        <v>49.205</v>
      </c>
      <c r="E818" t="n">
        <v>49.205</v>
      </c>
      <c r="F818" t="n">
        <v>1.723</v>
      </c>
      <c r="G818" t="n">
        <v>0</v>
      </c>
      <c r="H818" t="n">
        <v>0.008477999999999999</v>
      </c>
      <c r="I818" t="n">
        <v>0.008444</v>
      </c>
      <c r="J818" t="n">
        <v>3.4e-05</v>
      </c>
      <c r="K818" s="4">
        <f>IFERROR(J818/I818,"")</f>
        <v/>
      </c>
      <c r="L818" s="4">
        <f>IFERROR((D818-E818)/E818,"")</f>
        <v/>
      </c>
      <c r="M818" s="19">
        <f>IFERROR(F818*G818/10000,"")</f>
        <v/>
      </c>
    </row>
    <row r="819">
      <c r="A819" t="inlineStr">
        <is>
          <t>2026-10-30</t>
        </is>
      </c>
      <c r="B819" t="inlineStr">
        <is>
          <t>161505</t>
        </is>
      </c>
      <c r="C819" t="inlineStr">
        <is>
          <t>银河通利债券LOF</t>
        </is>
      </c>
      <c r="D819" t="n">
        <v>370.9685</v>
      </c>
      <c r="E819" t="n">
        <v>370.2116</v>
      </c>
      <c r="F819" t="n">
        <v>1.316</v>
      </c>
      <c r="G819" t="n">
        <v>0.7569</v>
      </c>
      <c r="H819" t="n">
        <v>0.048819</v>
      </c>
      <c r="I819" t="n">
        <v>0.048535</v>
      </c>
      <c r="J819" t="n">
        <v>0.000284</v>
      </c>
      <c r="K819" s="4">
        <f>IFERROR(J819/I819,"")</f>
        <v/>
      </c>
      <c r="L819" s="4">
        <f>IFERROR((D819-E819)/E819,"")</f>
        <v/>
      </c>
      <c r="M819" s="19">
        <f>IFERROR(F819*G819/10000,"")</f>
        <v/>
      </c>
    </row>
    <row r="820">
      <c r="A820" t="inlineStr">
        <is>
          <t>2026-10-30</t>
        </is>
      </c>
      <c r="B820" t="inlineStr">
        <is>
          <t>161607</t>
        </is>
      </c>
      <c r="C820" t="inlineStr">
        <is>
          <t>巨潮100LOF</t>
        </is>
      </c>
      <c r="D820" t="n">
        <v>568.522</v>
      </c>
      <c r="E820" t="n">
        <v>568.522</v>
      </c>
      <c r="F820" t="n">
        <v>1.067</v>
      </c>
      <c r="G820" t="n">
        <v>0</v>
      </c>
      <c r="H820" t="n">
        <v>0.060661</v>
      </c>
      <c r="I820" t="n">
        <v>0.06015</v>
      </c>
      <c r="J820" t="n">
        <v>0.000511</v>
      </c>
      <c r="K820" s="4">
        <f>IFERROR(J820/I820,"")</f>
        <v/>
      </c>
      <c r="L820" s="4">
        <f>IFERROR((D820-E820)/E820,"")</f>
        <v/>
      </c>
      <c r="M820" s="19">
        <f>IFERROR(F820*G820/10000,"")</f>
        <v/>
      </c>
    </row>
    <row r="821">
      <c r="A821" t="inlineStr">
        <is>
          <t>2026-10-30</t>
        </is>
      </c>
      <c r="B821" t="inlineStr">
        <is>
          <t>161610</t>
        </is>
      </c>
      <c r="C821" t="inlineStr">
        <is>
          <t>融通领先成长LOF</t>
        </is>
      </c>
      <c r="D821" t="n">
        <v>4719.278</v>
      </c>
      <c r="E821" t="n">
        <v>4719.256</v>
      </c>
      <c r="F821" t="n">
        <v>1.435</v>
      </c>
      <c r="G821" t="n">
        <v>0.022</v>
      </c>
      <c r="H821" t="n">
        <v>0.677216</v>
      </c>
      <c r="I821" t="n">
        <v>0.654089</v>
      </c>
      <c r="J821" t="n">
        <v>0.023127</v>
      </c>
      <c r="K821" s="4">
        <f>IFERROR(J821/I821,"")</f>
        <v/>
      </c>
      <c r="L821" s="4">
        <f>IFERROR((D821-E821)/E821,"")</f>
        <v/>
      </c>
      <c r="M821" s="19">
        <f>IFERROR(F821*G821/10000,"")</f>
        <v/>
      </c>
    </row>
    <row r="822">
      <c r="A822" t="inlineStr">
        <is>
          <t>2026-10-30</t>
        </is>
      </c>
      <c r="B822" t="inlineStr">
        <is>
          <t>161614</t>
        </is>
      </c>
      <c r="C822" t="inlineStr">
        <is>
          <t>融通四季添利LOF</t>
        </is>
      </c>
      <c r="D822" t="n">
        <v>170.1548</v>
      </c>
      <c r="E822" t="n">
        <v>170.1548</v>
      </c>
      <c r="F822" t="n">
        <v>1.1351</v>
      </c>
      <c r="G822" t="n">
        <v>0</v>
      </c>
      <c r="H822" t="n">
        <v>0.019314</v>
      </c>
      <c r="I822" t="n">
        <v>0.019294</v>
      </c>
      <c r="J822" t="n">
        <v>2e-05</v>
      </c>
      <c r="K822" s="4">
        <f>IFERROR(J822/I822,"")</f>
        <v/>
      </c>
      <c r="L822" s="4">
        <f>IFERROR((D822-E822)/E822,"")</f>
        <v/>
      </c>
      <c r="M822" s="19">
        <f>IFERROR(F822*G822/10000,"")</f>
        <v/>
      </c>
    </row>
    <row r="823">
      <c r="A823" t="inlineStr">
        <is>
          <t>2026-10-30</t>
        </is>
      </c>
      <c r="B823" t="inlineStr">
        <is>
          <t>161626</t>
        </is>
      </c>
      <c r="C823" t="inlineStr">
        <is>
          <t>融通通福LOF</t>
        </is>
      </c>
      <c r="D823" t="n">
        <v>66.9637</v>
      </c>
      <c r="E823" t="n">
        <v>66.9542</v>
      </c>
      <c r="F823" t="n">
        <v>1.0381</v>
      </c>
      <c r="G823" t="n">
        <v>0.0095</v>
      </c>
      <c r="H823" t="n">
        <v>0.006952</v>
      </c>
      <c r="I823" t="n">
        <v>0.006948</v>
      </c>
      <c r="J823" t="n">
        <v>4e-06</v>
      </c>
      <c r="K823" s="4">
        <f>IFERROR(J823/I823,"")</f>
        <v/>
      </c>
      <c r="L823" s="4">
        <f>IFERROR((D823-E823)/E823,"")</f>
        <v/>
      </c>
      <c r="M823" s="19">
        <f>IFERROR(F823*G823/10000,"")</f>
        <v/>
      </c>
    </row>
    <row r="824">
      <c r="A824" t="inlineStr">
        <is>
          <t>2026-10-30</t>
        </is>
      </c>
      <c r="B824" t="inlineStr">
        <is>
          <t>161631</t>
        </is>
      </c>
      <c r="C824" t="inlineStr">
        <is>
          <t>人工智能LOF</t>
        </is>
      </c>
      <c r="D824" t="n">
        <v>2341.5588</v>
      </c>
      <c r="E824" t="n">
        <v>2341.4618</v>
      </c>
      <c r="F824" t="n">
        <v>2.364</v>
      </c>
      <c r="G824" t="n">
        <v>0.097</v>
      </c>
      <c r="H824" t="n">
        <v>0.553545</v>
      </c>
      <c r="I824" t="n">
        <v>0.536312</v>
      </c>
      <c r="J824" t="n">
        <v>0.017233</v>
      </c>
      <c r="K824" s="4">
        <f>IFERROR(J824/I824,"")</f>
        <v/>
      </c>
      <c r="L824" s="4">
        <f>IFERROR((D824-E824)/E824,"")</f>
        <v/>
      </c>
      <c r="M824" s="19">
        <f>IFERROR(F824*G824/10000,"")</f>
        <v/>
      </c>
    </row>
    <row r="825">
      <c r="A825" t="inlineStr">
        <is>
          <t>2026-10-30</t>
        </is>
      </c>
      <c r="B825" t="inlineStr">
        <is>
          <t>161706</t>
        </is>
      </c>
      <c r="C825" t="inlineStr">
        <is>
          <t>招商成长LOF</t>
        </is>
      </c>
      <c r="D825" t="n">
        <v>1010.5598</v>
      </c>
      <c r="E825" t="n">
        <v>1010.5598</v>
      </c>
      <c r="F825" t="n">
        <v>3.8808</v>
      </c>
      <c r="G825" t="n">
        <v>0</v>
      </c>
      <c r="H825" t="n">
        <v>0.392178</v>
      </c>
      <c r="I825" t="n">
        <v>0.388874</v>
      </c>
      <c r="J825" t="n">
        <v>0.003304</v>
      </c>
      <c r="K825" s="4">
        <f>IFERROR(J825/I825,"")</f>
        <v/>
      </c>
      <c r="L825" s="4">
        <f>IFERROR((D825-E825)/E825,"")</f>
        <v/>
      </c>
      <c r="M825" s="19">
        <f>IFERROR(F825*G825/10000,"")</f>
        <v/>
      </c>
    </row>
    <row r="826">
      <c r="A826" t="inlineStr">
        <is>
          <t>2026-10-30</t>
        </is>
      </c>
      <c r="B826" t="inlineStr">
        <is>
          <t>161713</t>
        </is>
      </c>
      <c r="C826" t="inlineStr">
        <is>
          <t>招商信用添利LOF</t>
        </is>
      </c>
      <c r="D826" t="n">
        <v>4805.7034</v>
      </c>
      <c r="E826" t="n">
        <v>4805.7034</v>
      </c>
      <c r="F826" t="n">
        <v>1.0552</v>
      </c>
      <c r="G826" t="n">
        <v>0</v>
      </c>
      <c r="H826" t="n">
        <v>0.507098</v>
      </c>
      <c r="I826" t="n">
        <v>0.505656</v>
      </c>
      <c r="J826" t="n">
        <v>0.001442</v>
      </c>
      <c r="K826" s="4">
        <f>IFERROR(J826/I826,"")</f>
        <v/>
      </c>
      <c r="L826" s="4">
        <f>IFERROR((D826-E826)/E826,"")</f>
        <v/>
      </c>
      <c r="M826" s="19">
        <f>IFERROR(F826*G826/10000,"")</f>
        <v/>
      </c>
    </row>
    <row r="827">
      <c r="A827" t="inlineStr">
        <is>
          <t>2026-10-30</t>
        </is>
      </c>
      <c r="B827" t="inlineStr">
        <is>
          <t>161715</t>
        </is>
      </c>
      <c r="C827" t="inlineStr">
        <is>
          <t>大宗商品LOF</t>
        </is>
      </c>
      <c r="D827" t="n">
        <v>2265.3462</v>
      </c>
      <c r="E827" t="n">
        <v>2265.3462</v>
      </c>
      <c r="F827" t="n">
        <v>2.0058</v>
      </c>
      <c r="G827" t="n">
        <v>0</v>
      </c>
      <c r="H827" t="n">
        <v>0.454383</v>
      </c>
      <c r="I827" t="n">
        <v>0.453477</v>
      </c>
      <c r="J827" t="n">
        <v>0.000906</v>
      </c>
      <c r="K827" s="4">
        <f>IFERROR(J827/I827,"")</f>
        <v/>
      </c>
      <c r="L827" s="4">
        <f>IFERROR((D827-E827)/E827,"")</f>
        <v/>
      </c>
      <c r="M827" s="19">
        <f>IFERROR(F827*G827/10000,"")</f>
        <v/>
      </c>
    </row>
    <row r="828">
      <c r="A828" t="inlineStr">
        <is>
          <t>2026-10-30</t>
        </is>
      </c>
      <c r="B828" t="inlineStr">
        <is>
          <t>161716</t>
        </is>
      </c>
      <c r="C828" t="inlineStr">
        <is>
          <t>招商双债LOF</t>
        </is>
      </c>
      <c r="D828" t="n">
        <v>91834.56690000001</v>
      </c>
      <c r="E828" t="n">
        <v>92037.9997</v>
      </c>
      <c r="F828" t="n">
        <v>1.6539</v>
      </c>
      <c r="G828" t="n">
        <v>-203.4328</v>
      </c>
      <c r="H828" t="n">
        <v>15.188519</v>
      </c>
      <c r="I828" t="n">
        <v>15.21112</v>
      </c>
      <c r="J828" t="n">
        <v>-0.022601</v>
      </c>
      <c r="K828" s="4">
        <f>IFERROR(J828/I828,"")</f>
        <v/>
      </c>
      <c r="L828" s="4">
        <f>IFERROR((D828-E828)/E828,"")</f>
        <v/>
      </c>
      <c r="M828" s="19">
        <f>IFERROR(F828*G828/10000,"")</f>
        <v/>
      </c>
    </row>
    <row r="829">
      <c r="A829" t="inlineStr">
        <is>
          <t>2026-10-30</t>
        </is>
      </c>
      <c r="B829" t="inlineStr">
        <is>
          <t>161720</t>
        </is>
      </c>
      <c r="C829" t="inlineStr">
        <is>
          <t>证券基金LOF</t>
        </is>
      </c>
      <c r="D829" t="n">
        <v>14811.2885</v>
      </c>
      <c r="E829" t="n">
        <v>14814.8322</v>
      </c>
      <c r="F829" t="n">
        <v>1.0594</v>
      </c>
      <c r="G829" t="n">
        <v>-3.5437</v>
      </c>
      <c r="H829" t="n">
        <v>1.569108</v>
      </c>
      <c r="I829" t="n">
        <v>1.583113</v>
      </c>
      <c r="J829" t="n">
        <v>-0.014005</v>
      </c>
      <c r="K829" s="4">
        <f>IFERROR(J829/I829,"")</f>
        <v/>
      </c>
      <c r="L829" s="4">
        <f>IFERROR((D829-E829)/E829,"")</f>
        <v/>
      </c>
      <c r="M829" s="19">
        <f>IFERROR(F829*G829/10000,"")</f>
        <v/>
      </c>
    </row>
    <row r="830">
      <c r="A830" t="inlineStr">
        <is>
          <t>2026-10-30</t>
        </is>
      </c>
      <c r="B830" t="inlineStr">
        <is>
          <t>161722</t>
        </is>
      </c>
      <c r="C830" t="inlineStr">
        <is>
          <t>招商丰泰LOF</t>
        </is>
      </c>
      <c r="D830" t="n">
        <v>31.5922</v>
      </c>
      <c r="E830" t="n">
        <v>32.3141</v>
      </c>
      <c r="F830" t="n">
        <v>1.384</v>
      </c>
      <c r="G830" t="n">
        <v>-0.7219</v>
      </c>
      <c r="H830" t="n">
        <v>0.004372</v>
      </c>
      <c r="I830" t="n">
        <v>0.004401</v>
      </c>
      <c r="J830" t="n">
        <v>-2.9e-05</v>
      </c>
      <c r="K830" s="4">
        <f>IFERROR(J830/I830,"")</f>
        <v/>
      </c>
      <c r="L830" s="4">
        <f>IFERROR((D830-E830)/E830,"")</f>
        <v/>
      </c>
      <c r="M830" s="19">
        <f>IFERROR(F830*G830/10000,"")</f>
        <v/>
      </c>
    </row>
    <row r="831">
      <c r="A831" t="inlineStr">
        <is>
          <t>2026-10-30</t>
        </is>
      </c>
      <c r="B831" t="inlineStr">
        <is>
          <t>161724</t>
        </is>
      </c>
      <c r="C831" t="inlineStr">
        <is>
          <t>煤炭等权LOF</t>
        </is>
      </c>
      <c r="D831" t="n">
        <v>714.4602</v>
      </c>
      <c r="E831" t="n">
        <v>714.3246</v>
      </c>
      <c r="F831" t="n">
        <v>2.2329</v>
      </c>
      <c r="G831" t="n">
        <v>0.1356</v>
      </c>
      <c r="H831" t="n">
        <v>0.159532</v>
      </c>
      <c r="I831" t="n">
        <v>0.15863</v>
      </c>
      <c r="J831" t="n">
        <v>0.000902</v>
      </c>
      <c r="K831" s="4">
        <f>IFERROR(J831/I831,"")</f>
        <v/>
      </c>
      <c r="L831" s="4">
        <f>IFERROR((D831-E831)/E831,"")</f>
        <v/>
      </c>
      <c r="M831" s="19">
        <f>IFERROR(F831*G831/10000,"")</f>
        <v/>
      </c>
    </row>
    <row r="832">
      <c r="A832" t="inlineStr">
        <is>
          <t>2026-10-30</t>
        </is>
      </c>
      <c r="B832" t="inlineStr">
        <is>
          <t>161725</t>
        </is>
      </c>
      <c r="C832" t="inlineStr">
        <is>
          <t>白酒基金LOF</t>
        </is>
      </c>
      <c r="D832" t="n">
        <v>339445.5335</v>
      </c>
      <c r="E832" t="n">
        <v>339004.8504</v>
      </c>
      <c r="F832" t="n">
        <v>0.5285</v>
      </c>
      <c r="G832" t="n">
        <v>440.6831</v>
      </c>
      <c r="H832" t="n">
        <v>17.939696</v>
      </c>
      <c r="I832" t="n">
        <v>18.326602</v>
      </c>
      <c r="J832" t="n">
        <v>-0.386906</v>
      </c>
      <c r="K832" s="4">
        <f>IFERROR(J832/I832,"")</f>
        <v/>
      </c>
      <c r="L832" s="4">
        <f>IFERROR((D832-E832)/E832,"")</f>
        <v/>
      </c>
      <c r="M832" s="19">
        <f>IFERROR(F832*G832/10000,"")</f>
        <v/>
      </c>
    </row>
    <row r="833">
      <c r="A833" t="inlineStr">
        <is>
          <t>2026-10-30</t>
        </is>
      </c>
      <c r="B833" t="inlineStr">
        <is>
          <t>161726</t>
        </is>
      </c>
      <c r="C833" t="inlineStr">
        <is>
          <t>生物医药LOF</t>
        </is>
      </c>
      <c r="D833" t="n">
        <v>43632.4538</v>
      </c>
      <c r="E833" t="n">
        <v>43632.4459</v>
      </c>
      <c r="F833" t="n">
        <v>0.3742</v>
      </c>
      <c r="G833" t="n">
        <v>0.007900000000000001</v>
      </c>
      <c r="H833" t="n">
        <v>1.632726</v>
      </c>
      <c r="I833" t="n">
        <v>1.6144</v>
      </c>
      <c r="J833" t="n">
        <v>0.018326</v>
      </c>
      <c r="K833" s="4">
        <f>IFERROR(J833/I833,"")</f>
        <v/>
      </c>
      <c r="L833" s="4">
        <f>IFERROR((D833-E833)/E833,"")</f>
        <v/>
      </c>
      <c r="M833" s="19">
        <f>IFERROR(F833*G833/10000,"")</f>
        <v/>
      </c>
    </row>
    <row r="834">
      <c r="A834" t="inlineStr">
        <is>
          <t>2026-10-30</t>
        </is>
      </c>
      <c r="B834" t="inlineStr">
        <is>
          <t>161727</t>
        </is>
      </c>
      <c r="C834" t="inlineStr">
        <is>
          <t>招商增荣LOF</t>
        </is>
      </c>
      <c r="D834" t="n">
        <v>43.3224</v>
      </c>
      <c r="E834" t="n">
        <v>43.32</v>
      </c>
      <c r="F834" t="n">
        <v>1.623</v>
      </c>
      <c r="G834" t="n">
        <v>0.0024</v>
      </c>
      <c r="H834" t="n">
        <v>0.007031</v>
      </c>
      <c r="I834" t="n">
        <v>0.006992</v>
      </c>
      <c r="J834" t="n">
        <v>3.9e-05</v>
      </c>
      <c r="K834" s="4">
        <f>IFERROR(J834/I834,"")</f>
        <v/>
      </c>
      <c r="L834" s="4">
        <f>IFERROR((D834-E834)/E834,"")</f>
        <v/>
      </c>
      <c r="M834" s="19">
        <f>IFERROR(F834*G834/10000,"")</f>
        <v/>
      </c>
    </row>
    <row r="835">
      <c r="A835" t="inlineStr">
        <is>
          <t>2026-10-30</t>
        </is>
      </c>
      <c r="B835" t="inlineStr">
        <is>
          <t>161728</t>
        </is>
      </c>
      <c r="C835" t="inlineStr">
        <is>
          <t>招商优选LOF</t>
        </is>
      </c>
      <c r="D835" t="n">
        <v>1593.6581</v>
      </c>
      <c r="E835" t="n">
        <v>1593.6581</v>
      </c>
      <c r="F835" t="n">
        <v>1.3951</v>
      </c>
      <c r="G835" t="n">
        <v>0</v>
      </c>
      <c r="H835" t="n">
        <v>0.222331</v>
      </c>
      <c r="I835" t="n">
        <v>0.220801</v>
      </c>
      <c r="J835" t="n">
        <v>0.00153</v>
      </c>
      <c r="K835" s="4">
        <f>IFERROR(J835/I835,"")</f>
        <v/>
      </c>
      <c r="L835" s="4">
        <f>IFERROR((D835-E835)/E835,"")</f>
        <v/>
      </c>
      <c r="M835" s="19">
        <f>IFERROR(F835*G835/10000,"")</f>
        <v/>
      </c>
    </row>
    <row r="836">
      <c r="A836" t="inlineStr">
        <is>
          <t>2026-10-30</t>
        </is>
      </c>
      <c r="B836" t="inlineStr">
        <is>
          <t>161729</t>
        </is>
      </c>
      <c r="C836" t="inlineStr">
        <is>
          <t>招商瑞利LOF</t>
        </is>
      </c>
      <c r="D836" t="n">
        <v>325.221</v>
      </c>
      <c r="E836" t="n">
        <v>325.221</v>
      </c>
      <c r="F836" t="n">
        <v>1.8004</v>
      </c>
      <c r="G836" t="n">
        <v>0</v>
      </c>
      <c r="H836" t="n">
        <v>0.058553</v>
      </c>
      <c r="I836" t="n">
        <v>0.058647</v>
      </c>
      <c r="J836" t="n">
        <v>-9.399999999999999e-05</v>
      </c>
      <c r="K836" s="4">
        <f>IFERROR(J836/I836,"")</f>
        <v/>
      </c>
      <c r="L836" s="4">
        <f>IFERROR((D836-E836)/E836,"")</f>
        <v/>
      </c>
      <c r="M836" s="19">
        <f>IFERROR(F836*G836/10000,"")</f>
        <v/>
      </c>
    </row>
    <row r="837">
      <c r="A837" t="inlineStr">
        <is>
          <t>2026-10-30</t>
        </is>
      </c>
      <c r="B837" t="inlineStr">
        <is>
          <t>161810</t>
        </is>
      </c>
      <c r="C837" t="inlineStr">
        <is>
          <t>银华内需LOF</t>
        </is>
      </c>
      <c r="D837" t="n">
        <v>3553.848</v>
      </c>
      <c r="E837" t="n">
        <v>3547.3705</v>
      </c>
      <c r="F837" t="n">
        <v>4.046</v>
      </c>
      <c r="G837" t="n">
        <v>6.4775</v>
      </c>
      <c r="H837" t="n">
        <v>1.437887</v>
      </c>
      <c r="I837" t="n">
        <v>1.436685</v>
      </c>
      <c r="J837" t="n">
        <v>0.001202</v>
      </c>
      <c r="K837" s="4">
        <f>IFERROR(J837/I837,"")</f>
        <v/>
      </c>
      <c r="L837" s="4">
        <f>IFERROR((D837-E837)/E837,"")</f>
        <v/>
      </c>
      <c r="M837" s="19">
        <f>IFERROR(F837*G837/10000,"")</f>
        <v/>
      </c>
    </row>
    <row r="838">
      <c r="A838" t="inlineStr">
        <is>
          <t>2026-10-30</t>
        </is>
      </c>
      <c r="B838" t="inlineStr">
        <is>
          <t>161811</t>
        </is>
      </c>
      <c r="C838" t="inlineStr">
        <is>
          <t>沪深300LOF银华</t>
        </is>
      </c>
      <c r="D838" t="n">
        <v>397.4858</v>
      </c>
      <c r="E838" t="n">
        <v>397.4858</v>
      </c>
      <c r="F838" t="n">
        <v>0.959</v>
      </c>
      <c r="G838" t="n">
        <v>0</v>
      </c>
      <c r="H838" t="n">
        <v>0.038119</v>
      </c>
      <c r="I838" t="n">
        <v>0.037809</v>
      </c>
      <c r="J838" t="n">
        <v>0.00031</v>
      </c>
      <c r="K838" s="4">
        <f>IFERROR(J838/I838,"")</f>
        <v/>
      </c>
      <c r="L838" s="4">
        <f>IFERROR((D838-E838)/E838,"")</f>
        <v/>
      </c>
      <c r="M838" s="19">
        <f>IFERROR(F838*G838/10000,"")</f>
        <v/>
      </c>
    </row>
    <row r="839">
      <c r="A839" t="inlineStr">
        <is>
          <t>2026-10-30</t>
        </is>
      </c>
      <c r="B839" t="inlineStr">
        <is>
          <t>161812</t>
        </is>
      </c>
      <c r="C839" t="inlineStr">
        <is>
          <t>深证100LOF</t>
        </is>
      </c>
      <c r="D839" t="n">
        <v>14339.3727</v>
      </c>
      <c r="E839" t="n">
        <v>14350.8427</v>
      </c>
      <c r="F839" t="n">
        <v>1.141</v>
      </c>
      <c r="G839" t="n">
        <v>-11.47</v>
      </c>
      <c r="H839" t="n">
        <v>1.636122</v>
      </c>
      <c r="I839" t="n">
        <v>1.610165</v>
      </c>
      <c r="J839" t="n">
        <v>0.025957</v>
      </c>
      <c r="K839" s="4">
        <f>IFERROR(J839/I839,"")</f>
        <v/>
      </c>
      <c r="L839" s="4">
        <f>IFERROR((D839-E839)/E839,"")</f>
        <v/>
      </c>
      <c r="M839" s="19">
        <f>IFERROR(F839*G839/10000,"")</f>
        <v/>
      </c>
    </row>
    <row r="840">
      <c r="A840" t="inlineStr">
        <is>
          <t>2026-10-30</t>
        </is>
      </c>
      <c r="B840" t="inlineStr">
        <is>
          <t>161815</t>
        </is>
      </c>
      <c r="C840" t="inlineStr">
        <is>
          <t>抗通胀LOF</t>
        </is>
      </c>
      <c r="D840" t="n">
        <v>9015.781999999999</v>
      </c>
      <c r="E840" t="n">
        <v>9029.300300000001</v>
      </c>
      <c r="F840" t="n">
        <v>1.148</v>
      </c>
      <c r="G840" t="n">
        <v>-13.5183</v>
      </c>
      <c r="H840" t="n">
        <v>1.035012</v>
      </c>
      <c r="I840" t="n">
        <v>1.041981</v>
      </c>
      <c r="J840" t="n">
        <v>-0.006969</v>
      </c>
      <c r="K840" s="4">
        <f>IFERROR(J840/I840,"")</f>
        <v/>
      </c>
      <c r="L840" s="4">
        <f>IFERROR((D840-E840)/E840,"")</f>
        <v/>
      </c>
      <c r="M840" s="19">
        <f>IFERROR(F840*G840/10000,"")</f>
        <v/>
      </c>
    </row>
    <row r="841">
      <c r="A841" t="inlineStr">
        <is>
          <t>2026-10-30</t>
        </is>
      </c>
      <c r="B841" t="inlineStr">
        <is>
          <t>161816</t>
        </is>
      </c>
      <c r="C841" t="inlineStr">
        <is>
          <t>中证90LOF</t>
        </is>
      </c>
      <c r="D841" t="n">
        <v>3147.8498</v>
      </c>
      <c r="E841" t="n">
        <v>3147.8498</v>
      </c>
      <c r="F841" t="n">
        <v>0.8788</v>
      </c>
      <c r="G841" t="n">
        <v>0</v>
      </c>
      <c r="H841" t="n">
        <v>0.276633</v>
      </c>
      <c r="I841" t="n">
        <v>0.275217</v>
      </c>
      <c r="J841" t="n">
        <v>0.001416</v>
      </c>
      <c r="K841" s="4">
        <f>IFERROR(J841/I841,"")</f>
        <v/>
      </c>
      <c r="L841" s="4">
        <f>IFERROR((D841-E841)/E841,"")</f>
        <v/>
      </c>
      <c r="M841" s="19">
        <f>IFERROR(F841*G841/10000,"")</f>
        <v/>
      </c>
    </row>
    <row r="842">
      <c r="A842" t="inlineStr">
        <is>
          <t>2026-10-30</t>
        </is>
      </c>
      <c r="B842" t="inlineStr">
        <is>
          <t>161820</t>
        </is>
      </c>
      <c r="C842" t="inlineStr">
        <is>
          <t>银华纯债LOF</t>
        </is>
      </c>
      <c r="D842" t="n">
        <v>419.4027</v>
      </c>
      <c r="E842" t="n">
        <v>419.4027</v>
      </c>
      <c r="F842" t="n">
        <v>1.1689</v>
      </c>
      <c r="G842" t="n">
        <v>0</v>
      </c>
      <c r="H842" t="n">
        <v>0.049024</v>
      </c>
      <c r="I842" t="n">
        <v>0.049028</v>
      </c>
      <c r="J842" t="n">
        <v>-4e-06</v>
      </c>
      <c r="K842" s="4">
        <f>IFERROR(J842/I842,"")</f>
        <v/>
      </c>
      <c r="L842" s="4">
        <f>IFERROR((D842-E842)/E842,"")</f>
        <v/>
      </c>
      <c r="M842" s="19">
        <f>IFERROR(F842*G842/10000,"")</f>
        <v/>
      </c>
    </row>
    <row r="843">
      <c r="A843" t="inlineStr">
        <is>
          <t>2026-10-30</t>
        </is>
      </c>
      <c r="B843" t="inlineStr">
        <is>
          <t>161831</t>
        </is>
      </c>
      <c r="C843" t="inlineStr">
        <is>
          <t>恒生国企LOF</t>
        </is>
      </c>
      <c r="D843" t="n">
        <v>10784.8582</v>
      </c>
      <c r="E843" t="n">
        <v>10784.8582</v>
      </c>
      <c r="F843" t="n">
        <v>0.6608000000000001</v>
      </c>
      <c r="G843" t="n">
        <v>0</v>
      </c>
      <c r="H843" t="n">
        <v>0.712663</v>
      </c>
      <c r="I843" t="n">
        <v>0.7094279999999999</v>
      </c>
      <c r="J843" t="n">
        <v>0.003235</v>
      </c>
      <c r="K843" s="4">
        <f>IFERROR(J843/I843,"")</f>
        <v/>
      </c>
      <c r="L843" s="4">
        <f>IFERROR((D843-E843)/E843,"")</f>
        <v/>
      </c>
      <c r="M843" s="19">
        <f>IFERROR(F843*G843/10000,"")</f>
        <v/>
      </c>
    </row>
    <row r="844">
      <c r="A844" t="inlineStr">
        <is>
          <t>2026-10-30</t>
        </is>
      </c>
      <c r="B844" t="inlineStr">
        <is>
          <t>161834</t>
        </is>
      </c>
      <c r="C844" t="inlineStr">
        <is>
          <t>银华鑫锐LOF</t>
        </is>
      </c>
      <c r="D844" t="n">
        <v>962.2151</v>
      </c>
      <c r="E844" t="n">
        <v>962.2151</v>
      </c>
      <c r="F844" t="n">
        <v>1.808</v>
      </c>
      <c r="G844" t="n">
        <v>0</v>
      </c>
      <c r="H844" t="n">
        <v>0.173968</v>
      </c>
      <c r="I844" t="n">
        <v>0.17445</v>
      </c>
      <c r="J844" t="n">
        <v>-0.000482</v>
      </c>
      <c r="K844" s="4">
        <f>IFERROR(J844/I844,"")</f>
        <v/>
      </c>
      <c r="L844" s="4">
        <f>IFERROR((D844-E844)/E844,"")</f>
        <v/>
      </c>
      <c r="M844" s="19">
        <f>IFERROR(F844*G844/10000,"")</f>
        <v/>
      </c>
    </row>
    <row r="845">
      <c r="A845" t="inlineStr">
        <is>
          <t>2026-10-30</t>
        </is>
      </c>
      <c r="B845" t="inlineStr">
        <is>
          <t>161837</t>
        </is>
      </c>
      <c r="C845" t="inlineStr">
        <is>
          <t>银华大盘定开</t>
        </is>
      </c>
      <c r="D845" t="n">
        <v>988.9142000000001</v>
      </c>
      <c r="E845" t="n">
        <v>988.9142000000001</v>
      </c>
      <c r="F845" t="n">
        <v>1.0358</v>
      </c>
      <c r="G845" t="n">
        <v>0</v>
      </c>
      <c r="H845" t="n">
        <v>0.102432</v>
      </c>
      <c r="I845" t="n">
        <v>0.101542</v>
      </c>
      <c r="J845" t="n">
        <v>0.0008899999999999999</v>
      </c>
      <c r="K845" s="4">
        <f>IFERROR(J845/I845,"")</f>
        <v/>
      </c>
      <c r="L845" s="4">
        <f>IFERROR((D845-E845)/E845,"")</f>
        <v/>
      </c>
      <c r="M845" s="19">
        <f>IFERROR(F845*G845/10000,"")</f>
        <v/>
      </c>
    </row>
    <row r="846">
      <c r="A846" t="inlineStr">
        <is>
          <t>2026-10-30</t>
        </is>
      </c>
      <c r="B846" t="inlineStr">
        <is>
          <t>161903</t>
        </is>
      </c>
      <c r="C846" t="inlineStr">
        <is>
          <t>万家行业优选LOF</t>
        </is>
      </c>
      <c r="D846" t="n">
        <v>14854.3936</v>
      </c>
      <c r="E846" t="n">
        <v>14857.7899</v>
      </c>
      <c r="F846" t="n">
        <v>1.5753</v>
      </c>
      <c r="G846" t="n">
        <v>-3.3963</v>
      </c>
      <c r="H846" t="n">
        <v>2.340013</v>
      </c>
      <c r="I846" t="n">
        <v>2.263436</v>
      </c>
      <c r="J846" t="n">
        <v>0.07657700000000001</v>
      </c>
      <c r="K846" s="4">
        <f>IFERROR(J846/I846,"")</f>
        <v/>
      </c>
      <c r="L846" s="4">
        <f>IFERROR((D846-E846)/E846,"")</f>
        <v/>
      </c>
      <c r="M846" s="19">
        <f>IFERROR(F846*G846/10000,"")</f>
        <v/>
      </c>
    </row>
    <row r="847">
      <c r="A847" t="inlineStr">
        <is>
          <t>2026-10-30</t>
        </is>
      </c>
      <c r="B847" t="inlineStr">
        <is>
          <t>161908</t>
        </is>
      </c>
      <c r="C847" t="inlineStr">
        <is>
          <t>万家添利LOF</t>
        </is>
      </c>
      <c r="D847" t="n">
        <v>108.6089</v>
      </c>
      <c r="E847" t="n">
        <v>108.6089</v>
      </c>
      <c r="F847" t="n">
        <v>1.2102</v>
      </c>
      <c r="G847" t="n">
        <v>0</v>
      </c>
      <c r="H847" t="n">
        <v>0.013144</v>
      </c>
      <c r="I847" t="n">
        <v>0.013122</v>
      </c>
      <c r="J847" t="n">
        <v>2.2e-05</v>
      </c>
      <c r="K847" s="4">
        <f>IFERROR(J847/I847,"")</f>
        <v/>
      </c>
      <c r="L847" s="4">
        <f>IFERROR((D847-E847)/E847,"")</f>
        <v/>
      </c>
      <c r="M847" s="19">
        <f>IFERROR(F847*G847/10000,"")</f>
        <v/>
      </c>
    </row>
    <row r="848">
      <c r="A848" t="inlineStr">
        <is>
          <t>2026-10-30</t>
        </is>
      </c>
      <c r="B848" t="inlineStr">
        <is>
          <t>161912</t>
        </is>
      </c>
      <c r="C848" t="inlineStr">
        <is>
          <t>社会责任定开</t>
        </is>
      </c>
      <c r="D848" t="n">
        <v>5688.8372</v>
      </c>
      <c r="E848" t="n">
        <v>5688.8372</v>
      </c>
      <c r="F848" t="n">
        <v>3.5936</v>
      </c>
      <c r="G848" t="n">
        <v>0</v>
      </c>
      <c r="H848" t="n">
        <v>2.044341</v>
      </c>
      <c r="I848" t="n">
        <v>1.993084</v>
      </c>
      <c r="J848" t="n">
        <v>0.051257</v>
      </c>
      <c r="K848" s="4">
        <f>IFERROR(J848/I848,"")</f>
        <v/>
      </c>
      <c r="L848" s="4">
        <f>IFERROR((D848-E848)/E848,"")</f>
        <v/>
      </c>
      <c r="M848" s="19">
        <f>IFERROR(F848*G848/10000,"")</f>
        <v/>
      </c>
    </row>
    <row r="849">
      <c r="A849" t="inlineStr">
        <is>
          <t>2026-10-30</t>
        </is>
      </c>
      <c r="B849" t="inlineStr">
        <is>
          <t>161914</t>
        </is>
      </c>
      <c r="C849" t="inlineStr">
        <is>
          <t>创业板2年定开</t>
        </is>
      </c>
      <c r="D849" t="n">
        <v>10815.7619</v>
      </c>
      <c r="E849" t="n">
        <v>11188.1272</v>
      </c>
      <c r="F849" t="n">
        <v>0.8120000000000001</v>
      </c>
      <c r="G849" t="n">
        <v>-372.3653</v>
      </c>
      <c r="H849" t="n">
        <v>0.87824</v>
      </c>
      <c r="I849" t="n">
        <v>0.885205</v>
      </c>
      <c r="J849" t="n">
        <v>-0.006965</v>
      </c>
      <c r="K849" s="4">
        <f>IFERROR(J849/I849,"")</f>
        <v/>
      </c>
      <c r="L849" s="4">
        <f>IFERROR((D849-E849)/E849,"")</f>
        <v/>
      </c>
      <c r="M849" s="19">
        <f>IFERROR(F849*G849/10000,"")</f>
        <v/>
      </c>
    </row>
    <row r="850">
      <c r="A850" t="inlineStr">
        <is>
          <t>2026-10-30</t>
        </is>
      </c>
      <c r="B850" t="inlineStr">
        <is>
          <t>162006</t>
        </is>
      </c>
      <c r="C850" t="inlineStr">
        <is>
          <t>长城久富LOF</t>
        </is>
      </c>
      <c r="D850" t="n">
        <v>2841.8115</v>
      </c>
      <c r="E850" t="n">
        <v>2841.8115</v>
      </c>
      <c r="F850" t="n">
        <v>1.581</v>
      </c>
      <c r="G850" t="n">
        <v>0</v>
      </c>
      <c r="H850" t="n">
        <v>0.44929</v>
      </c>
      <c r="I850" t="n">
        <v>0.43923</v>
      </c>
      <c r="J850" t="n">
        <v>0.01006</v>
      </c>
      <c r="K850" s="4">
        <f>IFERROR(J850/I850,"")</f>
        <v/>
      </c>
      <c r="L850" s="4">
        <f>IFERROR((D850-E850)/E850,"")</f>
        <v/>
      </c>
      <c r="M850" s="19">
        <f>IFERROR(F850*G850/10000,"")</f>
        <v/>
      </c>
    </row>
    <row r="851">
      <c r="A851" t="inlineStr">
        <is>
          <t>2026-10-30</t>
        </is>
      </c>
      <c r="B851" t="inlineStr">
        <is>
          <t>162105</t>
        </is>
      </c>
      <c r="C851" t="inlineStr">
        <is>
          <t>金鹰持久增利LOF</t>
        </is>
      </c>
      <c r="D851" t="n">
        <v>64.93980000000001</v>
      </c>
      <c r="E851" t="n">
        <v>64.93980000000001</v>
      </c>
      <c r="F851" t="n">
        <v>1.3721</v>
      </c>
      <c r="G851" t="n">
        <v>0</v>
      </c>
      <c r="H851" t="n">
        <v>0.00891</v>
      </c>
      <c r="I851" t="n">
        <v>0.008848</v>
      </c>
      <c r="J851" t="n">
        <v>6.2e-05</v>
      </c>
      <c r="K851" s="4">
        <f>IFERROR(J851/I851,"")</f>
        <v/>
      </c>
      <c r="L851" s="4">
        <f>IFERROR((D851-E851)/E851,"")</f>
        <v/>
      </c>
      <c r="M851" s="19">
        <f>IFERROR(F851*G851/10000,"")</f>
        <v/>
      </c>
    </row>
    <row r="852">
      <c r="A852" t="inlineStr">
        <is>
          <t>2026-10-30</t>
        </is>
      </c>
      <c r="B852" t="inlineStr">
        <is>
          <t>162108</t>
        </is>
      </c>
      <c r="C852" t="inlineStr">
        <is>
          <t>金鹰元盛债券LOF</t>
        </is>
      </c>
      <c r="D852" t="n">
        <v>133.569</v>
      </c>
      <c r="E852" t="n">
        <v>133.569</v>
      </c>
      <c r="F852" t="n">
        <v>1.3516</v>
      </c>
      <c r="G852" t="n">
        <v>0</v>
      </c>
      <c r="H852" t="n">
        <v>0.018053</v>
      </c>
      <c r="I852" t="n">
        <v>0.018048</v>
      </c>
      <c r="J852" t="n">
        <v>5e-06</v>
      </c>
      <c r="K852" s="4">
        <f>IFERROR(J852/I852,"")</f>
        <v/>
      </c>
      <c r="L852" s="4">
        <f>IFERROR((D852-E852)/E852,"")</f>
        <v/>
      </c>
      <c r="M852" s="19">
        <f>IFERROR(F852*G852/10000,"")</f>
        <v/>
      </c>
    </row>
    <row r="853">
      <c r="A853" t="inlineStr">
        <is>
          <t>2026-10-30</t>
        </is>
      </c>
      <c r="B853" t="inlineStr">
        <is>
          <t>162207</t>
        </is>
      </c>
      <c r="C853" t="inlineStr">
        <is>
          <t>宏利效率混合LOF</t>
        </is>
      </c>
      <c r="D853" t="n">
        <v>1212.9104</v>
      </c>
      <c r="E853" t="n">
        <v>1209.9035</v>
      </c>
      <c r="F853" t="n">
        <v>1.1936</v>
      </c>
      <c r="G853" t="n">
        <v>3.0069</v>
      </c>
      <c r="H853" t="n">
        <v>0.144773</v>
      </c>
      <c r="I853" t="n">
        <v>0.13995</v>
      </c>
      <c r="J853" t="n">
        <v>0.004823</v>
      </c>
      <c r="K853" s="4">
        <f>IFERROR(J853/I853,"")</f>
        <v/>
      </c>
      <c r="L853" s="4">
        <f>IFERROR((D853-E853)/E853,"")</f>
        <v/>
      </c>
      <c r="M853" s="19">
        <f>IFERROR(F853*G853/10000,"")</f>
        <v/>
      </c>
    </row>
    <row r="854">
      <c r="A854" t="inlineStr">
        <is>
          <t>2026-10-30</t>
        </is>
      </c>
      <c r="B854" t="inlineStr">
        <is>
          <t>162215</t>
        </is>
      </c>
      <c r="C854" t="inlineStr">
        <is>
          <t>宏利聚利债券LOF</t>
        </is>
      </c>
      <c r="D854" t="n">
        <v>2089.9974</v>
      </c>
      <c r="E854" t="n">
        <v>2091.0474</v>
      </c>
      <c r="F854" t="n">
        <v>1.084</v>
      </c>
      <c r="G854" t="n">
        <v>-1.05</v>
      </c>
      <c r="H854" t="n">
        <v>0.226556</v>
      </c>
      <c r="I854" t="n">
        <v>0.226251</v>
      </c>
      <c r="J854" t="n">
        <v>0.000305</v>
      </c>
      <c r="K854" s="4">
        <f>IFERROR(J854/I854,"")</f>
        <v/>
      </c>
      <c r="L854" s="4">
        <f>IFERROR((D854-E854)/E854,"")</f>
        <v/>
      </c>
      <c r="M854" s="19">
        <f>IFERROR(F854*G854/10000,"")</f>
        <v/>
      </c>
    </row>
    <row r="855">
      <c r="A855" t="inlineStr">
        <is>
          <t>2026-10-30</t>
        </is>
      </c>
      <c r="B855" t="inlineStr">
        <is>
          <t>162216</t>
        </is>
      </c>
      <c r="C855" t="inlineStr">
        <is>
          <t>宏利500增强LOF</t>
        </is>
      </c>
      <c r="D855" t="n">
        <v>212.5177</v>
      </c>
      <c r="E855" t="n">
        <v>212.5177</v>
      </c>
      <c r="F855" t="n">
        <v>1.4285</v>
      </c>
      <c r="G855" t="n">
        <v>0</v>
      </c>
      <c r="H855" t="n">
        <v>0.030358</v>
      </c>
      <c r="I855" t="n">
        <v>0.029801</v>
      </c>
      <c r="J855" t="n">
        <v>0.000557</v>
      </c>
      <c r="K855" s="4">
        <f>IFERROR(J855/I855,"")</f>
        <v/>
      </c>
      <c r="L855" s="4">
        <f>IFERROR((D855-E855)/E855,"")</f>
        <v/>
      </c>
      <c r="M855" s="19">
        <f>IFERROR(F855*G855/10000,"")</f>
        <v/>
      </c>
    </row>
    <row r="856">
      <c r="A856" t="inlineStr">
        <is>
          <t>2026-10-30</t>
        </is>
      </c>
      <c r="B856" t="inlineStr">
        <is>
          <t>162307</t>
        </is>
      </c>
      <c r="C856" t="inlineStr">
        <is>
          <t>海富通A100LOF</t>
        </is>
      </c>
      <c r="D856" t="n">
        <v>94.0686</v>
      </c>
      <c r="E856" t="n">
        <v>94.0686</v>
      </c>
      <c r="F856" t="n">
        <v>1.375</v>
      </c>
      <c r="G856" t="n">
        <v>0</v>
      </c>
      <c r="H856" t="n">
        <v>0.012934</v>
      </c>
      <c r="I856" t="n">
        <v>0.012807</v>
      </c>
      <c r="J856" t="n">
        <v>0.000127</v>
      </c>
      <c r="K856" s="4">
        <f>IFERROR(J856/I856,"")</f>
        <v/>
      </c>
      <c r="L856" s="4">
        <f>IFERROR((D856-E856)/E856,"")</f>
        <v/>
      </c>
      <c r="M856" s="19">
        <f>IFERROR(F856*G856/10000,"")</f>
        <v/>
      </c>
    </row>
    <row r="857">
      <c r="A857" t="inlineStr">
        <is>
          <t>2026-10-30</t>
        </is>
      </c>
      <c r="B857" t="inlineStr">
        <is>
          <t>162411</t>
        </is>
      </c>
      <c r="C857" t="inlineStr">
        <is>
          <t>华宝油气LOF</t>
        </is>
      </c>
      <c r="D857" t="n">
        <v>76894.22040000001</v>
      </c>
      <c r="E857" t="n">
        <v>76894.06389999999</v>
      </c>
      <c r="F857" t="n">
        <v>1.0348</v>
      </c>
      <c r="G857" t="n">
        <v>0.1565</v>
      </c>
      <c r="H857" t="n">
        <v>7.957014</v>
      </c>
      <c r="I857" t="n">
        <v>8.136161</v>
      </c>
      <c r="J857" t="n">
        <v>-0.179147</v>
      </c>
      <c r="K857" s="4">
        <f>IFERROR(J857/I857,"")</f>
        <v/>
      </c>
      <c r="L857" s="4">
        <f>IFERROR((D857-E857)/E857,"")</f>
        <v/>
      </c>
      <c r="M857" s="19">
        <f>IFERROR(F857*G857/10000,"")</f>
        <v/>
      </c>
    </row>
    <row r="858">
      <c r="A858" t="inlineStr">
        <is>
          <t>2026-10-30</t>
        </is>
      </c>
      <c r="B858" t="inlineStr">
        <is>
          <t>162412</t>
        </is>
      </c>
      <c r="C858" t="inlineStr">
        <is>
          <t>医疗基金LOF</t>
        </is>
      </c>
      <c r="D858" t="n">
        <v>25685.4587</v>
      </c>
      <c r="E858" t="n">
        <v>25717.7378</v>
      </c>
      <c r="F858" t="n">
        <v>0.5799</v>
      </c>
      <c r="G858" t="n">
        <v>-32.2791</v>
      </c>
      <c r="H858" t="n">
        <v>1.4895</v>
      </c>
      <c r="I858" t="n">
        <v>1.476455</v>
      </c>
      <c r="J858" t="n">
        <v>0.013045</v>
      </c>
      <c r="K858" s="4">
        <f>IFERROR(J858/I858,"")</f>
        <v/>
      </c>
      <c r="L858" s="4">
        <f>IFERROR((D858-E858)/E858,"")</f>
        <v/>
      </c>
      <c r="M858" s="19">
        <f>IFERROR(F858*G858/10000,"")</f>
        <v/>
      </c>
    </row>
    <row r="859">
      <c r="A859" t="inlineStr">
        <is>
          <t>2026-10-30</t>
        </is>
      </c>
      <c r="B859" t="inlineStr">
        <is>
          <t>162414</t>
        </is>
      </c>
      <c r="C859" t="inlineStr">
        <is>
          <t>新机遇LOF</t>
        </is>
      </c>
      <c r="D859" t="n">
        <v>57.6975</v>
      </c>
      <c r="E859" t="n">
        <v>57.6975</v>
      </c>
      <c r="F859" t="n">
        <v>1.8868</v>
      </c>
      <c r="G859" t="n">
        <v>0</v>
      </c>
      <c r="H859" t="n">
        <v>0.010886</v>
      </c>
      <c r="I859" t="n">
        <v>0.01086</v>
      </c>
      <c r="J859" t="n">
        <v>2.6e-05</v>
      </c>
      <c r="K859" s="4">
        <f>IFERROR(J859/I859,"")</f>
        <v/>
      </c>
      <c r="L859" s="4">
        <f>IFERROR((D859-E859)/E859,"")</f>
        <v/>
      </c>
      <c r="M859" s="19">
        <f>IFERROR(F859*G859/10000,"")</f>
        <v/>
      </c>
    </row>
    <row r="860">
      <c r="A860" t="inlineStr">
        <is>
          <t>2026-10-30</t>
        </is>
      </c>
      <c r="B860" t="inlineStr">
        <is>
          <t>162415</t>
        </is>
      </c>
      <c r="C860" t="inlineStr">
        <is>
          <t>美国消费LOF</t>
        </is>
      </c>
      <c r="D860" t="n">
        <v>7314.4128</v>
      </c>
      <c r="E860" t="n">
        <v>7313.6735</v>
      </c>
      <c r="F860" t="n">
        <v>2.806</v>
      </c>
      <c r="G860" t="n">
        <v>0.7393</v>
      </c>
      <c r="H860" t="n">
        <v>2.052424</v>
      </c>
      <c r="I860" t="n">
        <v>2.03247</v>
      </c>
      <c r="J860" t="n">
        <v>0.019954</v>
      </c>
      <c r="K860" s="4">
        <f>IFERROR(J860/I860,"")</f>
        <v/>
      </c>
      <c r="L860" s="4">
        <f>IFERROR((D860-E860)/E860,"")</f>
        <v/>
      </c>
      <c r="M860" s="19">
        <f>IFERROR(F860*G860/10000,"")</f>
        <v/>
      </c>
    </row>
    <row r="861">
      <c r="A861" t="inlineStr">
        <is>
          <t>2026-10-30</t>
        </is>
      </c>
      <c r="B861" t="inlineStr">
        <is>
          <t>162509</t>
        </is>
      </c>
      <c r="C861" t="inlineStr">
        <is>
          <t>中证A100LOF</t>
        </is>
      </c>
      <c r="D861" t="n">
        <v>3731.3845</v>
      </c>
      <c r="E861" t="n">
        <v>3736.3845</v>
      </c>
      <c r="F861" t="n">
        <v>0.8799</v>
      </c>
      <c r="G861" t="n">
        <v>-5</v>
      </c>
      <c r="H861" t="n">
        <v>0.328325</v>
      </c>
      <c r="I861" t="n">
        <v>0.325514</v>
      </c>
      <c r="J861" t="n">
        <v>0.002811</v>
      </c>
      <c r="K861" s="4">
        <f>IFERROR(J861/I861,"")</f>
        <v/>
      </c>
      <c r="L861" s="4">
        <f>IFERROR((D861-E861)/E861,"")</f>
        <v/>
      </c>
      <c r="M861" s="19">
        <f>IFERROR(F861*G861/10000,"")</f>
        <v/>
      </c>
    </row>
    <row r="862">
      <c r="A862" t="inlineStr">
        <is>
          <t>2026-10-30</t>
        </is>
      </c>
      <c r="B862" t="inlineStr">
        <is>
          <t>162605</t>
        </is>
      </c>
      <c r="C862" t="inlineStr">
        <is>
          <t>景顺鼎益LOF</t>
        </is>
      </c>
      <c r="D862" t="n">
        <v>25066.615</v>
      </c>
      <c r="E862" t="n">
        <v>25059.7133</v>
      </c>
      <c r="F862" t="n">
        <v>1.215</v>
      </c>
      <c r="G862" t="n">
        <v>6.9017</v>
      </c>
      <c r="H862" t="n">
        <v>3.045594</v>
      </c>
      <c r="I862" t="n">
        <v>2.962058</v>
      </c>
      <c r="J862" t="n">
        <v>0.083536</v>
      </c>
      <c r="K862" s="4">
        <f>IFERROR(J862/I862,"")</f>
        <v/>
      </c>
      <c r="L862" s="4">
        <f>IFERROR((D862-E862)/E862,"")</f>
        <v/>
      </c>
      <c r="M862" s="19">
        <f>IFERROR(F862*G862/10000,"")</f>
        <v/>
      </c>
    </row>
    <row r="863">
      <c r="A863" t="inlineStr">
        <is>
          <t>2026-10-30</t>
        </is>
      </c>
      <c r="B863" t="inlineStr">
        <is>
          <t>162607</t>
        </is>
      </c>
      <c r="C863" t="inlineStr">
        <is>
          <t>景顺资源LOF</t>
        </is>
      </c>
      <c r="D863" t="n">
        <v>4184.9154</v>
      </c>
      <c r="E863" t="n">
        <v>4186.6093</v>
      </c>
      <c r="F863" t="n">
        <v>0.49</v>
      </c>
      <c r="G863" t="n">
        <v>-1.6939</v>
      </c>
      <c r="H863" t="n">
        <v>0.205061</v>
      </c>
      <c r="I863" t="n">
        <v>0.205144</v>
      </c>
      <c r="J863" t="n">
        <v>-8.3e-05</v>
      </c>
      <c r="K863" s="4">
        <f>IFERROR(J863/I863,"")</f>
        <v/>
      </c>
      <c r="L863" s="4">
        <f>IFERROR((D863-E863)/E863,"")</f>
        <v/>
      </c>
      <c r="M863" s="19">
        <f>IFERROR(F863*G863/10000,"")</f>
        <v/>
      </c>
    </row>
    <row r="864">
      <c r="A864" t="inlineStr">
        <is>
          <t>2026-10-30</t>
        </is>
      </c>
      <c r="B864" t="inlineStr">
        <is>
          <t>162703</t>
        </is>
      </c>
      <c r="C864" t="inlineStr">
        <is>
          <t>广发小盘LOF</t>
        </is>
      </c>
      <c r="D864" t="n">
        <v>14797.2785</v>
      </c>
      <c r="E864" t="n">
        <v>14796.1671</v>
      </c>
      <c r="F864" t="n">
        <v>1.8167</v>
      </c>
      <c r="G864" t="n">
        <v>1.1114</v>
      </c>
      <c r="H864" t="n">
        <v>2.688222</v>
      </c>
      <c r="I864" t="n">
        <v>2.567727</v>
      </c>
      <c r="J864" t="n">
        <v>0.120495</v>
      </c>
      <c r="K864" s="4">
        <f>IFERROR(J864/I864,"")</f>
        <v/>
      </c>
      <c r="L864" s="4">
        <f>IFERROR((D864-E864)/E864,"")</f>
        <v/>
      </c>
      <c r="M864" s="19">
        <f>IFERROR(F864*G864/10000,"")</f>
        <v/>
      </c>
    </row>
    <row r="865">
      <c r="A865" t="inlineStr">
        <is>
          <t>2026-10-30</t>
        </is>
      </c>
      <c r="B865" t="inlineStr">
        <is>
          <t>162711</t>
        </is>
      </c>
      <c r="C865" t="inlineStr">
        <is>
          <t>中证500LOF</t>
        </is>
      </c>
      <c r="D865" t="n">
        <v>853.1268</v>
      </c>
      <c r="E865" t="n">
        <v>852.2405</v>
      </c>
      <c r="F865" t="n">
        <v>1.6076</v>
      </c>
      <c r="G865" t="n">
        <v>0.8863</v>
      </c>
      <c r="H865" t="n">
        <v>0.137149</v>
      </c>
      <c r="I865" t="n">
        <v>0.134501</v>
      </c>
      <c r="J865" t="n">
        <v>0.002648</v>
      </c>
      <c r="K865" s="4">
        <f>IFERROR(J865/I865,"")</f>
        <v/>
      </c>
      <c r="L865" s="4">
        <f>IFERROR((D865-E865)/E865,"")</f>
        <v/>
      </c>
      <c r="M865" s="19">
        <f>IFERROR(F865*G865/10000,"")</f>
        <v/>
      </c>
    </row>
    <row r="866">
      <c r="A866" t="inlineStr">
        <is>
          <t>2026-10-30</t>
        </is>
      </c>
      <c r="B866" t="inlineStr">
        <is>
          <t>162712</t>
        </is>
      </c>
      <c r="C866" t="inlineStr">
        <is>
          <t>广发聚利LOF</t>
        </is>
      </c>
      <c r="D866" t="n">
        <v>234.3856</v>
      </c>
      <c r="E866" t="n">
        <v>234.4525</v>
      </c>
      <c r="F866" t="n">
        <v>1.429</v>
      </c>
      <c r="G866" t="n">
        <v>-0.0669</v>
      </c>
      <c r="H866" t="n">
        <v>0.033494</v>
      </c>
      <c r="I866" t="n">
        <v>0.033501</v>
      </c>
      <c r="J866" t="n">
        <v>-7e-06</v>
      </c>
      <c r="K866" s="4">
        <f>IFERROR(J866/I866,"")</f>
        <v/>
      </c>
      <c r="L866" s="4">
        <f>IFERROR((D866-E866)/E866,"")</f>
        <v/>
      </c>
      <c r="M866" s="19">
        <f>IFERROR(F866*G866/10000,"")</f>
        <v/>
      </c>
    </row>
    <row r="867">
      <c r="A867" t="inlineStr">
        <is>
          <t>2026-10-30</t>
        </is>
      </c>
      <c r="B867" t="inlineStr">
        <is>
          <t>162715</t>
        </is>
      </c>
      <c r="C867" t="inlineStr">
        <is>
          <t>广发聚源LOF</t>
        </is>
      </c>
      <c r="D867" t="n">
        <v>499.9689</v>
      </c>
      <c r="E867" t="n">
        <v>499.9689</v>
      </c>
      <c r="F867" t="n">
        <v>1.1762</v>
      </c>
      <c r="G867" t="n">
        <v>0</v>
      </c>
      <c r="H867" t="n">
        <v>0.058806</v>
      </c>
      <c r="I867" t="n">
        <v>0.058806</v>
      </c>
      <c r="J867" t="n">
        <v>0</v>
      </c>
      <c r="K867" s="4">
        <f>IFERROR(J867/I867,"")</f>
        <v/>
      </c>
      <c r="L867" s="4">
        <f>IFERROR((D867-E867)/E867,"")</f>
        <v/>
      </c>
      <c r="M867" s="19">
        <f>IFERROR(F867*G867/10000,"")</f>
        <v/>
      </c>
    </row>
    <row r="868">
      <c r="A868" t="inlineStr">
        <is>
          <t>2026-10-30</t>
        </is>
      </c>
      <c r="B868" t="inlineStr">
        <is>
          <t>162719</t>
        </is>
      </c>
      <c r="C868" t="inlineStr">
        <is>
          <t>石油LOF</t>
        </is>
      </c>
      <c r="D868" t="n">
        <v>6272.8803</v>
      </c>
      <c r="E868" t="n">
        <v>6272.8803</v>
      </c>
      <c r="F868" t="n">
        <v>3.2833</v>
      </c>
      <c r="G868" t="n">
        <v>0</v>
      </c>
      <c r="H868" t="n">
        <v>2.059575</v>
      </c>
      <c r="I868" t="n">
        <v>2.129455</v>
      </c>
      <c r="J868" t="n">
        <v>-0.06988</v>
      </c>
      <c r="K868" s="4">
        <f>IFERROR(J868/I868,"")</f>
        <v/>
      </c>
      <c r="L868" s="4">
        <f>IFERROR((D868-E868)/E868,"")</f>
        <v/>
      </c>
      <c r="M868" s="19">
        <f>IFERROR(F868*G868/10000,"")</f>
        <v/>
      </c>
    </row>
    <row r="869">
      <c r="A869" t="inlineStr">
        <is>
          <t>2026-10-30</t>
        </is>
      </c>
      <c r="B869" t="inlineStr">
        <is>
          <t>162720</t>
        </is>
      </c>
      <c r="C869" t="inlineStr">
        <is>
          <t>广发创业板定开</t>
        </is>
      </c>
      <c r="D869" t="n">
        <v>11122.8122</v>
      </c>
      <c r="E869" t="n">
        <v>11159.5365</v>
      </c>
      <c r="F869" t="n">
        <v>1.0858</v>
      </c>
      <c r="G869" t="n">
        <v>-36.7243</v>
      </c>
      <c r="H869" t="n">
        <v>1.207715</v>
      </c>
      <c r="I869" t="n">
        <v>1.159364</v>
      </c>
      <c r="J869" t="n">
        <v>0.048351</v>
      </c>
      <c r="K869" s="4">
        <f>IFERROR(J869/I869,"")</f>
        <v/>
      </c>
      <c r="L869" s="4">
        <f>IFERROR((D869-E869)/E869,"")</f>
        <v/>
      </c>
      <c r="M869" s="19">
        <f>IFERROR(F869*G869/10000,"")</f>
        <v/>
      </c>
    </row>
    <row r="870">
      <c r="A870" t="inlineStr">
        <is>
          <t>2026-10-30</t>
        </is>
      </c>
      <c r="B870" t="inlineStr">
        <is>
          <t>162721</t>
        </is>
      </c>
      <c r="C870" t="inlineStr">
        <is>
          <t>广发积极FOF-LOF</t>
        </is>
      </c>
      <c r="D870" t="n">
        <v>254.6131</v>
      </c>
      <c r="E870" t="n">
        <v>254.6131</v>
      </c>
      <c r="F870" t="n">
        <v>1.106</v>
      </c>
      <c r="G870" t="n">
        <v>0</v>
      </c>
      <c r="H870" t="n">
        <v>0.02816</v>
      </c>
      <c r="I870" t="n">
        <v>0.028756</v>
      </c>
      <c r="J870" t="n">
        <v>-0.000596</v>
      </c>
      <c r="K870" s="4">
        <f>IFERROR(J870/I870,"")</f>
        <v/>
      </c>
      <c r="L870" s="4">
        <f>IFERROR((D870-E870)/E870,"")</f>
        <v/>
      </c>
      <c r="M870" s="19">
        <f>IFERROR(F870*G870/10000,"")</f>
        <v/>
      </c>
    </row>
    <row r="871">
      <c r="A871" t="inlineStr">
        <is>
          <t>2026-10-30</t>
        </is>
      </c>
      <c r="B871" t="inlineStr">
        <is>
          <t>163001</t>
        </is>
      </c>
      <c r="C871" t="inlineStr">
        <is>
          <t>长信医疗LOF</t>
        </is>
      </c>
      <c r="D871" t="n">
        <v>304.6855</v>
      </c>
      <c r="E871" t="n">
        <v>305.3155</v>
      </c>
      <c r="F871" t="n">
        <v>1.319</v>
      </c>
      <c r="G871" t="n">
        <v>-0.63</v>
      </c>
      <c r="H871" t="n">
        <v>0.040188</v>
      </c>
      <c r="I871" t="n">
        <v>0.038989</v>
      </c>
      <c r="J871" t="n">
        <v>0.001199</v>
      </c>
      <c r="K871" s="4">
        <f>IFERROR(J871/I871,"")</f>
        <v/>
      </c>
      <c r="L871" s="4">
        <f>IFERROR((D871-E871)/E871,"")</f>
        <v/>
      </c>
      <c r="M871" s="19">
        <f>IFERROR(F871*G871/10000,"")</f>
        <v/>
      </c>
    </row>
    <row r="872">
      <c r="A872" t="inlineStr">
        <is>
          <t>2026-10-30</t>
        </is>
      </c>
      <c r="B872" t="inlineStr">
        <is>
          <t>163003</t>
        </is>
      </c>
      <c r="C872" t="inlineStr">
        <is>
          <t>长信利鑫LOF</t>
        </is>
      </c>
      <c r="D872" t="n">
        <v>293.6351</v>
      </c>
      <c r="E872" t="n">
        <v>334.5232</v>
      </c>
      <c r="F872" t="n">
        <v>0.6766</v>
      </c>
      <c r="G872" t="n">
        <v>-40.8881</v>
      </c>
      <c r="H872" t="n">
        <v>0.019867</v>
      </c>
      <c r="I872" t="n">
        <v>0.02263</v>
      </c>
      <c r="J872" t="n">
        <v>-0.002763</v>
      </c>
      <c r="K872" s="4">
        <f>IFERROR(J872/I872,"")</f>
        <v/>
      </c>
      <c r="L872" s="4">
        <f>IFERROR((D872-E872)/E872,"")</f>
        <v/>
      </c>
      <c r="M872" s="19">
        <f>IFERROR(F872*G872/10000,"")</f>
        <v/>
      </c>
    </row>
    <row r="873">
      <c r="A873" t="inlineStr">
        <is>
          <t>2026-10-30</t>
        </is>
      </c>
      <c r="B873" t="inlineStr">
        <is>
          <t>163005</t>
        </is>
      </c>
      <c r="C873" t="inlineStr">
        <is>
          <t>长信利众LOF</t>
        </is>
      </c>
      <c r="D873" t="n">
        <v>100.981</v>
      </c>
      <c r="E873" t="n">
        <v>100.981</v>
      </c>
      <c r="F873" t="n">
        <v>1.0353</v>
      </c>
      <c r="G873" t="n">
        <v>0</v>
      </c>
      <c r="H873" t="n">
        <v>0.010455</v>
      </c>
      <c r="I873" t="n">
        <v>0.010456</v>
      </c>
      <c r="J873" t="n">
        <v>-1e-06</v>
      </c>
      <c r="K873" s="4">
        <f>IFERROR(J873/I873,"")</f>
        <v/>
      </c>
      <c r="L873" s="4">
        <f>IFERROR((D873-E873)/E873,"")</f>
        <v/>
      </c>
      <c r="M873" s="19">
        <f>IFERROR(F873*G873/10000,"")</f>
        <v/>
      </c>
    </row>
    <row r="874">
      <c r="A874" t="inlineStr">
        <is>
          <t>2026-10-30</t>
        </is>
      </c>
      <c r="B874" t="inlineStr">
        <is>
          <t>163109</t>
        </is>
      </c>
      <c r="C874" t="inlineStr">
        <is>
          <t>申万深成LOF</t>
        </is>
      </c>
      <c r="D874" t="n">
        <v>11680.3669</v>
      </c>
      <c r="E874" t="n">
        <v>11680.3669</v>
      </c>
      <c r="F874" t="n">
        <v>0.6498</v>
      </c>
      <c r="G874" t="n">
        <v>0</v>
      </c>
      <c r="H874" t="n">
        <v>0.7589900000000001</v>
      </c>
      <c r="I874" t="n">
        <v>0.744974</v>
      </c>
      <c r="J874" t="n">
        <v>0.014016</v>
      </c>
      <c r="K874" s="4">
        <f>IFERROR(J874/I874,"")</f>
        <v/>
      </c>
      <c r="L874" s="4">
        <f>IFERROR((D874-E874)/E874,"")</f>
        <v/>
      </c>
      <c r="M874" s="19">
        <f>IFERROR(F874*G874/10000,"")</f>
        <v/>
      </c>
    </row>
    <row r="875">
      <c r="A875" t="inlineStr">
        <is>
          <t>2026-10-30</t>
        </is>
      </c>
      <c r="B875" t="inlineStr">
        <is>
          <t>163110</t>
        </is>
      </c>
      <c r="C875" t="inlineStr">
        <is>
          <t>申万量化LOF</t>
        </is>
      </c>
      <c r="D875" t="n">
        <v>173.9174</v>
      </c>
      <c r="E875" t="n">
        <v>173.9174</v>
      </c>
      <c r="F875" t="n">
        <v>2.1404</v>
      </c>
      <c r="G875" t="n">
        <v>0</v>
      </c>
      <c r="H875" t="n">
        <v>0.037225</v>
      </c>
      <c r="I875" t="n">
        <v>0.036291</v>
      </c>
      <c r="J875" t="n">
        <v>0.000934</v>
      </c>
      <c r="K875" s="4">
        <f>IFERROR(J875/I875,"")</f>
        <v/>
      </c>
      <c r="L875" s="4">
        <f>IFERROR((D875-E875)/E875,"")</f>
        <v/>
      </c>
      <c r="M875" s="19">
        <f>IFERROR(F875*G875/10000,"")</f>
        <v/>
      </c>
    </row>
    <row r="876">
      <c r="A876" t="inlineStr">
        <is>
          <t>2026-10-30</t>
        </is>
      </c>
      <c r="B876" t="inlineStr">
        <is>
          <t>163111</t>
        </is>
      </c>
      <c r="C876" t="inlineStr">
        <is>
          <t>申万中小LOF</t>
        </is>
      </c>
      <c r="D876" t="n">
        <v>702.4054</v>
      </c>
      <c r="E876" t="n">
        <v>702.4054</v>
      </c>
      <c r="F876" t="n">
        <v>1.3062</v>
      </c>
      <c r="G876" t="n">
        <v>0</v>
      </c>
      <c r="H876" t="n">
        <v>0.091748</v>
      </c>
      <c r="I876" t="n">
        <v>0.090364</v>
      </c>
      <c r="J876" t="n">
        <v>0.001384</v>
      </c>
      <c r="K876" s="4">
        <f>IFERROR(J876/I876,"")</f>
        <v/>
      </c>
      <c r="L876" s="4">
        <f>IFERROR((D876-E876)/E876,"")</f>
        <v/>
      </c>
      <c r="M876" s="19">
        <f>IFERROR(F876*G876/10000,"")</f>
        <v/>
      </c>
    </row>
    <row r="877">
      <c r="A877" t="inlineStr">
        <is>
          <t>2026-10-30</t>
        </is>
      </c>
      <c r="B877" t="inlineStr">
        <is>
          <t>163113</t>
        </is>
      </c>
      <c r="C877" t="inlineStr">
        <is>
          <t>申万证券LOF</t>
        </is>
      </c>
      <c r="D877" t="n">
        <v>15391.054</v>
      </c>
      <c r="E877" t="n">
        <v>15393.7429</v>
      </c>
      <c r="F877" t="n">
        <v>0.8506</v>
      </c>
      <c r="G877" t="n">
        <v>-2.6889</v>
      </c>
      <c r="H877" t="n">
        <v>1.309163</v>
      </c>
      <c r="I877" t="n">
        <v>1.320629</v>
      </c>
      <c r="J877" t="n">
        <v>-0.011466</v>
      </c>
      <c r="K877" s="4">
        <f>IFERROR(J877/I877,"")</f>
        <v/>
      </c>
      <c r="L877" s="4">
        <f>IFERROR((D877-E877)/E877,"")</f>
        <v/>
      </c>
      <c r="M877" s="19">
        <f>IFERROR(F877*G877/10000,"")</f>
        <v/>
      </c>
    </row>
    <row r="878">
      <c r="A878" t="inlineStr">
        <is>
          <t>2026-10-30</t>
        </is>
      </c>
      <c r="B878" t="inlineStr">
        <is>
          <t>163114</t>
        </is>
      </c>
      <c r="C878" t="inlineStr">
        <is>
          <t>申万环保LOF</t>
        </is>
      </c>
      <c r="D878" t="n">
        <v>2307.9726</v>
      </c>
      <c r="E878" t="n">
        <v>2307.9726</v>
      </c>
      <c r="F878" t="n">
        <v>1.0504</v>
      </c>
      <c r="G878" t="n">
        <v>0</v>
      </c>
      <c r="H878" t="n">
        <v>0.242429</v>
      </c>
      <c r="I878" t="n">
        <v>0.241552</v>
      </c>
      <c r="J878" t="n">
        <v>0.000877</v>
      </c>
      <c r="K878" s="4">
        <f>IFERROR(J878/I878,"")</f>
        <v/>
      </c>
      <c r="L878" s="4">
        <f>IFERROR((D878-E878)/E878,"")</f>
        <v/>
      </c>
      <c r="M878" s="19">
        <f>IFERROR(F878*G878/10000,"")</f>
        <v/>
      </c>
    </row>
    <row r="879">
      <c r="A879" t="inlineStr">
        <is>
          <t>2026-10-30</t>
        </is>
      </c>
      <c r="B879" t="inlineStr">
        <is>
          <t>163115</t>
        </is>
      </c>
      <c r="C879" t="inlineStr">
        <is>
          <t>申万军工LOF</t>
        </is>
      </c>
      <c r="D879" t="n">
        <v>1818.2986</v>
      </c>
      <c r="E879" t="n">
        <v>1818.2212</v>
      </c>
      <c r="F879" t="n">
        <v>1.0233</v>
      </c>
      <c r="G879" t="n">
        <v>0.0774</v>
      </c>
      <c r="H879" t="n">
        <v>0.186066</v>
      </c>
      <c r="I879" t="n">
        <v>0.184477</v>
      </c>
      <c r="J879" t="n">
        <v>0.001589</v>
      </c>
      <c r="K879" s="4">
        <f>IFERROR(J879/I879,"")</f>
        <v/>
      </c>
      <c r="L879" s="4">
        <f>IFERROR((D879-E879)/E879,"")</f>
        <v/>
      </c>
      <c r="M879" s="19">
        <f>IFERROR(F879*G879/10000,"")</f>
        <v/>
      </c>
    </row>
    <row r="880">
      <c r="A880" t="inlineStr">
        <is>
          <t>2026-10-30</t>
        </is>
      </c>
      <c r="B880" t="inlineStr">
        <is>
          <t>163116</t>
        </is>
      </c>
      <c r="C880" t="inlineStr">
        <is>
          <t>申万电子LOF</t>
        </is>
      </c>
      <c r="D880" t="n">
        <v>418.6222</v>
      </c>
      <c r="E880" t="n">
        <v>420.5358</v>
      </c>
      <c r="F880" t="n">
        <v>1.5143</v>
      </c>
      <c r="G880" t="n">
        <v>-1.9136</v>
      </c>
      <c r="H880" t="n">
        <v>0.063392</v>
      </c>
      <c r="I880" t="n">
        <v>0.061112</v>
      </c>
      <c r="J880" t="n">
        <v>0.00228</v>
      </c>
      <c r="K880" s="4">
        <f>IFERROR(J880/I880,"")</f>
        <v/>
      </c>
      <c r="L880" s="4">
        <f>IFERROR((D880-E880)/E880,"")</f>
        <v/>
      </c>
      <c r="M880" s="19">
        <f>IFERROR(F880*G880/10000,"")</f>
        <v/>
      </c>
    </row>
    <row r="881">
      <c r="A881" t="inlineStr">
        <is>
          <t>2026-10-30</t>
        </is>
      </c>
      <c r="B881" t="inlineStr">
        <is>
          <t>163118</t>
        </is>
      </c>
      <c r="C881" t="inlineStr">
        <is>
          <t>医药生物LOF</t>
        </is>
      </c>
      <c r="D881" t="n">
        <v>4593.5226</v>
      </c>
      <c r="E881" t="n">
        <v>4603.5226</v>
      </c>
      <c r="F881" t="n">
        <v>0.6486</v>
      </c>
      <c r="G881" t="n">
        <v>-10</v>
      </c>
      <c r="H881" t="n">
        <v>0.297936</v>
      </c>
      <c r="I881" t="n">
        <v>0.296237</v>
      </c>
      <c r="J881" t="n">
        <v>0.001699</v>
      </c>
      <c r="K881" s="4">
        <f>IFERROR(J881/I881,"")</f>
        <v/>
      </c>
      <c r="L881" s="4">
        <f>IFERROR((D881-E881)/E881,"")</f>
        <v/>
      </c>
      <c r="M881" s="19">
        <f>IFERROR(F881*G881/10000,"")</f>
        <v/>
      </c>
    </row>
    <row r="882">
      <c r="A882" t="inlineStr">
        <is>
          <t>2026-10-30</t>
        </is>
      </c>
      <c r="B882" t="inlineStr">
        <is>
          <t>163208</t>
        </is>
      </c>
      <c r="C882" t="inlineStr">
        <is>
          <t>全球油气能源LOF</t>
        </is>
      </c>
      <c r="D882" t="n">
        <v>2576.244</v>
      </c>
      <c r="E882" t="n">
        <v>2576.244</v>
      </c>
      <c r="F882" t="n">
        <v>1.511</v>
      </c>
      <c r="G882" t="n">
        <v>0</v>
      </c>
      <c r="H882" t="n">
        <v>0.38927</v>
      </c>
      <c r="I882" t="n">
        <v>0.396484</v>
      </c>
      <c r="J882" t="n">
        <v>-0.007214</v>
      </c>
      <c r="K882" s="4">
        <f>IFERROR(J882/I882,"")</f>
        <v/>
      </c>
      <c r="L882" s="4">
        <f>IFERROR((D882-E882)/E882,"")</f>
        <v/>
      </c>
      <c r="M882" s="19">
        <f>IFERROR(F882*G882/10000,"")</f>
        <v/>
      </c>
    </row>
    <row r="883">
      <c r="A883" t="inlineStr">
        <is>
          <t>2026-10-30</t>
        </is>
      </c>
      <c r="B883" t="inlineStr">
        <is>
          <t>163302</t>
        </is>
      </c>
      <c r="C883" t="inlineStr">
        <is>
          <t>大摩资源LOF</t>
        </is>
      </c>
      <c r="D883" t="n">
        <v>948.1546</v>
      </c>
      <c r="E883" t="n">
        <v>949.8546</v>
      </c>
      <c r="F883" t="n">
        <v>0.9368</v>
      </c>
      <c r="G883" t="n">
        <v>-1.7</v>
      </c>
      <c r="H883" t="n">
        <v>0.088823</v>
      </c>
      <c r="I883" t="n">
        <v>0.08816599999999999</v>
      </c>
      <c r="J883" t="n">
        <v>0.000657</v>
      </c>
      <c r="K883" s="4">
        <f>IFERROR(J883/I883,"")</f>
        <v/>
      </c>
      <c r="L883" s="4">
        <f>IFERROR((D883-E883)/E883,"")</f>
        <v/>
      </c>
      <c r="M883" s="19">
        <f>IFERROR(F883*G883/10000,"")</f>
        <v/>
      </c>
    </row>
    <row r="884">
      <c r="A884" t="inlineStr">
        <is>
          <t>2026-10-30</t>
        </is>
      </c>
      <c r="B884" t="inlineStr">
        <is>
          <t>163402</t>
        </is>
      </c>
      <c r="C884" t="inlineStr">
        <is>
          <t>兴全趋势LOF</t>
        </is>
      </c>
      <c r="D884" t="n">
        <v>60920.4003</v>
      </c>
      <c r="E884" t="n">
        <v>60916.4087</v>
      </c>
      <c r="F884" t="n">
        <v>0.7528</v>
      </c>
      <c r="G884" t="n">
        <v>3.9916</v>
      </c>
      <c r="H884" t="n">
        <v>4.586088</v>
      </c>
      <c r="I884" t="n">
        <v>4.482839</v>
      </c>
      <c r="J884" t="n">
        <v>0.103249</v>
      </c>
      <c r="K884" s="4">
        <f>IFERROR(J884/I884,"")</f>
        <v/>
      </c>
      <c r="L884" s="4">
        <f>IFERROR((D884-E884)/E884,"")</f>
        <v/>
      </c>
      <c r="M884" s="19">
        <f>IFERROR(F884*G884/10000,"")</f>
        <v/>
      </c>
    </row>
    <row r="885">
      <c r="A885" t="inlineStr">
        <is>
          <t>2026-10-30</t>
        </is>
      </c>
      <c r="B885" t="inlineStr">
        <is>
          <t>163406</t>
        </is>
      </c>
      <c r="C885" t="inlineStr">
        <is>
          <t>兴全合润LOF</t>
        </is>
      </c>
      <c r="D885" t="n">
        <v>20454.2593</v>
      </c>
      <c r="E885" t="n">
        <v>20448.488</v>
      </c>
      <c r="F885" t="n">
        <v>1.9408</v>
      </c>
      <c r="G885" t="n">
        <v>5.7713</v>
      </c>
      <c r="H885" t="n">
        <v>3.969763</v>
      </c>
      <c r="I885" t="n">
        <v>3.875602</v>
      </c>
      <c r="J885" t="n">
        <v>0.09416099999999999</v>
      </c>
      <c r="K885" s="4">
        <f>IFERROR(J885/I885,"")</f>
        <v/>
      </c>
      <c r="L885" s="4">
        <f>IFERROR((D885-E885)/E885,"")</f>
        <v/>
      </c>
      <c r="M885" s="19">
        <f>IFERROR(F885*G885/10000,"")</f>
        <v/>
      </c>
    </row>
    <row r="886">
      <c r="A886" t="inlineStr">
        <is>
          <t>2026-10-30</t>
        </is>
      </c>
      <c r="B886" t="inlineStr">
        <is>
          <t>163407</t>
        </is>
      </c>
      <c r="C886" t="inlineStr">
        <is>
          <t>兴全沪深300LOF</t>
        </is>
      </c>
      <c r="D886" t="n">
        <v>2474.2514</v>
      </c>
      <c r="E886" t="n">
        <v>2474.2504</v>
      </c>
      <c r="F886" t="n">
        <v>2.5132</v>
      </c>
      <c r="G886" t="n">
        <v>0.001</v>
      </c>
      <c r="H886" t="n">
        <v>0.621829</v>
      </c>
      <c r="I886" t="n">
        <v>0.617375</v>
      </c>
      <c r="J886" t="n">
        <v>0.004454</v>
      </c>
      <c r="K886" s="4">
        <f>IFERROR(J886/I886,"")</f>
        <v/>
      </c>
      <c r="L886" s="4">
        <f>IFERROR((D886-E886)/E886,"")</f>
        <v/>
      </c>
      <c r="M886" s="19">
        <f>IFERROR(F886*G886/10000,"")</f>
        <v/>
      </c>
    </row>
    <row r="887">
      <c r="A887" t="inlineStr">
        <is>
          <t>2026-10-30</t>
        </is>
      </c>
      <c r="B887" t="inlineStr">
        <is>
          <t>163409</t>
        </is>
      </c>
      <c r="C887" t="inlineStr">
        <is>
          <t>兴全绿色LOF</t>
        </is>
      </c>
      <c r="D887" t="n">
        <v>3227.6523</v>
      </c>
      <c r="E887" t="n">
        <v>3227.4069</v>
      </c>
      <c r="F887" t="n">
        <v>1.274</v>
      </c>
      <c r="G887" t="n">
        <v>0.2454</v>
      </c>
      <c r="H887" t="n">
        <v>0.411203</v>
      </c>
      <c r="I887" t="n">
        <v>0.399876</v>
      </c>
      <c r="J887" t="n">
        <v>0.011327</v>
      </c>
      <c r="K887" s="4">
        <f>IFERROR(J887/I887,"")</f>
        <v/>
      </c>
      <c r="L887" s="4">
        <f>IFERROR((D887-E887)/E887,"")</f>
        <v/>
      </c>
      <c r="M887" s="19">
        <f>IFERROR(F887*G887/10000,"")</f>
        <v/>
      </c>
    </row>
    <row r="888">
      <c r="A888" t="inlineStr">
        <is>
          <t>2026-10-30</t>
        </is>
      </c>
      <c r="B888" t="inlineStr">
        <is>
          <t>163412</t>
        </is>
      </c>
      <c r="C888" t="inlineStr">
        <is>
          <t>兴全轻资产LOF</t>
        </is>
      </c>
      <c r="D888" t="n">
        <v>2209.9932</v>
      </c>
      <c r="E888" t="n">
        <v>2207.2983</v>
      </c>
      <c r="F888" t="n">
        <v>3.198</v>
      </c>
      <c r="G888" t="n">
        <v>2.6949</v>
      </c>
      <c r="H888" t="n">
        <v>0.7067560000000001</v>
      </c>
      <c r="I888" t="n">
        <v>0.688456</v>
      </c>
      <c r="J888" t="n">
        <v>0.0183</v>
      </c>
      <c r="K888" s="4">
        <f>IFERROR(J888/I888,"")</f>
        <v/>
      </c>
      <c r="L888" s="4">
        <f>IFERROR((D888-E888)/E888,"")</f>
        <v/>
      </c>
      <c r="M888" s="19">
        <f>IFERROR(F888*G888/10000,"")</f>
        <v/>
      </c>
    </row>
    <row r="889">
      <c r="A889" t="inlineStr">
        <is>
          <t>2026-10-30</t>
        </is>
      </c>
      <c r="B889" t="inlineStr">
        <is>
          <t>163415</t>
        </is>
      </c>
      <c r="C889" t="inlineStr">
        <is>
          <t>兴全商业模式LOF</t>
        </is>
      </c>
      <c r="D889" t="n">
        <v>6258.7479</v>
      </c>
      <c r="E889" t="n">
        <v>6249.5074</v>
      </c>
      <c r="F889" t="n">
        <v>4.325</v>
      </c>
      <c r="G889" t="n">
        <v>9.240500000000001</v>
      </c>
      <c r="H889" t="n">
        <v>2.706908</v>
      </c>
      <c r="I889" t="n">
        <v>2.637292</v>
      </c>
      <c r="J889" t="n">
        <v>0.069616</v>
      </c>
      <c r="K889" s="4">
        <f>IFERROR(J889/I889,"")</f>
        <v/>
      </c>
      <c r="L889" s="4">
        <f>IFERROR((D889-E889)/E889,"")</f>
        <v/>
      </c>
      <c r="M889" s="19">
        <f>IFERROR(F889*G889/10000,"")</f>
        <v/>
      </c>
    </row>
    <row r="890">
      <c r="A890" t="inlineStr">
        <is>
          <t>2026-10-30</t>
        </is>
      </c>
      <c r="B890" t="inlineStr">
        <is>
          <t>163417</t>
        </is>
      </c>
      <c r="C890" t="inlineStr">
        <is>
          <t>兴全合宜LOF</t>
        </is>
      </c>
      <c r="D890" t="n">
        <v>97912.2172</v>
      </c>
      <c r="E890" t="n">
        <v>97948.3757</v>
      </c>
      <c r="F890" t="n">
        <v>1.7749</v>
      </c>
      <c r="G890" t="n">
        <v>-36.1585</v>
      </c>
      <c r="H890" t="n">
        <v>17.378439</v>
      </c>
      <c r="I890" t="n">
        <v>16.978371</v>
      </c>
      <c r="J890" t="n">
        <v>0.400068</v>
      </c>
      <c r="K890" s="4">
        <f>IFERROR(J890/I890,"")</f>
        <v/>
      </c>
      <c r="L890" s="4">
        <f>IFERROR((D890-E890)/E890,"")</f>
        <v/>
      </c>
      <c r="M890" s="19">
        <f>IFERROR(F890*G890/10000,"")</f>
        <v/>
      </c>
    </row>
    <row r="891">
      <c r="A891" t="inlineStr">
        <is>
          <t>2026-10-30</t>
        </is>
      </c>
      <c r="B891" t="inlineStr">
        <is>
          <t>163418</t>
        </is>
      </c>
      <c r="C891" t="inlineStr">
        <is>
          <t>兴全合兴LOF</t>
        </is>
      </c>
      <c r="D891" t="n">
        <v>18655.7425</v>
      </c>
      <c r="E891" t="n">
        <v>18655.7425</v>
      </c>
      <c r="F891" t="n">
        <v>0.7621</v>
      </c>
      <c r="G891" t="n">
        <v>0</v>
      </c>
      <c r="H891" t="n">
        <v>1.421754</v>
      </c>
      <c r="I891" t="n">
        <v>1.392465</v>
      </c>
      <c r="J891" t="n">
        <v>0.029289</v>
      </c>
      <c r="K891" s="4">
        <f>IFERROR(J891/I891,"")</f>
        <v/>
      </c>
      <c r="L891" s="4">
        <f>IFERROR((D891-E891)/E891,"")</f>
        <v/>
      </c>
      <c r="M891" s="19">
        <f>IFERROR(F891*G891/10000,"")</f>
        <v/>
      </c>
    </row>
    <row r="892">
      <c r="A892" t="inlineStr">
        <is>
          <t>2026-10-30</t>
        </is>
      </c>
      <c r="B892" t="inlineStr">
        <is>
          <t>163503</t>
        </is>
      </c>
      <c r="C892" t="inlineStr">
        <is>
          <t>天治核心LOF</t>
        </is>
      </c>
      <c r="D892" t="n">
        <v>6629.0089</v>
      </c>
      <c r="E892" t="n">
        <v>6629.0089</v>
      </c>
      <c r="F892" t="n">
        <v>0.3514</v>
      </c>
      <c r="G892" t="n">
        <v>0</v>
      </c>
      <c r="H892" t="n">
        <v>0.232943</v>
      </c>
      <c r="I892" t="n">
        <v>0.230623</v>
      </c>
      <c r="J892" t="n">
        <v>0.00232</v>
      </c>
      <c r="K892" s="4">
        <f>IFERROR(J892/I892,"")</f>
        <v/>
      </c>
      <c r="L892" s="4">
        <f>IFERROR((D892-E892)/E892,"")</f>
        <v/>
      </c>
      <c r="M892" s="19">
        <f>IFERROR(F892*G892/10000,"")</f>
        <v/>
      </c>
    </row>
    <row r="893">
      <c r="A893" t="inlineStr">
        <is>
          <t>2026-10-30</t>
        </is>
      </c>
      <c r="B893" t="inlineStr">
        <is>
          <t>163801</t>
        </is>
      </c>
      <c r="C893" t="inlineStr">
        <is>
          <t>中银中国LOF</t>
        </is>
      </c>
      <c r="D893" t="n">
        <v>2831.6616</v>
      </c>
      <c r="E893" t="n">
        <v>2831.967</v>
      </c>
      <c r="F893" t="n">
        <v>0.6935</v>
      </c>
      <c r="G893" t="n">
        <v>-0.3054</v>
      </c>
      <c r="H893" t="n">
        <v>0.196376</v>
      </c>
      <c r="I893" t="n">
        <v>0.19399</v>
      </c>
      <c r="J893" t="n">
        <v>0.002386</v>
      </c>
      <c r="K893" s="4">
        <f>IFERROR(J893/I893,"")</f>
        <v/>
      </c>
      <c r="L893" s="4">
        <f>IFERROR((D893-E893)/E893,"")</f>
        <v/>
      </c>
      <c r="M893" s="19">
        <f>IFERROR(F893*G893/10000,"")</f>
        <v/>
      </c>
    </row>
    <row r="894">
      <c r="A894" t="inlineStr">
        <is>
          <t>2026-10-30</t>
        </is>
      </c>
      <c r="B894" t="inlineStr">
        <is>
          <t>163819</t>
        </is>
      </c>
      <c r="C894" t="inlineStr">
        <is>
          <t>中银信用增利LOF</t>
        </is>
      </c>
      <c r="D894" t="n">
        <v>1339.7146</v>
      </c>
      <c r="E894" t="n">
        <v>1339.7146</v>
      </c>
      <c r="F894" t="n">
        <v>1.2039</v>
      </c>
      <c r="G894" t="n">
        <v>0</v>
      </c>
      <c r="H894" t="n">
        <v>0.161288</v>
      </c>
      <c r="I894" t="n">
        <v>0.161235</v>
      </c>
      <c r="J894" t="n">
        <v>5.3e-05</v>
      </c>
      <c r="K894" s="4">
        <f>IFERROR(J894/I894,"")</f>
        <v/>
      </c>
      <c r="L894" s="4">
        <f>IFERROR((D894-E894)/E894,"")</f>
        <v/>
      </c>
      <c r="M894" s="19">
        <f>IFERROR(F894*G894/10000,"")</f>
        <v/>
      </c>
    </row>
    <row r="895">
      <c r="A895" t="inlineStr">
        <is>
          <t>2026-10-30</t>
        </is>
      </c>
      <c r="B895" t="inlineStr">
        <is>
          <t>163821</t>
        </is>
      </c>
      <c r="C895" t="inlineStr">
        <is>
          <t>沪深300等权LOF</t>
        </is>
      </c>
      <c r="D895" t="n">
        <v>52.2375</v>
      </c>
      <c r="E895" t="n">
        <v>64.9575</v>
      </c>
      <c r="F895" t="n">
        <v>1.9138</v>
      </c>
      <c r="G895" t="n">
        <v>-12.72</v>
      </c>
      <c r="H895" t="n">
        <v>0.009997000000000001</v>
      </c>
      <c r="I895" t="n">
        <v>0.012409</v>
      </c>
      <c r="J895" t="n">
        <v>-0.002412</v>
      </c>
      <c r="K895" s="4">
        <f>IFERROR(J895/I895,"")</f>
        <v/>
      </c>
      <c r="L895" s="4">
        <f>IFERROR((D895-E895)/E895,"")</f>
        <v/>
      </c>
      <c r="M895" s="19">
        <f>IFERROR(F895*G895/10000,"")</f>
        <v/>
      </c>
    </row>
    <row r="896">
      <c r="A896" t="inlineStr">
        <is>
          <t>2026-10-30</t>
        </is>
      </c>
      <c r="B896" t="inlineStr">
        <is>
          <t>163907</t>
        </is>
      </c>
      <c r="C896" t="inlineStr">
        <is>
          <t>中海惠裕LOF</t>
        </is>
      </c>
      <c r="D896" t="n">
        <v>105.3439</v>
      </c>
      <c r="E896" t="n">
        <v>105.3439</v>
      </c>
      <c r="F896" t="n">
        <v>0.802</v>
      </c>
      <c r="G896" t="n">
        <v>0</v>
      </c>
      <c r="H896" t="n">
        <v>0.008449</v>
      </c>
      <c r="I896" t="n">
        <v>0.008449</v>
      </c>
      <c r="J896" t="n">
        <v>0</v>
      </c>
      <c r="K896" s="4">
        <f>IFERROR(J896/I896,"")</f>
        <v/>
      </c>
      <c r="L896" s="4">
        <f>IFERROR((D896-E896)/E896,"")</f>
        <v/>
      </c>
      <c r="M896" s="19">
        <f>IFERROR(F896*G896/10000,"")</f>
        <v/>
      </c>
    </row>
    <row r="897">
      <c r="A897" t="inlineStr">
        <is>
          <t>2026-10-30</t>
        </is>
      </c>
      <c r="B897" t="inlineStr">
        <is>
          <t>164105</t>
        </is>
      </c>
      <c r="C897" t="inlineStr">
        <is>
          <t>华富强债LOF</t>
        </is>
      </c>
      <c r="D897" t="n">
        <v>2677.2038</v>
      </c>
      <c r="E897" t="n">
        <v>2677.2038</v>
      </c>
      <c r="F897" t="n">
        <v>1.5745</v>
      </c>
      <c r="G897" t="n">
        <v>0</v>
      </c>
      <c r="H897" t="n">
        <v>0.421526</v>
      </c>
      <c r="I897" t="n">
        <v>0.421124</v>
      </c>
      <c r="J897" t="n">
        <v>0.000402</v>
      </c>
      <c r="K897" s="4">
        <f>IFERROR(J897/I897,"")</f>
        <v/>
      </c>
      <c r="L897" s="4">
        <f>IFERROR((D897-E897)/E897,"")</f>
        <v/>
      </c>
      <c r="M897" s="19">
        <f>IFERROR(F897*G897/10000,"")</f>
        <v/>
      </c>
    </row>
    <row r="898">
      <c r="A898" t="inlineStr">
        <is>
          <t>2026-10-30</t>
        </is>
      </c>
      <c r="B898" t="inlineStr">
        <is>
          <t>164206</t>
        </is>
      </c>
      <c r="C898" t="inlineStr">
        <is>
          <t>天弘添利LOF</t>
        </is>
      </c>
      <c r="D898" t="n">
        <v>1101.94</v>
      </c>
      <c r="E898" t="n">
        <v>1106.37</v>
      </c>
      <c r="F898" t="n">
        <v>1.6447</v>
      </c>
      <c r="G898" t="n">
        <v>-4.43</v>
      </c>
      <c r="H898" t="n">
        <v>0.181236</v>
      </c>
      <c r="I898" t="n">
        <v>0.181633</v>
      </c>
      <c r="J898" t="n">
        <v>-0.000397</v>
      </c>
      <c r="K898" s="4">
        <f>IFERROR(J898/I898,"")</f>
        <v/>
      </c>
      <c r="L898" s="4">
        <f>IFERROR((D898-E898)/E898,"")</f>
        <v/>
      </c>
      <c r="M898" s="19">
        <f>IFERROR(F898*G898/10000,"")</f>
        <v/>
      </c>
    </row>
    <row r="899">
      <c r="A899" t="inlineStr">
        <is>
          <t>2026-10-30</t>
        </is>
      </c>
      <c r="B899" t="inlineStr">
        <is>
          <t>164208</t>
        </is>
      </c>
      <c r="C899" t="inlineStr">
        <is>
          <t>天弘丰利LOF</t>
        </is>
      </c>
      <c r="D899" t="n">
        <v>79.0436</v>
      </c>
      <c r="E899" t="n">
        <v>79.0436</v>
      </c>
      <c r="F899" t="n">
        <v>1.4148</v>
      </c>
      <c r="G899" t="n">
        <v>0</v>
      </c>
      <c r="H899" t="n">
        <v>0.011183</v>
      </c>
      <c r="I899" t="n">
        <v>0.011179</v>
      </c>
      <c r="J899" t="n">
        <v>4e-06</v>
      </c>
      <c r="K899" s="4">
        <f>IFERROR(J899/I899,"")</f>
        <v/>
      </c>
      <c r="L899" s="4">
        <f>IFERROR((D899-E899)/E899,"")</f>
        <v/>
      </c>
      <c r="M899" s="19">
        <f>IFERROR(F899*G899/10000,"")</f>
        <v/>
      </c>
    </row>
    <row r="900">
      <c r="A900" t="inlineStr">
        <is>
          <t>2026-10-30</t>
        </is>
      </c>
      <c r="B900" t="inlineStr">
        <is>
          <t>164210</t>
        </is>
      </c>
      <c r="C900" t="inlineStr">
        <is>
          <t>天弘同利LOF</t>
        </is>
      </c>
      <c r="D900" t="n">
        <v>97.3013</v>
      </c>
      <c r="E900" t="n">
        <v>97.3013</v>
      </c>
      <c r="F900" t="n">
        <v>1.264</v>
      </c>
      <c r="G900" t="n">
        <v>0</v>
      </c>
      <c r="H900" t="n">
        <v>0.012299</v>
      </c>
      <c r="I900" t="n">
        <v>0.012299</v>
      </c>
      <c r="J900" t="n">
        <v>0</v>
      </c>
      <c r="K900" s="4">
        <f>IFERROR(J900/I900,"")</f>
        <v/>
      </c>
      <c r="L900" s="4">
        <f>IFERROR((D900-E900)/E900,"")</f>
        <v/>
      </c>
      <c r="M900" s="19">
        <f>IFERROR(F900*G900/10000,"")</f>
        <v/>
      </c>
    </row>
    <row r="901">
      <c r="A901" t="inlineStr">
        <is>
          <t>2026-10-30</t>
        </is>
      </c>
      <c r="B901" t="inlineStr">
        <is>
          <t>164403</t>
        </is>
      </c>
      <c r="C901" t="inlineStr">
        <is>
          <t>农业精选LOF</t>
        </is>
      </c>
      <c r="D901" t="n">
        <v>2074.6473</v>
      </c>
      <c r="E901" t="n">
        <v>2069.7207</v>
      </c>
      <c r="F901" t="n">
        <v>0.8599</v>
      </c>
      <c r="G901" t="n">
        <v>4.9266</v>
      </c>
      <c r="H901" t="n">
        <v>0.178399</v>
      </c>
      <c r="I901" t="n">
        <v>0.180169</v>
      </c>
      <c r="J901" t="n">
        <v>-0.00177</v>
      </c>
      <c r="K901" s="4">
        <f>IFERROR(J901/I901,"")</f>
        <v/>
      </c>
      <c r="L901" s="4">
        <f>IFERROR((D901-E901)/E901,"")</f>
        <v/>
      </c>
      <c r="M901" s="19">
        <f>IFERROR(F901*G901/10000,"")</f>
        <v/>
      </c>
    </row>
    <row r="902">
      <c r="A902" t="inlineStr">
        <is>
          <t>2026-10-30</t>
        </is>
      </c>
      <c r="B902" t="inlineStr">
        <is>
          <t>164508</t>
        </is>
      </c>
      <c r="C902" t="inlineStr">
        <is>
          <t>国富中证A100LOF</t>
        </is>
      </c>
      <c r="D902" t="n">
        <v>130.8893</v>
      </c>
      <c r="E902" t="n">
        <v>130.8872</v>
      </c>
      <c r="F902" t="n">
        <v>1.148</v>
      </c>
      <c r="G902" t="n">
        <v>0.0021</v>
      </c>
      <c r="H902" t="n">
        <v>0.015026</v>
      </c>
      <c r="I902" t="n">
        <v>0.014869</v>
      </c>
      <c r="J902" t="n">
        <v>0.000157</v>
      </c>
      <c r="K902" s="4">
        <f>IFERROR(J902/I902,"")</f>
        <v/>
      </c>
      <c r="L902" s="4">
        <f>IFERROR((D902-E902)/E902,"")</f>
        <v/>
      </c>
      <c r="M902" s="19">
        <f>IFERROR(F902*G902/10000,"")</f>
        <v/>
      </c>
    </row>
    <row r="903">
      <c r="A903" t="inlineStr">
        <is>
          <t>2026-10-30</t>
        </is>
      </c>
      <c r="B903" t="inlineStr">
        <is>
          <t>164509</t>
        </is>
      </c>
      <c r="C903" t="inlineStr">
        <is>
          <t>国富恒利债券LOF</t>
        </is>
      </c>
      <c r="D903" t="n">
        <v>105.6732</v>
      </c>
      <c r="E903" t="n">
        <v>105.8132</v>
      </c>
      <c r="F903" t="n">
        <v>0.7334000000000001</v>
      </c>
      <c r="G903" t="n">
        <v>-0.14</v>
      </c>
      <c r="H903" t="n">
        <v>0.00775</v>
      </c>
      <c r="I903" t="n">
        <v>0.007761</v>
      </c>
      <c r="J903" t="n">
        <v>-1.1e-05</v>
      </c>
      <c r="K903" s="4">
        <f>IFERROR(J903/I903,"")</f>
        <v/>
      </c>
      <c r="L903" s="4">
        <f>IFERROR((D903-E903)/E903,"")</f>
        <v/>
      </c>
      <c r="M903" s="19">
        <f>IFERROR(F903*G903/10000,"")</f>
        <v/>
      </c>
    </row>
    <row r="904">
      <c r="A904" t="inlineStr">
        <is>
          <t>2026-10-30</t>
        </is>
      </c>
      <c r="B904" t="inlineStr">
        <is>
          <t>164606</t>
        </is>
      </c>
      <c r="C904" t="inlineStr">
        <is>
          <t>信用增利LOF</t>
        </is>
      </c>
      <c r="D904" t="n">
        <v>40.0621</v>
      </c>
      <c r="E904" t="n">
        <v>40.0621</v>
      </c>
      <c r="F904" t="n">
        <v>1.2361</v>
      </c>
      <c r="G904" t="n">
        <v>0</v>
      </c>
      <c r="H904" t="n">
        <v>0.004952</v>
      </c>
      <c r="I904" t="n">
        <v>0.004941</v>
      </c>
      <c r="J904" t="n">
        <v>1.1e-05</v>
      </c>
      <c r="K904" s="4">
        <f>IFERROR(J904/I904,"")</f>
        <v/>
      </c>
      <c r="L904" s="4">
        <f>IFERROR((D904-E904)/E904,"")</f>
        <v/>
      </c>
      <c r="M904" s="19">
        <f>IFERROR(F904*G904/10000,"")</f>
        <v/>
      </c>
    </row>
    <row r="905">
      <c r="A905" t="inlineStr">
        <is>
          <t>2026-10-30</t>
        </is>
      </c>
      <c r="B905" t="inlineStr">
        <is>
          <t>164701</t>
        </is>
      </c>
      <c r="C905" t="inlineStr">
        <is>
          <t>黄金LOF</t>
        </is>
      </c>
      <c r="D905" t="n">
        <v>28168.4307</v>
      </c>
      <c r="E905" t="n">
        <v>28168.3694</v>
      </c>
      <c r="F905" t="n">
        <v>1.559</v>
      </c>
      <c r="G905" t="n">
        <v>0.0613</v>
      </c>
      <c r="H905" t="n">
        <v>4.391458</v>
      </c>
      <c r="I905" t="n">
        <v>4.337929</v>
      </c>
      <c r="J905" t="n">
        <v>0.053529</v>
      </c>
      <c r="K905" s="4">
        <f>IFERROR(J905/I905,"")</f>
        <v/>
      </c>
      <c r="L905" s="4">
        <f>IFERROR((D905-E905)/E905,"")</f>
        <v/>
      </c>
      <c r="M905" s="19">
        <f>IFERROR(F905*G905/10000,"")</f>
        <v/>
      </c>
    </row>
    <row r="906">
      <c r="A906" t="inlineStr">
        <is>
          <t>2026-10-30</t>
        </is>
      </c>
      <c r="B906" t="inlineStr">
        <is>
          <t>164703</t>
        </is>
      </c>
      <c r="C906" t="inlineStr">
        <is>
          <t>汇添富纯债LOF</t>
        </is>
      </c>
      <c r="D906" t="n">
        <v>2325.8483</v>
      </c>
      <c r="E906" t="n">
        <v>2325.8483</v>
      </c>
      <c r="F906" t="n">
        <v>0.8816000000000001</v>
      </c>
      <c r="G906" t="n">
        <v>0</v>
      </c>
      <c r="H906" t="n">
        <v>0.205047</v>
      </c>
      <c r="I906" t="n">
        <v>0.20507</v>
      </c>
      <c r="J906" t="n">
        <v>-2.3e-05</v>
      </c>
      <c r="K906" s="4">
        <f>IFERROR(J906/I906,"")</f>
        <v/>
      </c>
      <c r="L906" s="4">
        <f>IFERROR((D906-E906)/E906,"")</f>
        <v/>
      </c>
      <c r="M906" s="19">
        <f>IFERROR(F906*G906/10000,"")</f>
        <v/>
      </c>
    </row>
    <row r="907">
      <c r="A907" t="inlineStr">
        <is>
          <t>2026-10-30</t>
        </is>
      </c>
      <c r="B907" t="inlineStr">
        <is>
          <t>164705</t>
        </is>
      </c>
      <c r="C907" t="inlineStr">
        <is>
          <t>恒生LOF</t>
        </is>
      </c>
      <c r="D907" t="n">
        <v>3651.7749</v>
      </c>
      <c r="E907" t="n">
        <v>3651.7749</v>
      </c>
      <c r="F907" t="n">
        <v>1.032</v>
      </c>
      <c r="G907" t="n">
        <v>0</v>
      </c>
      <c r="H907" t="n">
        <v>0.376863</v>
      </c>
      <c r="I907" t="n">
        <v>0.376096</v>
      </c>
      <c r="J907" t="n">
        <v>0.000767</v>
      </c>
      <c r="K907" s="4">
        <f>IFERROR(J907/I907,"")</f>
        <v/>
      </c>
      <c r="L907" s="4">
        <f>IFERROR((D907-E907)/E907,"")</f>
        <v/>
      </c>
      <c r="M907" s="19">
        <f>IFERROR(F907*G907/10000,"")</f>
        <v/>
      </c>
    </row>
    <row r="908">
      <c r="A908" t="inlineStr">
        <is>
          <t>2026-10-30</t>
        </is>
      </c>
      <c r="B908" t="inlineStr">
        <is>
          <t>164808</t>
        </is>
      </c>
      <c r="C908" t="inlineStr">
        <is>
          <t>工银四季LOF</t>
        </is>
      </c>
      <c r="D908" t="n">
        <v>716.4648999999999</v>
      </c>
      <c r="E908" t="n">
        <v>716.4648999999999</v>
      </c>
      <c r="F908" t="n">
        <v>1.1019</v>
      </c>
      <c r="G908" t="n">
        <v>0</v>
      </c>
      <c r="H908" t="n">
        <v>0.078947</v>
      </c>
      <c r="I908" t="n">
        <v>0.078926</v>
      </c>
      <c r="J908" t="n">
        <v>2.1e-05</v>
      </c>
      <c r="K908" s="4">
        <f>IFERROR(J908/I908,"")</f>
        <v/>
      </c>
      <c r="L908" s="4">
        <f>IFERROR((D908-E908)/E908,"")</f>
        <v/>
      </c>
      <c r="M908" s="19">
        <f>IFERROR(F908*G908/10000,"")</f>
        <v/>
      </c>
    </row>
    <row r="909">
      <c r="A909" t="inlineStr">
        <is>
          <t>2026-10-30</t>
        </is>
      </c>
      <c r="B909" t="inlineStr">
        <is>
          <t>164810</t>
        </is>
      </c>
      <c r="C909" t="inlineStr">
        <is>
          <t>工银纯债定开</t>
        </is>
      </c>
      <c r="D909" t="n">
        <v>2677.9318</v>
      </c>
      <c r="E909" t="n">
        <v>2677.9318</v>
      </c>
      <c r="F909" t="n">
        <v>1.036</v>
      </c>
      <c r="G909" t="n">
        <v>0</v>
      </c>
      <c r="H909" t="n">
        <v>0.277434</v>
      </c>
      <c r="I909" t="n">
        <v>0.277461</v>
      </c>
      <c r="J909" t="n">
        <v>-2.7e-05</v>
      </c>
      <c r="K909" s="4">
        <f>IFERROR(J909/I909,"")</f>
        <v/>
      </c>
      <c r="L909" s="4">
        <f>IFERROR((D909-E909)/E909,"")</f>
        <v/>
      </c>
      <c r="M909" s="19">
        <f>IFERROR(F909*G909/10000,"")</f>
        <v/>
      </c>
    </row>
    <row r="910">
      <c r="A910" t="inlineStr">
        <is>
          <t>2026-10-30</t>
        </is>
      </c>
      <c r="B910" t="inlineStr">
        <is>
          <t>164814</t>
        </is>
      </c>
      <c r="C910" t="inlineStr">
        <is>
          <t>工银双债LOF</t>
        </is>
      </c>
      <c r="D910" t="n">
        <v>145.2399</v>
      </c>
      <c r="E910" t="n">
        <v>145.4479</v>
      </c>
      <c r="F910" t="n">
        <v>0.962</v>
      </c>
      <c r="G910" t="n">
        <v>-0.208</v>
      </c>
      <c r="H910" t="n">
        <v>0.013972</v>
      </c>
      <c r="I910" t="n">
        <v>0.01373</v>
      </c>
      <c r="J910" t="n">
        <v>0.000242</v>
      </c>
      <c r="K910" s="4">
        <f>IFERROR(J910/I910,"")</f>
        <v/>
      </c>
      <c r="L910" s="4">
        <f>IFERROR((D910-E910)/E910,"")</f>
        <v/>
      </c>
      <c r="M910" s="19">
        <f>IFERROR(F910*G910/10000,"")</f>
        <v/>
      </c>
    </row>
    <row r="911">
      <c r="A911" t="inlineStr">
        <is>
          <t>2026-10-30</t>
        </is>
      </c>
      <c r="B911" t="inlineStr">
        <is>
          <t>164824</t>
        </is>
      </c>
      <c r="C911" t="inlineStr">
        <is>
          <t>印度基金LOF</t>
        </is>
      </c>
      <c r="D911" t="n">
        <v>116171.9487</v>
      </c>
      <c r="E911" t="n">
        <v>116202.7736</v>
      </c>
      <c r="F911" t="n">
        <v>1.2228</v>
      </c>
      <c r="G911" t="n">
        <v>-30.8249</v>
      </c>
      <c r="H911" t="n">
        <v>14.205506</v>
      </c>
      <c r="I911" t="n">
        <v>14.156984</v>
      </c>
      <c r="J911" t="n">
        <v>0.048522</v>
      </c>
      <c r="K911" s="4">
        <f>IFERROR(J911/I911,"")</f>
        <v/>
      </c>
      <c r="L911" s="4">
        <f>IFERROR((D911-E911)/E911,"")</f>
        <v/>
      </c>
      <c r="M911" s="19">
        <f>IFERROR(F911*G911/10000,"")</f>
        <v/>
      </c>
    </row>
    <row r="912">
      <c r="A912" t="inlineStr">
        <is>
          <t>2026-10-30</t>
        </is>
      </c>
      <c r="B912" t="inlineStr">
        <is>
          <t>164902</t>
        </is>
      </c>
      <c r="C912" t="inlineStr">
        <is>
          <t>交银添利LOF</t>
        </is>
      </c>
      <c r="D912" t="n">
        <v>49.3848</v>
      </c>
      <c r="E912" t="n">
        <v>49.3848</v>
      </c>
      <c r="F912" t="n">
        <v>1.1459</v>
      </c>
      <c r="G912" t="n">
        <v>0</v>
      </c>
      <c r="H912" t="n">
        <v>0.005659</v>
      </c>
      <c r="I912" t="n">
        <v>0.005646</v>
      </c>
      <c r="J912" t="n">
        <v>1.3e-05</v>
      </c>
      <c r="K912" s="4">
        <f>IFERROR(J912/I912,"")</f>
        <v/>
      </c>
      <c r="L912" s="4">
        <f>IFERROR((D912-E912)/E912,"")</f>
        <v/>
      </c>
      <c r="M912" s="19">
        <f>IFERROR(F912*G912/10000,"")</f>
        <v/>
      </c>
    </row>
    <row r="913">
      <c r="A913" t="inlineStr">
        <is>
          <t>2026-10-30</t>
        </is>
      </c>
      <c r="B913" t="inlineStr">
        <is>
          <t>164906</t>
        </is>
      </c>
      <c r="C913" t="inlineStr">
        <is>
          <t>中概互联网LOF</t>
        </is>
      </c>
      <c r="D913" t="n">
        <v>88977.4088</v>
      </c>
      <c r="E913" t="n">
        <v>88945.4252</v>
      </c>
      <c r="F913" t="n">
        <v>0.8215</v>
      </c>
      <c r="G913" t="n">
        <v>31.9836</v>
      </c>
      <c r="H913" t="n">
        <v>7.309494</v>
      </c>
      <c r="I913" t="n">
        <v>7.368239</v>
      </c>
      <c r="J913" t="n">
        <v>-0.058745</v>
      </c>
      <c r="K913" s="4">
        <f>IFERROR(J913/I913,"")</f>
        <v/>
      </c>
      <c r="L913" s="4">
        <f>IFERROR((D913-E913)/E913,"")</f>
        <v/>
      </c>
      <c r="M913" s="19">
        <f>IFERROR(F913*G913/10000,"")</f>
        <v/>
      </c>
    </row>
    <row r="914">
      <c r="A914" t="inlineStr">
        <is>
          <t>2026-10-30</t>
        </is>
      </c>
      <c r="B914" t="inlineStr">
        <is>
          <t>165309</t>
        </is>
      </c>
      <c r="C914" t="inlineStr">
        <is>
          <t>沪深300LOF建信</t>
        </is>
      </c>
      <c r="D914" t="n">
        <v>98.2397</v>
      </c>
      <c r="E914" t="n">
        <v>98.6798</v>
      </c>
      <c r="F914" t="n">
        <v>1.7501</v>
      </c>
      <c r="G914" t="n">
        <v>-0.4401</v>
      </c>
      <c r="H914" t="n">
        <v>0.017193</v>
      </c>
      <c r="I914" t="n">
        <v>0.017132</v>
      </c>
      <c r="J914" t="n">
        <v>6.1e-05</v>
      </c>
      <c r="K914" s="4">
        <f>IFERROR(J914/I914,"")</f>
        <v/>
      </c>
      <c r="L914" s="4">
        <f>IFERROR((D914-E914)/E914,"")</f>
        <v/>
      </c>
      <c r="M914" s="19">
        <f>IFERROR(F914*G914/10000,"")</f>
        <v/>
      </c>
    </row>
    <row r="915">
      <c r="A915" t="inlineStr">
        <is>
          <t>2026-10-30</t>
        </is>
      </c>
      <c r="B915" t="inlineStr">
        <is>
          <t>165311</t>
        </is>
      </c>
      <c r="C915" t="inlineStr">
        <is>
          <t>信用债LOF</t>
        </is>
      </c>
      <c r="D915" t="n">
        <v>54.3194</v>
      </c>
      <c r="E915" t="n">
        <v>54.3194</v>
      </c>
      <c r="F915" t="n">
        <v>1.7524</v>
      </c>
      <c r="G915" t="n">
        <v>0</v>
      </c>
      <c r="H915" t="n">
        <v>0.009519</v>
      </c>
      <c r="I915" t="n">
        <v>0.009508000000000001</v>
      </c>
      <c r="J915" t="n">
        <v>1.1e-05</v>
      </c>
      <c r="K915" s="4">
        <f>IFERROR(J915/I915,"")</f>
        <v/>
      </c>
      <c r="L915" s="4">
        <f>IFERROR((D915-E915)/E915,"")</f>
        <v/>
      </c>
      <c r="M915" s="19">
        <f>IFERROR(F915*G915/10000,"")</f>
        <v/>
      </c>
    </row>
    <row r="916">
      <c r="A916" t="inlineStr">
        <is>
          <t>2026-10-30</t>
        </is>
      </c>
      <c r="B916" t="inlineStr">
        <is>
          <t>165313</t>
        </is>
      </c>
      <c r="C916" t="inlineStr">
        <is>
          <t>建信优势LOF</t>
        </is>
      </c>
      <c r="D916" t="n">
        <v>2591.8355</v>
      </c>
      <c r="E916" t="n">
        <v>2591.8588</v>
      </c>
      <c r="F916" t="n">
        <v>3.416</v>
      </c>
      <c r="G916" t="n">
        <v>-0.0233</v>
      </c>
      <c r="H916" t="n">
        <v>0.885371</v>
      </c>
      <c r="I916" t="n">
        <v>0.8638670000000001</v>
      </c>
      <c r="J916" t="n">
        <v>0.021504</v>
      </c>
      <c r="K916" s="4">
        <f>IFERROR(J916/I916,"")</f>
        <v/>
      </c>
      <c r="L916" s="4">
        <f>IFERROR((D916-E916)/E916,"")</f>
        <v/>
      </c>
      <c r="M916" s="19">
        <f>IFERROR(F916*G916/10000,"")</f>
        <v/>
      </c>
    </row>
    <row r="917">
      <c r="A917" t="inlineStr">
        <is>
          <t>2026-10-30</t>
        </is>
      </c>
      <c r="B917" t="inlineStr">
        <is>
          <t>165508</t>
        </is>
      </c>
      <c r="C917" t="inlineStr">
        <is>
          <t>中信保诚深度LOF</t>
        </is>
      </c>
      <c r="D917" t="n">
        <v>30.185</v>
      </c>
      <c r="E917" t="n">
        <v>30.185</v>
      </c>
      <c r="F917" t="n">
        <v>2.1155</v>
      </c>
      <c r="G917" t="n">
        <v>0</v>
      </c>
      <c r="H917" t="n">
        <v>0.006386</v>
      </c>
      <c r="I917" t="n">
        <v>0.006402</v>
      </c>
      <c r="J917" t="n">
        <v>-1.6e-05</v>
      </c>
      <c r="K917" s="4">
        <f>IFERROR(J917/I917,"")</f>
        <v/>
      </c>
      <c r="L917" s="4">
        <f>IFERROR((D917-E917)/E917,"")</f>
        <v/>
      </c>
      <c r="M917" s="19">
        <f>IFERROR(F917*G917/10000,"")</f>
        <v/>
      </c>
    </row>
    <row r="918">
      <c r="A918" t="inlineStr">
        <is>
          <t>2026-10-30</t>
        </is>
      </c>
      <c r="B918" t="inlineStr">
        <is>
          <t>165509</t>
        </is>
      </c>
      <c r="C918" t="inlineStr">
        <is>
          <t>中信保诚增强LOF</t>
        </is>
      </c>
      <c r="D918" t="n">
        <v>110.3073</v>
      </c>
      <c r="E918" t="n">
        <v>113.6489</v>
      </c>
      <c r="F918" t="n">
        <v>1.2163</v>
      </c>
      <c r="G918" t="n">
        <v>-3.3416</v>
      </c>
      <c r="H918" t="n">
        <v>0.013417</v>
      </c>
      <c r="I918" t="n">
        <v>0.0137</v>
      </c>
      <c r="J918" t="n">
        <v>-0.000283</v>
      </c>
      <c r="K918" s="4">
        <f>IFERROR(J918/I918,"")</f>
        <v/>
      </c>
      <c r="L918" s="4">
        <f>IFERROR((D918-E918)/E918,"")</f>
        <v/>
      </c>
      <c r="M918" s="19">
        <f>IFERROR(F918*G918/10000,"")</f>
        <v/>
      </c>
    </row>
    <row r="919">
      <c r="A919" t="inlineStr">
        <is>
          <t>2026-10-30</t>
        </is>
      </c>
      <c r="B919" t="inlineStr">
        <is>
          <t>165511</t>
        </is>
      </c>
      <c r="C919" t="inlineStr">
        <is>
          <t>中信保诚500LOF</t>
        </is>
      </c>
      <c r="D919" t="n">
        <v>917.6205</v>
      </c>
      <c r="E919" t="n">
        <v>917.6205</v>
      </c>
      <c r="F919" t="n">
        <v>1.9189</v>
      </c>
      <c r="G919" t="n">
        <v>0</v>
      </c>
      <c r="H919" t="n">
        <v>0.176082</v>
      </c>
      <c r="I919" t="n">
        <v>0.172806</v>
      </c>
      <c r="J919" t="n">
        <v>0.003276</v>
      </c>
      <c r="K919" s="4">
        <f>IFERROR(J919/I919,"")</f>
        <v/>
      </c>
      <c r="L919" s="4">
        <f>IFERROR((D919-E919)/E919,"")</f>
        <v/>
      </c>
      <c r="M919" s="19">
        <f>IFERROR(F919*G919/10000,"")</f>
        <v/>
      </c>
    </row>
    <row r="920">
      <c r="A920" t="inlineStr">
        <is>
          <t>2026-10-28</t>
        </is>
      </c>
      <c r="B920" t="inlineStr">
        <is>
          <t>165512</t>
        </is>
      </c>
      <c r="C920" t="inlineStr">
        <is>
          <t>中信保诚机遇LOF</t>
        </is>
      </c>
      <c r="D920" t="n">
        <v>25.1126</v>
      </c>
      <c r="E920" t="n">
        <v>25.1226</v>
      </c>
      <c r="F920" t="n">
        <v>1.2775</v>
      </c>
      <c r="G920" t="n">
        <v>-0.01</v>
      </c>
      <c r="H920" t="n">
        <v>0.003208</v>
      </c>
      <c r="I920" t="n">
        <v>0.003209</v>
      </c>
      <c r="J920" t="n">
        <v>-1e-06</v>
      </c>
      <c r="K920" s="4">
        <f>IFERROR(J920/I920,"")</f>
        <v/>
      </c>
      <c r="L920" s="4">
        <f>IFERROR((D920-E920)/E920,"")</f>
        <v/>
      </c>
      <c r="M920" s="19">
        <f>IFERROR(F920*G920/10000,"")</f>
        <v/>
      </c>
    </row>
    <row r="921">
      <c r="A921" t="inlineStr">
        <is>
          <t>2026-10-30</t>
        </is>
      </c>
      <c r="B921" t="inlineStr">
        <is>
          <t>165513</t>
        </is>
      </c>
      <c r="C921" t="inlineStr">
        <is>
          <t>中信保诚商品LOF</t>
        </is>
      </c>
      <c r="D921" t="n">
        <v>3017.989</v>
      </c>
      <c r="E921" t="n">
        <v>3019.2039</v>
      </c>
      <c r="F921" t="n">
        <v>0.9306</v>
      </c>
      <c r="G921" t="n">
        <v>-1.2149</v>
      </c>
      <c r="H921" t="n">
        <v>0.280854</v>
      </c>
      <c r="I921" t="n">
        <v>0.277465</v>
      </c>
      <c r="J921" t="n">
        <v>0.003389</v>
      </c>
      <c r="K921" s="4">
        <f>IFERROR(J921/I921,"")</f>
        <v/>
      </c>
      <c r="L921" s="4">
        <f>IFERROR((D921-E921)/E921,"")</f>
        <v/>
      </c>
      <c r="M921" s="19">
        <f>IFERROR(F921*G921/10000,"")</f>
        <v/>
      </c>
    </row>
    <row r="922">
      <c r="A922" t="inlineStr">
        <is>
          <t>2026-10-30</t>
        </is>
      </c>
      <c r="B922" t="inlineStr">
        <is>
          <t>165515</t>
        </is>
      </c>
      <c r="C922" t="inlineStr">
        <is>
          <t>中信保诚300LOF</t>
        </is>
      </c>
      <c r="D922" t="n">
        <v>1762.4022</v>
      </c>
      <c r="E922" t="n">
        <v>1762.4022</v>
      </c>
      <c r="F922" t="n">
        <v>1.1843</v>
      </c>
      <c r="G922" t="n">
        <v>0</v>
      </c>
      <c r="H922" t="n">
        <v>0.208721</v>
      </c>
      <c r="I922" t="n">
        <v>0.206994</v>
      </c>
      <c r="J922" t="n">
        <v>0.001727</v>
      </c>
      <c r="K922" s="4">
        <f>IFERROR(J922/I922,"")</f>
        <v/>
      </c>
      <c r="L922" s="4">
        <f>IFERROR((D922-E922)/E922,"")</f>
        <v/>
      </c>
      <c r="M922" s="19">
        <f>IFERROR(F922*G922/10000,"")</f>
        <v/>
      </c>
    </row>
    <row r="923">
      <c r="A923" t="inlineStr">
        <is>
          <t>2026-10-30</t>
        </is>
      </c>
      <c r="B923" t="inlineStr">
        <is>
          <t>165516</t>
        </is>
      </c>
      <c r="C923" t="inlineStr">
        <is>
          <t>中信保诚周期LOF</t>
        </is>
      </c>
      <c r="D923" t="n">
        <v>385.9721</v>
      </c>
      <c r="E923" t="n">
        <v>385.8857</v>
      </c>
      <c r="F923" t="n">
        <v>5.6973</v>
      </c>
      <c r="G923" t="n">
        <v>0.0864</v>
      </c>
      <c r="H923" t="n">
        <v>0.2199</v>
      </c>
      <c r="I923" t="n">
        <v>0.209563</v>
      </c>
      <c r="J923" t="n">
        <v>0.010337</v>
      </c>
      <c r="K923" s="4">
        <f>IFERROR(J923/I923,"")</f>
        <v/>
      </c>
      <c r="L923" s="4">
        <f>IFERROR((D923-E923)/E923,"")</f>
        <v/>
      </c>
      <c r="M923" s="19">
        <f>IFERROR(F923*G923/10000,"")</f>
        <v/>
      </c>
    </row>
    <row r="924">
      <c r="A924" t="inlineStr">
        <is>
          <t>2026-10-30</t>
        </is>
      </c>
      <c r="B924" t="inlineStr">
        <is>
          <t>165517</t>
        </is>
      </c>
      <c r="C924" t="inlineStr">
        <is>
          <t>中信保诚双盈LOF</t>
        </is>
      </c>
      <c r="D924" t="n">
        <v>207.6598</v>
      </c>
      <c r="E924" t="n">
        <v>207.6598</v>
      </c>
      <c r="F924" t="n">
        <v>1.0292</v>
      </c>
      <c r="G924" t="n">
        <v>0</v>
      </c>
      <c r="H924" t="n">
        <v>0.021372</v>
      </c>
      <c r="I924" t="n">
        <v>0.021304</v>
      </c>
      <c r="J924" t="n">
        <v>6.8e-05</v>
      </c>
      <c r="K924" s="4">
        <f>IFERROR(J924/I924,"")</f>
        <v/>
      </c>
      <c r="L924" s="4">
        <f>IFERROR((D924-E924)/E924,"")</f>
        <v/>
      </c>
      <c r="M924" s="19">
        <f>IFERROR(F924*G924/10000,"")</f>
        <v/>
      </c>
    </row>
    <row r="925">
      <c r="A925" t="inlineStr">
        <is>
          <t>2026-10-30</t>
        </is>
      </c>
      <c r="B925" t="inlineStr">
        <is>
          <t>165519</t>
        </is>
      </c>
      <c r="C925" t="inlineStr">
        <is>
          <t>医药生物科技LOF</t>
        </is>
      </c>
      <c r="D925" t="n">
        <v>908.6462</v>
      </c>
      <c r="E925" t="n">
        <v>909.6462</v>
      </c>
      <c r="F925" t="n">
        <v>1.012</v>
      </c>
      <c r="G925" t="n">
        <v>-1</v>
      </c>
      <c r="H925" t="n">
        <v>0.091955</v>
      </c>
      <c r="I925" t="n">
        <v>0.091056</v>
      </c>
      <c r="J925" t="n">
        <v>0.000899</v>
      </c>
      <c r="K925" s="4">
        <f>IFERROR(J925/I925,"")</f>
        <v/>
      </c>
      <c r="L925" s="4">
        <f>IFERROR((D925-E925)/E925,"")</f>
        <v/>
      </c>
      <c r="M925" s="19">
        <f>IFERROR(F925*G925/10000,"")</f>
        <v/>
      </c>
    </row>
    <row r="926">
      <c r="A926" t="inlineStr">
        <is>
          <t>2026-10-30</t>
        </is>
      </c>
      <c r="B926" t="inlineStr">
        <is>
          <t>165520</t>
        </is>
      </c>
      <c r="C926" t="inlineStr">
        <is>
          <t>有色LOF</t>
        </is>
      </c>
      <c r="D926" t="n">
        <v>1899.8037</v>
      </c>
      <c r="E926" t="n">
        <v>1899.8037</v>
      </c>
      <c r="F926" t="n">
        <v>2.3175</v>
      </c>
      <c r="G926" t="n">
        <v>0</v>
      </c>
      <c r="H926" t="n">
        <v>0.44028</v>
      </c>
      <c r="I926" t="n">
        <v>0.439786</v>
      </c>
      <c r="J926" t="n">
        <v>0.000494</v>
      </c>
      <c r="K926" s="4">
        <f>IFERROR(J926/I926,"")</f>
        <v/>
      </c>
      <c r="L926" s="4">
        <f>IFERROR((D926-E926)/E926,"")</f>
        <v/>
      </c>
      <c r="M926" s="19">
        <f>IFERROR(F926*G926/10000,"")</f>
        <v/>
      </c>
    </row>
    <row r="927">
      <c r="A927" t="inlineStr">
        <is>
          <t>2026-10-30</t>
        </is>
      </c>
      <c r="B927" t="inlineStr">
        <is>
          <t>165521</t>
        </is>
      </c>
      <c r="C927" t="inlineStr">
        <is>
          <t>金融LOF</t>
        </is>
      </c>
      <c r="D927" t="n">
        <v>5551.5462</v>
      </c>
      <c r="E927" t="n">
        <v>5551.5662</v>
      </c>
      <c r="F927" t="n">
        <v>1.2674</v>
      </c>
      <c r="G927" t="n">
        <v>-0.02</v>
      </c>
      <c r="H927" t="n">
        <v>0.703603</v>
      </c>
      <c r="I927" t="n">
        <v>0.708158</v>
      </c>
      <c r="J927" t="n">
        <v>-0.004555</v>
      </c>
      <c r="K927" s="4">
        <f>IFERROR(J927/I927,"")</f>
        <v/>
      </c>
      <c r="L927" s="4">
        <f>IFERROR((D927-E927)/E927,"")</f>
        <v/>
      </c>
      <c r="M927" s="19">
        <f>IFERROR(F927*G927/10000,"")</f>
        <v/>
      </c>
    </row>
    <row r="928">
      <c r="A928" t="inlineStr">
        <is>
          <t>2026-10-30</t>
        </is>
      </c>
      <c r="B928" t="inlineStr">
        <is>
          <t>165522</t>
        </is>
      </c>
      <c r="C928" t="inlineStr">
        <is>
          <t>TMTLOF</t>
        </is>
      </c>
      <c r="D928" t="n">
        <v>802.3808</v>
      </c>
      <c r="E928" t="n">
        <v>798.5516</v>
      </c>
      <c r="F928" t="n">
        <v>1.1932</v>
      </c>
      <c r="G928" t="n">
        <v>3.8292</v>
      </c>
      <c r="H928" t="n">
        <v>0.09574000000000001</v>
      </c>
      <c r="I928" t="n">
        <v>0.093335</v>
      </c>
      <c r="J928" t="n">
        <v>0.002405</v>
      </c>
      <c r="K928" s="4">
        <f>IFERROR(J928/I928,"")</f>
        <v/>
      </c>
      <c r="L928" s="4">
        <f>IFERROR((D928-E928)/E928,"")</f>
        <v/>
      </c>
      <c r="M928" s="19">
        <f>IFERROR(F928*G928/10000,"")</f>
        <v/>
      </c>
    </row>
    <row r="929">
      <c r="A929" t="inlineStr">
        <is>
          <t>2026-10-30</t>
        </is>
      </c>
      <c r="B929" t="inlineStr">
        <is>
          <t>165525</t>
        </is>
      </c>
      <c r="C929" t="inlineStr">
        <is>
          <t>基建工程LOF</t>
        </is>
      </c>
      <c r="D929" t="n">
        <v>6350.7498</v>
      </c>
      <c r="E929" t="n">
        <v>6350.7498</v>
      </c>
      <c r="F929" t="n">
        <v>0.653</v>
      </c>
      <c r="G929" t="n">
        <v>0</v>
      </c>
      <c r="H929" t="n">
        <v>0.414704</v>
      </c>
      <c r="I929" t="n">
        <v>0.413053</v>
      </c>
      <c r="J929" t="n">
        <v>0.001651</v>
      </c>
      <c r="K929" s="4">
        <f>IFERROR(J929/I929,"")</f>
        <v/>
      </c>
      <c r="L929" s="4">
        <f>IFERROR((D929-E929)/E929,"")</f>
        <v/>
      </c>
      <c r="M929" s="19">
        <f>IFERROR(F929*G929/10000,"")</f>
        <v/>
      </c>
    </row>
    <row r="930">
      <c r="A930" t="inlineStr">
        <is>
          <t>2026-10-30</t>
        </is>
      </c>
      <c r="B930" t="inlineStr">
        <is>
          <t>165528</t>
        </is>
      </c>
      <c r="C930" t="inlineStr">
        <is>
          <t>中信保诚鼎利LOF</t>
        </is>
      </c>
      <c r="D930" t="n">
        <v>653.0853</v>
      </c>
      <c r="E930" t="n">
        <v>658.0853</v>
      </c>
      <c r="F930" t="n">
        <v>1.8953</v>
      </c>
      <c r="G930" t="n">
        <v>-5</v>
      </c>
      <c r="H930" t="n">
        <v>0.123779</v>
      </c>
      <c r="I930" t="n">
        <v>0.119331</v>
      </c>
      <c r="J930" t="n">
        <v>0.004448</v>
      </c>
      <c r="K930" s="4">
        <f>IFERROR(J930/I930,"")</f>
        <v/>
      </c>
      <c r="L930" s="4">
        <f>IFERROR((D930-E930)/E930,"")</f>
        <v/>
      </c>
      <c r="M930" s="19">
        <f>IFERROR(F930*G930/10000,"")</f>
        <v/>
      </c>
    </row>
    <row r="931">
      <c r="A931" t="inlineStr">
        <is>
          <t>2026-10-30</t>
        </is>
      </c>
      <c r="B931" t="inlineStr">
        <is>
          <t>166001</t>
        </is>
      </c>
      <c r="C931" t="inlineStr">
        <is>
          <t>中欧趋势LOF</t>
        </is>
      </c>
      <c r="D931" t="n">
        <v>3316.2691</v>
      </c>
      <c r="E931" t="n">
        <v>3296.8691</v>
      </c>
      <c r="F931" t="n">
        <v>1.4476</v>
      </c>
      <c r="G931" t="n">
        <v>19.4</v>
      </c>
      <c r="H931" t="n">
        <v>0.480063</v>
      </c>
      <c r="I931" t="n">
        <v>0.467232</v>
      </c>
      <c r="J931" t="n">
        <v>0.012831</v>
      </c>
      <c r="K931" s="4">
        <f>IFERROR(J931/I931,"")</f>
        <v/>
      </c>
      <c r="L931" s="4">
        <f>IFERROR((D931-E931)/E931,"")</f>
        <v/>
      </c>
      <c r="M931" s="19">
        <f>IFERROR(F931*G931/10000,"")</f>
        <v/>
      </c>
    </row>
    <row r="932">
      <c r="A932" t="inlineStr">
        <is>
          <t>2026-10-30</t>
        </is>
      </c>
      <c r="B932" t="inlineStr">
        <is>
          <t>166006</t>
        </is>
      </c>
      <c r="C932" t="inlineStr">
        <is>
          <t>中欧成长LOF</t>
        </is>
      </c>
      <c r="D932" t="n">
        <v>872.6458</v>
      </c>
      <c r="E932" t="n">
        <v>872.6458</v>
      </c>
      <c r="F932" t="n">
        <v>2.1783</v>
      </c>
      <c r="G932" t="n">
        <v>0</v>
      </c>
      <c r="H932" t="n">
        <v>0.190088</v>
      </c>
      <c r="I932" t="n">
        <v>0.187837</v>
      </c>
      <c r="J932" t="n">
        <v>0.002251</v>
      </c>
      <c r="K932" s="4">
        <f>IFERROR(J932/I932,"")</f>
        <v/>
      </c>
      <c r="L932" s="4">
        <f>IFERROR((D932-E932)/E932,"")</f>
        <v/>
      </c>
      <c r="M932" s="19">
        <f>IFERROR(F932*G932/10000,"")</f>
        <v/>
      </c>
    </row>
    <row r="933">
      <c r="A933" t="inlineStr">
        <is>
          <t>2026-10-30</t>
        </is>
      </c>
      <c r="B933" t="inlineStr">
        <is>
          <t>166008</t>
        </is>
      </c>
      <c r="C933" t="inlineStr">
        <is>
          <t>中欧强债LOF</t>
        </is>
      </c>
      <c r="D933" t="n">
        <v>95.3877</v>
      </c>
      <c r="E933" t="n">
        <v>95.3877</v>
      </c>
      <c r="F933" t="n">
        <v>1.1443</v>
      </c>
      <c r="G933" t="n">
        <v>0</v>
      </c>
      <c r="H933" t="n">
        <v>0.010915</v>
      </c>
      <c r="I933" t="n">
        <v>0.010909</v>
      </c>
      <c r="J933" t="n">
        <v>6e-06</v>
      </c>
      <c r="K933" s="4">
        <f>IFERROR(J933/I933,"")</f>
        <v/>
      </c>
      <c r="L933" s="4">
        <f>IFERROR((D933-E933)/E933,"")</f>
        <v/>
      </c>
      <c r="M933" s="19">
        <f>IFERROR(F933*G933/10000,"")</f>
        <v/>
      </c>
    </row>
    <row r="934">
      <c r="A934" t="inlineStr">
        <is>
          <t>2026-10-30</t>
        </is>
      </c>
      <c r="B934" t="inlineStr">
        <is>
          <t>166009</t>
        </is>
      </c>
      <c r="C934" t="inlineStr">
        <is>
          <t>中欧动力LOF</t>
        </is>
      </c>
      <c r="D934" t="n">
        <v>85.0121</v>
      </c>
      <c r="E934" t="n">
        <v>85.0121</v>
      </c>
      <c r="F934" t="n">
        <v>3.0051</v>
      </c>
      <c r="G934" t="n">
        <v>0</v>
      </c>
      <c r="H934" t="n">
        <v>0.025547</v>
      </c>
      <c r="I934" t="n">
        <v>0.025347</v>
      </c>
      <c r="J934" t="n">
        <v>0.0002</v>
      </c>
      <c r="K934" s="4">
        <f>IFERROR(J934/I934,"")</f>
        <v/>
      </c>
      <c r="L934" s="4">
        <f>IFERROR((D934-E934)/E934,"")</f>
        <v/>
      </c>
      <c r="M934" s="19">
        <f>IFERROR(F934*G934/10000,"")</f>
        <v/>
      </c>
    </row>
    <row r="935">
      <c r="A935" t="inlineStr">
        <is>
          <t>2026-10-30</t>
        </is>
      </c>
      <c r="B935" t="inlineStr">
        <is>
          <t>166011</t>
        </is>
      </c>
      <c r="C935" t="inlineStr">
        <is>
          <t>中欧盛世LOF</t>
        </is>
      </c>
      <c r="D935" t="n">
        <v>794.4416</v>
      </c>
      <c r="E935" t="n">
        <v>805.6857</v>
      </c>
      <c r="F935" t="n">
        <v>2.0451</v>
      </c>
      <c r="G935" t="n">
        <v>-11.2441</v>
      </c>
      <c r="H935" t="n">
        <v>0.162471</v>
      </c>
      <c r="I935" t="n">
        <v>0.152057</v>
      </c>
      <c r="J935" t="n">
        <v>0.010414</v>
      </c>
      <c r="K935" s="4">
        <f>IFERROR(J935/I935,"")</f>
        <v/>
      </c>
      <c r="L935" s="4">
        <f>IFERROR((D935-E935)/E935,"")</f>
        <v/>
      </c>
      <c r="M935" s="19">
        <f>IFERROR(F935*G935/10000,"")</f>
        <v/>
      </c>
    </row>
    <row r="936">
      <c r="A936" t="inlineStr">
        <is>
          <t>2026-10-30</t>
        </is>
      </c>
      <c r="B936" t="inlineStr">
        <is>
          <t>166016</t>
        </is>
      </c>
      <c r="C936" t="inlineStr">
        <is>
          <t>中欧纯债LOF</t>
        </is>
      </c>
      <c r="D936" t="n">
        <v>978.2786</v>
      </c>
      <c r="E936" t="n">
        <v>976.1476</v>
      </c>
      <c r="F936" t="n">
        <v>1.1393</v>
      </c>
      <c r="G936" t="n">
        <v>2.131</v>
      </c>
      <c r="H936" t="n">
        <v>0.111455</v>
      </c>
      <c r="I936" t="n">
        <v>0.111281</v>
      </c>
      <c r="J936" t="n">
        <v>0.000174</v>
      </c>
      <c r="K936" s="4">
        <f>IFERROR(J936/I936,"")</f>
        <v/>
      </c>
      <c r="L936" s="4">
        <f>IFERROR((D936-E936)/E936,"")</f>
        <v/>
      </c>
      <c r="M936" s="19">
        <f>IFERROR(F936*G936/10000,"")</f>
        <v/>
      </c>
    </row>
    <row r="937">
      <c r="A937" t="inlineStr">
        <is>
          <t>2026-10-30</t>
        </is>
      </c>
      <c r="B937" t="inlineStr">
        <is>
          <t>166023</t>
        </is>
      </c>
      <c r="C937" t="inlineStr">
        <is>
          <t>中欧瑞丰LOF</t>
        </is>
      </c>
      <c r="D937" t="n">
        <v>623.1077</v>
      </c>
      <c r="E937" t="n">
        <v>623.1077</v>
      </c>
      <c r="F937" t="n">
        <v>1.1235</v>
      </c>
      <c r="G937" t="n">
        <v>0</v>
      </c>
      <c r="H937" t="n">
        <v>0.070006</v>
      </c>
      <c r="I937" t="n">
        <v>0.069327</v>
      </c>
      <c r="J937" t="n">
        <v>0.000679</v>
      </c>
      <c r="K937" s="4">
        <f>IFERROR(J937/I937,"")</f>
        <v/>
      </c>
      <c r="L937" s="4">
        <f>IFERROR((D937-E937)/E937,"")</f>
        <v/>
      </c>
      <c r="M937" s="19">
        <f>IFERROR(F937*G937/10000,"")</f>
        <v/>
      </c>
    </row>
    <row r="938">
      <c r="A938" t="inlineStr">
        <is>
          <t>2026-10-30</t>
        </is>
      </c>
      <c r="B938" t="inlineStr">
        <is>
          <t>166024</t>
        </is>
      </c>
      <c r="C938" t="inlineStr">
        <is>
          <t>中欧恒利定开</t>
        </is>
      </c>
      <c r="D938" t="n">
        <v>8494.9663</v>
      </c>
      <c r="E938" t="n">
        <v>8494.9663</v>
      </c>
      <c r="F938" t="n">
        <v>0.9306</v>
      </c>
      <c r="G938" t="n">
        <v>0</v>
      </c>
      <c r="H938" t="n">
        <v>0.790542</v>
      </c>
      <c r="I938" t="n">
        <v>0.7864640000000001</v>
      </c>
      <c r="J938" t="n">
        <v>0.004078</v>
      </c>
      <c r="K938" s="4">
        <f>IFERROR(J938/I938,"")</f>
        <v/>
      </c>
      <c r="L938" s="4">
        <f>IFERROR((D938-E938)/E938,"")</f>
        <v/>
      </c>
      <c r="M938" s="19">
        <f>IFERROR(F938*G938/10000,"")</f>
        <v/>
      </c>
    </row>
    <row r="939">
      <c r="A939" t="inlineStr">
        <is>
          <t>2026-10-30</t>
        </is>
      </c>
      <c r="B939" t="inlineStr">
        <is>
          <t>166025</t>
        </is>
      </c>
      <c r="C939" t="inlineStr">
        <is>
          <t>中欧远见定开</t>
        </is>
      </c>
      <c r="D939" t="n">
        <v>6261.143</v>
      </c>
      <c r="E939" t="n">
        <v>6261.143</v>
      </c>
      <c r="F939" t="n">
        <v>0.666</v>
      </c>
      <c r="G939" t="n">
        <v>0</v>
      </c>
      <c r="H939" t="n">
        <v>0.416992</v>
      </c>
      <c r="I939" t="n">
        <v>0.41862</v>
      </c>
      <c r="J939" t="n">
        <v>-0.001628</v>
      </c>
      <c r="K939" s="4">
        <f>IFERROR(J939/I939,"")</f>
        <v/>
      </c>
      <c r="L939" s="4">
        <f>IFERROR((D939-E939)/E939,"")</f>
        <v/>
      </c>
      <c r="M939" s="19">
        <f>IFERROR(F939*G939/10000,"")</f>
        <v/>
      </c>
    </row>
    <row r="940">
      <c r="A940" t="inlineStr">
        <is>
          <t>2026-10-30</t>
        </is>
      </c>
      <c r="B940" t="inlineStr">
        <is>
          <t>166027</t>
        </is>
      </c>
      <c r="C940" t="inlineStr">
        <is>
          <t>中欧创业定开</t>
        </is>
      </c>
      <c r="D940" t="n">
        <v>3342.7645</v>
      </c>
      <c r="E940" t="n">
        <v>3342.7645</v>
      </c>
      <c r="F940" t="n">
        <v>0.7294</v>
      </c>
      <c r="G940" t="n">
        <v>0</v>
      </c>
      <c r="H940" t="n">
        <v>0.243821</v>
      </c>
      <c r="I940" t="n">
        <v>0.236668</v>
      </c>
      <c r="J940" t="n">
        <v>0.007153</v>
      </c>
      <c r="K940" s="4">
        <f>IFERROR(J940/I940,"")</f>
        <v/>
      </c>
      <c r="L940" s="4">
        <f>IFERROR((D940-E940)/E940,"")</f>
        <v/>
      </c>
      <c r="M940" s="19">
        <f>IFERROR(F940*G940/10000,"")</f>
        <v/>
      </c>
    </row>
    <row r="941">
      <c r="A941" t="inlineStr">
        <is>
          <t>2026-10-30</t>
        </is>
      </c>
      <c r="B941" t="inlineStr">
        <is>
          <t>166105</t>
        </is>
      </c>
      <c r="C941" t="inlineStr">
        <is>
          <t>信澳鑫安LOF</t>
        </is>
      </c>
      <c r="D941" t="n">
        <v>54.3229</v>
      </c>
      <c r="E941" t="n">
        <v>55.5603</v>
      </c>
      <c r="F941" t="n">
        <v>1.004</v>
      </c>
      <c r="G941" t="n">
        <v>-1.2374</v>
      </c>
      <c r="H941" t="n">
        <v>0.005454</v>
      </c>
      <c r="I941" t="n">
        <v>0.005589</v>
      </c>
      <c r="J941" t="n">
        <v>-0.000135</v>
      </c>
      <c r="K941" s="4">
        <f>IFERROR(J941/I941,"")</f>
        <v/>
      </c>
      <c r="L941" s="4">
        <f>IFERROR((D941-E941)/E941,"")</f>
        <v/>
      </c>
      <c r="M941" s="19">
        <f>IFERROR(F941*G941/10000,"")</f>
        <v/>
      </c>
    </row>
    <row r="942">
      <c r="A942" t="inlineStr">
        <is>
          <t>2026-10-30</t>
        </is>
      </c>
      <c r="B942" t="inlineStr">
        <is>
          <t>166107</t>
        </is>
      </c>
      <c r="C942" t="inlineStr">
        <is>
          <t>多因子LOF</t>
        </is>
      </c>
      <c r="D942" t="n">
        <v>105.9242</v>
      </c>
      <c r="E942" t="n">
        <v>106.0242</v>
      </c>
      <c r="F942" t="n">
        <v>1.2526</v>
      </c>
      <c r="G942" t="n">
        <v>-0.1</v>
      </c>
      <c r="H942" t="n">
        <v>0.013268</v>
      </c>
      <c r="I942" t="n">
        <v>0.012941</v>
      </c>
      <c r="J942" t="n">
        <v>0.000327</v>
      </c>
      <c r="K942" s="4">
        <f>IFERROR(J942/I942,"")</f>
        <v/>
      </c>
      <c r="L942" s="4">
        <f>IFERROR((D942-E942)/E942,"")</f>
        <v/>
      </c>
      <c r="M942" s="19">
        <f>IFERROR(F942*G942/10000,"")</f>
        <v/>
      </c>
    </row>
    <row r="943">
      <c r="A943" t="inlineStr">
        <is>
          <t>2026-10-30</t>
        </is>
      </c>
      <c r="B943" t="inlineStr">
        <is>
          <t>166401</t>
        </is>
      </c>
      <c r="C943" t="inlineStr">
        <is>
          <t>稳健增利LOF</t>
        </is>
      </c>
      <c r="D943" t="n">
        <v>98.2841</v>
      </c>
      <c r="E943" t="n">
        <v>98.2841</v>
      </c>
      <c r="F943" t="n">
        <v>1.1515</v>
      </c>
      <c r="G943" t="n">
        <v>0</v>
      </c>
      <c r="H943" t="n">
        <v>0.011317</v>
      </c>
      <c r="I943" t="n">
        <v>0.011313</v>
      </c>
      <c r="J943" t="n">
        <v>4e-06</v>
      </c>
      <c r="K943" s="4">
        <f>IFERROR(J943/I943,"")</f>
        <v/>
      </c>
      <c r="L943" s="4">
        <f>IFERROR((D943-E943)/E943,"")</f>
        <v/>
      </c>
      <c r="M943" s="19">
        <f>IFERROR(F943*G943/10000,"")</f>
        <v/>
      </c>
    </row>
    <row r="944">
      <c r="A944" t="inlineStr">
        <is>
          <t>2026-10-30</t>
        </is>
      </c>
      <c r="B944" t="inlineStr">
        <is>
          <t>167001</t>
        </is>
      </c>
      <c r="C944" t="inlineStr">
        <is>
          <t>鼎泰LOF</t>
        </is>
      </c>
      <c r="D944" t="n">
        <v>911.5911</v>
      </c>
      <c r="E944" t="n">
        <v>932.9784</v>
      </c>
      <c r="F944" t="n">
        <v>1.8537</v>
      </c>
      <c r="G944" t="n">
        <v>-21.3873</v>
      </c>
      <c r="H944" t="n">
        <v>0.168982</v>
      </c>
      <c r="I944" t="n">
        <v>0.172592</v>
      </c>
      <c r="J944" t="n">
        <v>-0.00361</v>
      </c>
      <c r="K944" s="4">
        <f>IFERROR(J944/I944,"")</f>
        <v/>
      </c>
      <c r="L944" s="4">
        <f>IFERROR((D944-E944)/E944,"")</f>
        <v/>
      </c>
      <c r="M944" s="19">
        <f>IFERROR(F944*G944/10000,"")</f>
        <v/>
      </c>
    </row>
    <row r="945">
      <c r="A945" t="inlineStr">
        <is>
          <t>2026-10-30</t>
        </is>
      </c>
      <c r="B945" t="inlineStr">
        <is>
          <t>167002</t>
        </is>
      </c>
      <c r="C945" t="inlineStr">
        <is>
          <t>鼎越LOF</t>
        </is>
      </c>
      <c r="D945" t="n">
        <v>560.3439</v>
      </c>
      <c r="E945" t="n">
        <v>578.7439000000001</v>
      </c>
      <c r="F945" t="n">
        <v>4.4918</v>
      </c>
      <c r="G945" t="n">
        <v>-18.4</v>
      </c>
      <c r="H945" t="n">
        <v>0.251695</v>
      </c>
      <c r="I945" t="n">
        <v>0.2543</v>
      </c>
      <c r="J945" t="n">
        <v>-0.002605</v>
      </c>
      <c r="K945" s="4">
        <f>IFERROR(J945/I945,"")</f>
        <v/>
      </c>
      <c r="L945" s="4">
        <f>IFERROR((D945-E945)/E945,"")</f>
        <v/>
      </c>
      <c r="M945" s="19">
        <f>IFERROR(F945*G945/10000,"")</f>
        <v/>
      </c>
    </row>
    <row r="946">
      <c r="A946" t="inlineStr">
        <is>
          <t>2026-10-30</t>
        </is>
      </c>
      <c r="B946" t="inlineStr">
        <is>
          <t>167003</t>
        </is>
      </c>
      <c r="C946" t="inlineStr">
        <is>
          <t>鼎弘LOF</t>
        </is>
      </c>
      <c r="D946" t="n">
        <v>95.5155</v>
      </c>
      <c r="E946" t="n">
        <v>95.6955</v>
      </c>
      <c r="F946" t="n">
        <v>1.1672</v>
      </c>
      <c r="G946" t="n">
        <v>-0.18</v>
      </c>
      <c r="H946" t="n">
        <v>0.011149</v>
      </c>
      <c r="I946" t="n">
        <v>0.011177</v>
      </c>
      <c r="J946" t="n">
        <v>-2.8e-05</v>
      </c>
      <c r="K946" s="4">
        <f>IFERROR(J946/I946,"")</f>
        <v/>
      </c>
      <c r="L946" s="4">
        <f>IFERROR((D946-E946)/E946,"")</f>
        <v/>
      </c>
      <c r="M946" s="19">
        <f>IFERROR(F946*G946/10000,"")</f>
        <v/>
      </c>
    </row>
    <row r="947">
      <c r="A947" t="inlineStr">
        <is>
          <t>2026-10-30</t>
        </is>
      </c>
      <c r="B947" t="inlineStr">
        <is>
          <t>167301</t>
        </is>
      </c>
      <c r="C947" t="inlineStr">
        <is>
          <t>保险主题LOF</t>
        </is>
      </c>
      <c r="D947" t="n">
        <v>29725.3632</v>
      </c>
      <c r="E947" t="n">
        <v>29736.4132</v>
      </c>
      <c r="F947" t="n">
        <v>1.033</v>
      </c>
      <c r="G947" t="n">
        <v>-11.05</v>
      </c>
      <c r="H947" t="n">
        <v>3.07063</v>
      </c>
      <c r="I947" t="n">
        <v>3.080692</v>
      </c>
      <c r="J947" t="n">
        <v>-0.010062</v>
      </c>
      <c r="K947" s="4">
        <f>IFERROR(J947/I947,"")</f>
        <v/>
      </c>
      <c r="L947" s="4">
        <f>IFERROR((D947-E947)/E947,"")</f>
        <v/>
      </c>
      <c r="M947" s="19">
        <f>IFERROR(F947*G947/10000,"")</f>
        <v/>
      </c>
    </row>
    <row r="948">
      <c r="A948" t="inlineStr">
        <is>
          <t>2026-10-30</t>
        </is>
      </c>
      <c r="B948" t="inlineStr">
        <is>
          <t>167302</t>
        </is>
      </c>
      <c r="C948" t="inlineStr">
        <is>
          <t>大湾区LOF</t>
        </is>
      </c>
      <c r="D948" t="n">
        <v>118.694</v>
      </c>
      <c r="E948" t="n">
        <v>121.0646</v>
      </c>
      <c r="F948" t="n">
        <v>0.908</v>
      </c>
      <c r="G948" t="n">
        <v>-2.3706</v>
      </c>
      <c r="H948" t="n">
        <v>0.010777</v>
      </c>
      <c r="I948" t="n">
        <v>0.010922</v>
      </c>
      <c r="J948" t="n">
        <v>-0.000145</v>
      </c>
      <c r="K948" s="4">
        <f>IFERROR(J948/I948,"")</f>
        <v/>
      </c>
      <c r="L948" s="4">
        <f>IFERROR((D948-E948)/E948,"")</f>
        <v/>
      </c>
      <c r="M948" s="19">
        <f>IFERROR(F948*G948/10000,"")</f>
        <v/>
      </c>
    </row>
    <row r="949">
      <c r="A949" t="inlineStr">
        <is>
          <t>2026-10-30</t>
        </is>
      </c>
      <c r="B949" t="inlineStr">
        <is>
          <t>167501</t>
        </is>
      </c>
      <c r="C949" t="inlineStr">
        <is>
          <t>安信宝利债券LOF</t>
        </is>
      </c>
      <c r="D949" t="n">
        <v>213.1256</v>
      </c>
      <c r="E949" t="n">
        <v>214.3049</v>
      </c>
      <c r="F949" t="n">
        <v>1.0519</v>
      </c>
      <c r="G949" t="n">
        <v>-1.1793</v>
      </c>
      <c r="H949" t="n">
        <v>0.022419</v>
      </c>
      <c r="I949" t="n">
        <v>0.022534</v>
      </c>
      <c r="J949" t="n">
        <v>-0.000115</v>
      </c>
      <c r="K949" s="4">
        <f>IFERROR(J949/I949,"")</f>
        <v/>
      </c>
      <c r="L949" s="4">
        <f>IFERROR((D949-E949)/E949,"")</f>
        <v/>
      </c>
      <c r="M949" s="19">
        <f>IFERROR(F949*G949/10000,"")</f>
        <v/>
      </c>
    </row>
    <row r="950">
      <c r="A950" t="inlineStr">
        <is>
          <t>2026-10-30</t>
        </is>
      </c>
      <c r="B950" t="inlineStr">
        <is>
          <t>167506</t>
        </is>
      </c>
      <c r="C950" t="inlineStr">
        <is>
          <t>安信深圳科技LOF</t>
        </is>
      </c>
      <c r="D950" t="n">
        <v>247.9321</v>
      </c>
      <c r="E950" t="n">
        <v>247.8919</v>
      </c>
      <c r="F950" t="n">
        <v>1.4731</v>
      </c>
      <c r="G950" t="n">
        <v>0.0402</v>
      </c>
      <c r="H950" t="n">
        <v>0.036523</v>
      </c>
      <c r="I950" t="n">
        <v>0.035201</v>
      </c>
      <c r="J950" t="n">
        <v>0.001322</v>
      </c>
      <c r="K950" s="4">
        <f>IFERROR(J950/I950,"")</f>
        <v/>
      </c>
      <c r="L950" s="4">
        <f>IFERROR((D950-E950)/E950,"")</f>
        <v/>
      </c>
      <c r="M950" s="19">
        <f>IFERROR(F950*G950/10000,"")</f>
        <v/>
      </c>
    </row>
    <row r="951">
      <c r="A951" t="inlineStr">
        <is>
          <t>2026-10-30</t>
        </is>
      </c>
      <c r="B951" t="inlineStr">
        <is>
          <t>167508</t>
        </is>
      </c>
      <c r="C951" t="inlineStr">
        <is>
          <t>安信价值发现定开</t>
        </is>
      </c>
      <c r="D951" t="n">
        <v>939.3869</v>
      </c>
      <c r="E951" t="n">
        <v>939.3869</v>
      </c>
      <c r="F951" t="n">
        <v>1.6156</v>
      </c>
      <c r="G951" t="n">
        <v>0</v>
      </c>
      <c r="H951" t="n">
        <v>0.151767</v>
      </c>
      <c r="I951" t="n">
        <v>0.152059</v>
      </c>
      <c r="J951" t="n">
        <v>-0.000292</v>
      </c>
      <c r="K951" s="4">
        <f>IFERROR(J951/I951,"")</f>
        <v/>
      </c>
      <c r="L951" s="4">
        <f>IFERROR((D951-E951)/E951,"")</f>
        <v/>
      </c>
      <c r="M951" s="19">
        <f>IFERROR(F951*G951/10000,"")</f>
        <v/>
      </c>
    </row>
    <row r="952">
      <c r="A952" t="inlineStr">
        <is>
          <t>2026-10-30</t>
        </is>
      </c>
      <c r="B952" t="inlineStr">
        <is>
          <t>168101</t>
        </is>
      </c>
      <c r="C952" t="inlineStr">
        <is>
          <t>九泰锐智LOF</t>
        </is>
      </c>
      <c r="D952" t="n">
        <v>380.7492</v>
      </c>
      <c r="E952" t="n">
        <v>380.7492</v>
      </c>
      <c r="F952" t="n">
        <v>1.173</v>
      </c>
      <c r="G952" t="n">
        <v>0</v>
      </c>
      <c r="H952" t="n">
        <v>0.044662</v>
      </c>
      <c r="I952" t="n">
        <v>0.043329</v>
      </c>
      <c r="J952" t="n">
        <v>0.001333</v>
      </c>
      <c r="K952" s="4">
        <f>IFERROR(J952/I952,"")</f>
        <v/>
      </c>
      <c r="L952" s="4">
        <f>IFERROR((D952-E952)/E952,"")</f>
        <v/>
      </c>
      <c r="M952" s="19">
        <f>IFERROR(F952*G952/10000,"")</f>
        <v/>
      </c>
    </row>
    <row r="953">
      <c r="A953" t="inlineStr">
        <is>
          <t>2026-10-30</t>
        </is>
      </c>
      <c r="B953" t="inlineStr">
        <is>
          <t>168102</t>
        </is>
      </c>
      <c r="C953" t="inlineStr">
        <is>
          <t>九泰锐富LOF</t>
        </is>
      </c>
      <c r="D953" t="n">
        <v>745.5522</v>
      </c>
      <c r="E953" t="n">
        <v>745.5522</v>
      </c>
      <c r="F953" t="n">
        <v>1.065</v>
      </c>
      <c r="G953" t="n">
        <v>0</v>
      </c>
      <c r="H953" t="n">
        <v>0.079401</v>
      </c>
      <c r="I953" t="n">
        <v>0.07969999999999999</v>
      </c>
      <c r="J953" t="n">
        <v>-0.000299</v>
      </c>
      <c r="K953" s="4">
        <f>IFERROR(J953/I953,"")</f>
        <v/>
      </c>
      <c r="L953" s="4">
        <f>IFERROR((D953-E953)/E953,"")</f>
        <v/>
      </c>
      <c r="M953" s="19">
        <f>IFERROR(F953*G953/10000,"")</f>
        <v/>
      </c>
    </row>
    <row r="954">
      <c r="A954" t="inlineStr">
        <is>
          <t>2026-10-30</t>
        </is>
      </c>
      <c r="B954" t="inlineStr">
        <is>
          <t>168103</t>
        </is>
      </c>
      <c r="C954" t="inlineStr">
        <is>
          <t>九泰锐益LOF</t>
        </is>
      </c>
      <c r="D954" t="n">
        <v>4344.181</v>
      </c>
      <c r="E954" t="n">
        <v>4345.581</v>
      </c>
      <c r="F954" t="n">
        <v>1.233</v>
      </c>
      <c r="G954" t="n">
        <v>-1.4</v>
      </c>
      <c r="H954" t="n">
        <v>0.5356379999999999</v>
      </c>
      <c r="I954" t="n">
        <v>0.537114</v>
      </c>
      <c r="J954" t="n">
        <v>-0.001476</v>
      </c>
      <c r="K954" s="4">
        <f>IFERROR(J954/I954,"")</f>
        <v/>
      </c>
      <c r="L954" s="4">
        <f>IFERROR((D954-E954)/E954,"")</f>
        <v/>
      </c>
      <c r="M954" s="19">
        <f>IFERROR(F954*G954/10000,"")</f>
        <v/>
      </c>
    </row>
    <row r="955">
      <c r="A955" t="inlineStr">
        <is>
          <t>2026-10-30</t>
        </is>
      </c>
      <c r="B955" t="inlineStr">
        <is>
          <t>168104</t>
        </is>
      </c>
      <c r="C955" t="inlineStr">
        <is>
          <t>九泰锐丰LOF</t>
        </is>
      </c>
      <c r="D955" t="n">
        <v>76.7662</v>
      </c>
      <c r="E955" t="n">
        <v>76.7662</v>
      </c>
      <c r="F955" t="n">
        <v>0.848</v>
      </c>
      <c r="G955" t="n">
        <v>0</v>
      </c>
      <c r="H955" t="n">
        <v>0.00651</v>
      </c>
      <c r="I955" t="n">
        <v>0.006558</v>
      </c>
      <c r="J955" t="n">
        <v>-4.8e-05</v>
      </c>
      <c r="K955" s="4">
        <f>IFERROR(J955/I955,"")</f>
        <v/>
      </c>
      <c r="L955" s="4">
        <f>IFERROR((D955-E955)/E955,"")</f>
        <v/>
      </c>
      <c r="M955" s="19">
        <f>IFERROR(F955*G955/10000,"")</f>
        <v/>
      </c>
    </row>
    <row r="956">
      <c r="A956" t="inlineStr">
        <is>
          <t>2026-10-30</t>
        </is>
      </c>
      <c r="B956" t="inlineStr">
        <is>
          <t>168105</t>
        </is>
      </c>
      <c r="C956" t="inlineStr">
        <is>
          <t>九泰泰富LOF</t>
        </is>
      </c>
      <c r="D956" t="n">
        <v>507.436</v>
      </c>
      <c r="E956" t="n">
        <v>510.796</v>
      </c>
      <c r="F956" t="n">
        <v>1.8376</v>
      </c>
      <c r="G956" t="n">
        <v>-3.36</v>
      </c>
      <c r="H956" t="n">
        <v>0.093246</v>
      </c>
      <c r="I956" t="n">
        <v>0.09077399999999999</v>
      </c>
      <c r="J956" t="n">
        <v>0.002472</v>
      </c>
      <c r="K956" s="4">
        <f>IFERROR(J956/I956,"")</f>
        <v/>
      </c>
      <c r="L956" s="4">
        <f>IFERROR((D956-E956)/E956,"")</f>
        <v/>
      </c>
      <c r="M956" s="19">
        <f>IFERROR(F956*G956/10000,"")</f>
        <v/>
      </c>
    </row>
    <row r="957">
      <c r="A957" t="inlineStr">
        <is>
          <t>2026-10-30</t>
        </is>
      </c>
      <c r="B957" t="inlineStr">
        <is>
          <t>168203</t>
        </is>
      </c>
      <c r="C957" t="inlineStr">
        <is>
          <t>钢铁LOF</t>
        </is>
      </c>
      <c r="D957" t="n">
        <v>286.7385</v>
      </c>
      <c r="E957" t="n">
        <v>286.7385</v>
      </c>
      <c r="F957" t="n">
        <v>1.063</v>
      </c>
      <c r="G957" t="n">
        <v>0</v>
      </c>
      <c r="H957" t="n">
        <v>0.03048</v>
      </c>
      <c r="I957" t="n">
        <v>0.030423</v>
      </c>
      <c r="J957" t="n">
        <v>5.7e-05</v>
      </c>
      <c r="K957" s="4">
        <f>IFERROR(J957/I957,"")</f>
        <v/>
      </c>
      <c r="L957" s="4">
        <f>IFERROR((D957-E957)/E957,"")</f>
        <v/>
      </c>
      <c r="M957" s="19">
        <f>IFERROR(F957*G957/10000,"")</f>
        <v/>
      </c>
    </row>
    <row r="958">
      <c r="A958" t="inlineStr">
        <is>
          <t>2026-10-30</t>
        </is>
      </c>
      <c r="B958" t="inlineStr">
        <is>
          <t>168204</t>
        </is>
      </c>
      <c r="C958" t="inlineStr">
        <is>
          <t>煤炭LOF</t>
        </is>
      </c>
      <c r="D958" t="n">
        <v>1039.7796</v>
      </c>
      <c r="E958" t="n">
        <v>1051.7699</v>
      </c>
      <c r="F958" t="n">
        <v>2.043</v>
      </c>
      <c r="G958" t="n">
        <v>-11.9903</v>
      </c>
      <c r="H958" t="n">
        <v>0.212427</v>
      </c>
      <c r="I958" t="n">
        <v>0.214561</v>
      </c>
      <c r="J958" t="n">
        <v>-0.002134</v>
      </c>
      <c r="K958" s="4">
        <f>IFERROR(J958/I958,"")</f>
        <v/>
      </c>
      <c r="L958" s="4">
        <f>IFERROR((D958-E958)/E958,"")</f>
        <v/>
      </c>
      <c r="M958" s="19">
        <f>IFERROR(F958*G958/10000,"")</f>
        <v/>
      </c>
    </row>
    <row r="959">
      <c r="A959" t="inlineStr">
        <is>
          <t>2026-10-30</t>
        </is>
      </c>
      <c r="B959" t="inlineStr">
        <is>
          <t>168301</t>
        </is>
      </c>
      <c r="C959" t="inlineStr">
        <is>
          <t>东海祥龙LOF</t>
        </is>
      </c>
      <c r="D959" t="n">
        <v>355.1287</v>
      </c>
      <c r="E959" t="n">
        <v>355.1287</v>
      </c>
      <c r="F959" t="n">
        <v>0.8298</v>
      </c>
      <c r="G959" t="n">
        <v>0</v>
      </c>
      <c r="H959" t="n">
        <v>0.029469</v>
      </c>
      <c r="I959" t="n">
        <v>0.029522</v>
      </c>
      <c r="J959" t="n">
        <v>-5.3e-05</v>
      </c>
      <c r="K959" s="4">
        <f>IFERROR(J959/I959,"")</f>
        <v/>
      </c>
      <c r="L959" s="4">
        <f>IFERROR((D959-E959)/E959,"")</f>
        <v/>
      </c>
      <c r="M959" s="19">
        <f>IFERROR(F959*G959/10000,"")</f>
        <v/>
      </c>
    </row>
    <row r="960">
      <c r="A960" t="inlineStr">
        <is>
          <t>2026-10-30</t>
        </is>
      </c>
      <c r="B960" t="inlineStr">
        <is>
          <t>168401</t>
        </is>
      </c>
      <c r="C960" t="inlineStr">
        <is>
          <t>红土创新精选LOF</t>
        </is>
      </c>
      <c r="D960" t="n">
        <v>919.5121</v>
      </c>
      <c r="E960" t="n">
        <v>951.0181</v>
      </c>
      <c r="F960" t="n">
        <v>4.165</v>
      </c>
      <c r="G960" t="n">
        <v>-31.506</v>
      </c>
      <c r="H960" t="n">
        <v>0.382977</v>
      </c>
      <c r="I960" t="n">
        <v>0.372561</v>
      </c>
      <c r="J960" t="n">
        <v>0.010416</v>
      </c>
      <c r="K960" s="4">
        <f>IFERROR(J960/I960,"")</f>
        <v/>
      </c>
      <c r="L960" s="4">
        <f>IFERROR((D960-E960)/E960,"")</f>
        <v/>
      </c>
      <c r="M960" s="19">
        <f>IFERROR(F960*G960/10000,"")</f>
        <v/>
      </c>
    </row>
    <row r="961">
      <c r="A961" t="inlineStr">
        <is>
          <t>2026-10-30</t>
        </is>
      </c>
      <c r="B961" t="inlineStr">
        <is>
          <t>168701</t>
        </is>
      </c>
      <c r="C961" t="inlineStr">
        <is>
          <t>金融科技LOF</t>
        </is>
      </c>
      <c r="D961" t="n">
        <v>1058.4506</v>
      </c>
      <c r="E961" t="n">
        <v>1057.4346</v>
      </c>
      <c r="F961" t="n">
        <v>0.9115</v>
      </c>
      <c r="G961" t="n">
        <v>1.016</v>
      </c>
      <c r="H961" t="n">
        <v>0.09647799999999999</v>
      </c>
      <c r="I961" t="n">
        <v>0.096036</v>
      </c>
      <c r="J961" t="n">
        <v>0.000442</v>
      </c>
      <c r="K961" s="4">
        <f>IFERROR(J961/I961,"")</f>
        <v/>
      </c>
      <c r="L961" s="4">
        <f>IFERROR((D961-E961)/E961,"")</f>
        <v/>
      </c>
      <c r="M961" s="19">
        <f>IFERROR(F961*G961/10000,"")</f>
        <v/>
      </c>
    </row>
    <row r="962">
      <c r="A962" t="inlineStr">
        <is>
          <t>2026-10-30</t>
        </is>
      </c>
      <c r="B962" t="inlineStr">
        <is>
          <t>169101</t>
        </is>
      </c>
      <c r="C962" t="inlineStr">
        <is>
          <t>东方红睿丰LOF</t>
        </is>
      </c>
      <c r="D962" t="n">
        <v>2664.0262</v>
      </c>
      <c r="E962" t="n">
        <v>2663.7839</v>
      </c>
      <c r="F962" t="n">
        <v>1.522</v>
      </c>
      <c r="G962" t="n">
        <v>0.2423</v>
      </c>
      <c r="H962" t="n">
        <v>0.405465</v>
      </c>
      <c r="I962" t="n">
        <v>0.388113</v>
      </c>
      <c r="J962" t="n">
        <v>0.017352</v>
      </c>
      <c r="K962" s="4">
        <f>IFERROR(J962/I962,"")</f>
        <v/>
      </c>
      <c r="L962" s="4">
        <f>IFERROR((D962-E962)/E962,"")</f>
        <v/>
      </c>
      <c r="M962" s="19">
        <f>IFERROR(F962*G962/10000,"")</f>
        <v/>
      </c>
    </row>
    <row r="963">
      <c r="A963" t="inlineStr">
        <is>
          <t>2026-10-30</t>
        </is>
      </c>
      <c r="B963" t="inlineStr">
        <is>
          <t>169104</t>
        </is>
      </c>
      <c r="C963" t="inlineStr">
        <is>
          <t>东方红睿满LOF</t>
        </is>
      </c>
      <c r="D963" t="n">
        <v>1120.0351</v>
      </c>
      <c r="E963" t="n">
        <v>1120.6351</v>
      </c>
      <c r="F963" t="n">
        <v>2.55</v>
      </c>
      <c r="G963" t="n">
        <v>-0.6</v>
      </c>
      <c r="H963" t="n">
        <v>0.285609</v>
      </c>
      <c r="I963" t="n">
        <v>0.280719</v>
      </c>
      <c r="J963" t="n">
        <v>0.00489</v>
      </c>
      <c r="K963" s="4">
        <f>IFERROR(J963/I963,"")</f>
        <v/>
      </c>
      <c r="L963" s="4">
        <f>IFERROR((D963-E963)/E963,"")</f>
        <v/>
      </c>
      <c r="M963" s="19">
        <f>IFERROR(F963*G963/10000,"")</f>
        <v/>
      </c>
    </row>
    <row r="964">
      <c r="A964" t="inlineStr">
        <is>
          <t>2026-10-30</t>
        </is>
      </c>
      <c r="B964" t="inlineStr">
        <is>
          <t>169105</t>
        </is>
      </c>
      <c r="C964" t="inlineStr">
        <is>
          <t>东方红睿华LOF</t>
        </is>
      </c>
      <c r="D964" t="n">
        <v>3214.3182</v>
      </c>
      <c r="E964" t="n">
        <v>3216.8182</v>
      </c>
      <c r="F964" t="n">
        <v>1.8034</v>
      </c>
      <c r="G964" t="n">
        <v>-2.5</v>
      </c>
      <c r="H964" t="n">
        <v>0.57967</v>
      </c>
      <c r="I964" t="n">
        <v>0.578384</v>
      </c>
      <c r="J964" t="n">
        <v>0.001286</v>
      </c>
      <c r="K964" s="4">
        <f>IFERROR(J964/I964,"")</f>
        <v/>
      </c>
      <c r="L964" s="4">
        <f>IFERROR((D964-E964)/E964,"")</f>
        <v/>
      </c>
      <c r="M964" s="19">
        <f>IFERROR(F964*G964/10000,"")</f>
        <v/>
      </c>
    </row>
    <row r="965">
      <c r="A965" t="inlineStr">
        <is>
          <t>2026-10-30</t>
        </is>
      </c>
      <c r="B965" t="inlineStr">
        <is>
          <t>169106</t>
        </is>
      </c>
      <c r="C965" t="inlineStr">
        <is>
          <t>东方红创优定开</t>
        </is>
      </c>
      <c r="D965" t="n">
        <v>5476.4547</v>
      </c>
      <c r="E965" t="n">
        <v>5476.4547</v>
      </c>
      <c r="F965" t="n">
        <v>1.0968</v>
      </c>
      <c r="G965" t="n">
        <v>0</v>
      </c>
      <c r="H965" t="n">
        <v>0.600658</v>
      </c>
      <c r="I965" t="n">
        <v>0.6004930000000001</v>
      </c>
      <c r="J965" t="n">
        <v>0.000165</v>
      </c>
      <c r="K965" s="4">
        <f>IFERROR(J965/I965,"")</f>
        <v/>
      </c>
      <c r="L965" s="4">
        <f>IFERROR((D965-E965)/E965,"")</f>
        <v/>
      </c>
      <c r="M965" s="19">
        <f>IFERROR(F965*G965/10000,"")</f>
        <v/>
      </c>
    </row>
    <row r="966">
      <c r="A966" t="inlineStr">
        <is>
          <t>2026-10-30</t>
        </is>
      </c>
      <c r="B966" t="inlineStr">
        <is>
          <t>169201</t>
        </is>
      </c>
      <c r="C966" t="inlineStr">
        <is>
          <t>浙商鼎盈LOF</t>
        </is>
      </c>
      <c r="D966" t="n">
        <v>108.8862</v>
      </c>
      <c r="E966" t="n">
        <v>108.8575</v>
      </c>
      <c r="F966" t="n">
        <v>1.7108</v>
      </c>
      <c r="G966" t="n">
        <v>0.0287</v>
      </c>
      <c r="H966" t="n">
        <v>0.018628</v>
      </c>
      <c r="I966" t="n">
        <v>0.017609</v>
      </c>
      <c r="J966" t="n">
        <v>0.001019</v>
      </c>
      <c r="K966" s="4">
        <f>IFERROR(J966/I966,"")</f>
        <v/>
      </c>
      <c r="L966" s="4">
        <f>IFERROR((D966-E966)/E966,"")</f>
        <v/>
      </c>
      <c r="M966" s="19">
        <f>IFERROR(F966*G966/10000,"")</f>
        <v/>
      </c>
    </row>
    <row r="967">
      <c r="A967" t="inlineStr">
        <is>
          <t>2026-10-30</t>
        </is>
      </c>
      <c r="B967" t="inlineStr">
        <is>
          <t>510010</t>
        </is>
      </c>
      <c r="C967" t="inlineStr">
        <is>
          <t>180治理ETF交银</t>
        </is>
      </c>
      <c r="D967" t="n">
        <v>12752.44</v>
      </c>
      <c r="E967" t="n">
        <v>12752.44</v>
      </c>
      <c r="F967" t="n">
        <v>1.745</v>
      </c>
      <c r="G967" t="n">
        <v>0</v>
      </c>
      <c r="H967" t="n">
        <v>2.2253</v>
      </c>
      <c r="I967" t="n">
        <v>2.216373</v>
      </c>
      <c r="J967" t="n">
        <v>0.008926999999999999</v>
      </c>
      <c r="K967" s="4">
        <f>IFERROR(J967/I967,"")</f>
        <v/>
      </c>
      <c r="L967" s="4">
        <f>IFERROR((D967-E967)/E967,"")</f>
        <v/>
      </c>
      <c r="M967" s="19">
        <f>IFERROR(F967*G967/10000,"")</f>
        <v/>
      </c>
    </row>
    <row r="968">
      <c r="A968" t="inlineStr">
        <is>
          <t>2026-10-30</t>
        </is>
      </c>
      <c r="B968" t="inlineStr">
        <is>
          <t>510020</t>
        </is>
      </c>
      <c r="C968" t="inlineStr">
        <is>
          <t>超大盘ETF博时</t>
        </is>
      </c>
      <c r="D968" t="n">
        <v>3684.8</v>
      </c>
      <c r="E968" t="n">
        <v>3584.8</v>
      </c>
      <c r="F968" t="n">
        <v>3.753</v>
      </c>
      <c r="G968" t="n">
        <v>100</v>
      </c>
      <c r="H968" t="n">
        <v>1.345376</v>
      </c>
      <c r="I968" t="n">
        <v>1.341432</v>
      </c>
      <c r="J968" t="n">
        <v>0.003944</v>
      </c>
      <c r="K968" s="4">
        <f>IFERROR(J968/I968,"")</f>
        <v/>
      </c>
      <c r="L968" s="4">
        <f>IFERROR((D968-E968)/E968,"")</f>
        <v/>
      </c>
      <c r="M968" s="19">
        <f>IFERROR(F968*G968/10000,"")</f>
        <v/>
      </c>
    </row>
    <row r="969">
      <c r="A969" t="inlineStr">
        <is>
          <t>2026-10-30</t>
        </is>
      </c>
      <c r="B969" t="inlineStr">
        <is>
          <t>510030</t>
        </is>
      </c>
      <c r="C969" t="inlineStr">
        <is>
          <t>价值ETF华宝</t>
        </is>
      </c>
      <c r="D969" t="n">
        <v>12372.98</v>
      </c>
      <c r="E969" t="n">
        <v>12372.98</v>
      </c>
      <c r="F969" t="n">
        <v>1.108</v>
      </c>
      <c r="G969" t="n">
        <v>0</v>
      </c>
      <c r="H969" t="n">
        <v>1.370926</v>
      </c>
      <c r="I969" t="n">
        <v>1.35113</v>
      </c>
      <c r="J969" t="n">
        <v>0.019796</v>
      </c>
      <c r="K969" s="4">
        <f>IFERROR(J969/I969,"")</f>
        <v/>
      </c>
      <c r="L969" s="4">
        <f>IFERROR((D969-E969)/E969,"")</f>
        <v/>
      </c>
      <c r="M969" s="19">
        <f>IFERROR(F969*G969/10000,"")</f>
        <v/>
      </c>
    </row>
    <row r="970">
      <c r="A970" t="inlineStr">
        <is>
          <t>2026-10-30</t>
        </is>
      </c>
      <c r="B970" t="inlineStr">
        <is>
          <t>510040</t>
        </is>
      </c>
      <c r="C970" t="inlineStr">
        <is>
          <t>上证180ETF鹏华</t>
        </is>
      </c>
      <c r="D970" t="n">
        <v>3248</v>
      </c>
      <c r="E970" t="n">
        <v>3248</v>
      </c>
      <c r="F970" t="n">
        <v>1.079</v>
      </c>
      <c r="G970" t="n">
        <v>0</v>
      </c>
      <c r="H970" t="n">
        <v>0.350459</v>
      </c>
      <c r="I970" t="n">
        <v>0.351758</v>
      </c>
      <c r="J970" t="n">
        <v>-0.001299</v>
      </c>
      <c r="K970" s="4">
        <f>IFERROR(J970/I970,"")</f>
        <v/>
      </c>
      <c r="L970" s="4">
        <f>IFERROR((D970-E970)/E970,"")</f>
        <v/>
      </c>
      <c r="M970" s="19">
        <f>IFERROR(F970*G970/10000,"")</f>
        <v/>
      </c>
    </row>
    <row r="971">
      <c r="A971" t="inlineStr">
        <is>
          <t>2026-10-30</t>
        </is>
      </c>
      <c r="B971" t="inlineStr">
        <is>
          <t>510050</t>
        </is>
      </c>
      <c r="C971" t="inlineStr">
        <is>
          <t>上证50ETF华夏</t>
        </is>
      </c>
      <c r="D971" t="n">
        <v>1231986.68</v>
      </c>
      <c r="E971" t="n">
        <v>1255656.68</v>
      </c>
      <c r="F971" t="n">
        <v>2.871</v>
      </c>
      <c r="G971" t="n">
        <v>-23670</v>
      </c>
      <c r="H971" t="n">
        <v>360.499032</v>
      </c>
      <c r="I971" t="n">
        <v>366.603437</v>
      </c>
      <c r="J971" t="n">
        <v>-6.104405</v>
      </c>
      <c r="K971" s="4">
        <f>IFERROR(J971/I971,"")</f>
        <v/>
      </c>
      <c r="L971" s="4">
        <f>IFERROR((D971-E971)/E971,"")</f>
        <v/>
      </c>
      <c r="M971" s="19">
        <f>IFERROR(F971*G971/10000,"")</f>
        <v/>
      </c>
    </row>
    <row r="972">
      <c r="A972" t="inlineStr">
        <is>
          <t>2026-10-30</t>
        </is>
      </c>
      <c r="B972" t="inlineStr">
        <is>
          <t>510060</t>
        </is>
      </c>
      <c r="C972" t="inlineStr">
        <is>
          <t>央企ETF工银</t>
        </is>
      </c>
      <c r="D972" t="n">
        <v>3495.92</v>
      </c>
      <c r="E972" t="n">
        <v>3495.92</v>
      </c>
      <c r="F972" t="n">
        <v>2.7</v>
      </c>
      <c r="G972" t="n">
        <v>0</v>
      </c>
      <c r="H972" t="n">
        <v>0.943899</v>
      </c>
      <c r="I972" t="n">
        <v>0.929915</v>
      </c>
      <c r="J972" t="n">
        <v>0.013984</v>
      </c>
      <c r="K972" s="4">
        <f>IFERROR(J972/I972,"")</f>
        <v/>
      </c>
      <c r="L972" s="4">
        <f>IFERROR((D972-E972)/E972,"")</f>
        <v/>
      </c>
      <c r="M972" s="19">
        <f>IFERROR(F972*G972/10000,"")</f>
        <v/>
      </c>
    </row>
    <row r="973">
      <c r="A973" t="inlineStr">
        <is>
          <t>2026-10-30</t>
        </is>
      </c>
      <c r="B973" t="inlineStr">
        <is>
          <t>510090</t>
        </is>
      </c>
      <c r="C973" t="inlineStr">
        <is>
          <t>责任ETF建信</t>
        </is>
      </c>
      <c r="D973" t="n">
        <v>2508.11</v>
      </c>
      <c r="E973" t="n">
        <v>2508.11</v>
      </c>
      <c r="F973" t="n">
        <v>2.459</v>
      </c>
      <c r="G973" t="n">
        <v>0</v>
      </c>
      <c r="H973" t="n">
        <v>0.616745</v>
      </c>
      <c r="I973" t="n">
        <v>0.613735</v>
      </c>
      <c r="J973" t="n">
        <v>0.00301</v>
      </c>
      <c r="K973" s="4">
        <f>IFERROR(J973/I973,"")</f>
        <v/>
      </c>
      <c r="L973" s="4">
        <f>IFERROR((D973-E973)/E973,"")</f>
        <v/>
      </c>
      <c r="M973" s="19">
        <f>IFERROR(F973*G973/10000,"")</f>
        <v/>
      </c>
    </row>
    <row r="974">
      <c r="A974" t="inlineStr">
        <is>
          <t>2026-10-30</t>
        </is>
      </c>
      <c r="B974" t="inlineStr">
        <is>
          <t>510100</t>
        </is>
      </c>
      <c r="C974" t="inlineStr">
        <is>
          <t>上证50ETF易方达</t>
        </is>
      </c>
      <c r="D974" t="n">
        <v>99320.67999999999</v>
      </c>
      <c r="E974" t="n">
        <v>98870.67999999999</v>
      </c>
      <c r="F974" t="n">
        <v>2.831</v>
      </c>
      <c r="G974" t="n">
        <v>450</v>
      </c>
      <c r="H974" t="n">
        <v>27.99029</v>
      </c>
      <c r="I974" t="n">
        <v>28.286918</v>
      </c>
      <c r="J974" t="n">
        <v>-0.296628</v>
      </c>
      <c r="K974" s="4">
        <f>IFERROR(J974/I974,"")</f>
        <v/>
      </c>
      <c r="L974" s="4">
        <f>IFERROR((D974-E974)/E974,"")</f>
        <v/>
      </c>
      <c r="M974" s="19">
        <f>IFERROR(F974*G974/10000,"")</f>
        <v/>
      </c>
    </row>
    <row r="975">
      <c r="A975" t="inlineStr">
        <is>
          <t>2026-10-30</t>
        </is>
      </c>
      <c r="B975" t="inlineStr">
        <is>
          <t>510130</t>
        </is>
      </c>
      <c r="C975" t="inlineStr">
        <is>
          <t>上证中盘ETF易方达</t>
        </is>
      </c>
      <c r="D975" t="n">
        <v>3228.51</v>
      </c>
      <c r="E975" t="n">
        <v>3188.51</v>
      </c>
      <c r="F975" t="n">
        <v>6.764</v>
      </c>
      <c r="G975" t="n">
        <v>40</v>
      </c>
      <c r="H975" t="n">
        <v>2.156707</v>
      </c>
      <c r="I975" t="n">
        <v>2.178708</v>
      </c>
      <c r="J975" t="n">
        <v>-0.022001</v>
      </c>
      <c r="K975" s="4">
        <f>IFERROR(J975/I975,"")</f>
        <v/>
      </c>
      <c r="L975" s="4">
        <f>IFERROR((D975-E975)/E975,"")</f>
        <v/>
      </c>
      <c r="M975" s="19">
        <f>IFERROR(F975*G975/10000,"")</f>
        <v/>
      </c>
    </row>
    <row r="976">
      <c r="A976" t="inlineStr">
        <is>
          <t>2026-10-30</t>
        </is>
      </c>
      <c r="B976" t="inlineStr">
        <is>
          <t>510150</t>
        </is>
      </c>
      <c r="C976" t="inlineStr">
        <is>
          <t>消费ETF招商</t>
        </is>
      </c>
      <c r="D976" t="n">
        <v>338717.86</v>
      </c>
      <c r="E976" t="n">
        <v>338717.86</v>
      </c>
      <c r="F976" t="n">
        <v>0.481</v>
      </c>
      <c r="G976" t="n">
        <v>0</v>
      </c>
      <c r="H976" t="n">
        <v>16.292329</v>
      </c>
      <c r="I976" t="n">
        <v>16.301949</v>
      </c>
      <c r="J976" t="n">
        <v>-0.00962</v>
      </c>
      <c r="K976" s="4">
        <f>IFERROR(J976/I976,"")</f>
        <v/>
      </c>
      <c r="L976" s="4">
        <f>IFERROR((D976-E976)/E976,"")</f>
        <v/>
      </c>
      <c r="M976" s="19">
        <f>IFERROR(F976*G976/10000,"")</f>
        <v/>
      </c>
    </row>
    <row r="977">
      <c r="A977" t="inlineStr">
        <is>
          <t>2026-10-30</t>
        </is>
      </c>
      <c r="B977" t="inlineStr">
        <is>
          <t>510160</t>
        </is>
      </c>
      <c r="C977" t="inlineStr">
        <is>
          <t>产业升级ETF南方</t>
        </is>
      </c>
      <c r="D977" t="n">
        <v>18405.74</v>
      </c>
      <c r="E977" t="n">
        <v>18405.74</v>
      </c>
      <c r="F977" t="n">
        <v>0.895</v>
      </c>
      <c r="G977" t="n">
        <v>0</v>
      </c>
      <c r="H977" t="n">
        <v>1.647314</v>
      </c>
      <c r="I977" t="n">
        <v>1.643633</v>
      </c>
      <c r="J977" t="n">
        <v>0.003681</v>
      </c>
      <c r="K977" s="4">
        <f>IFERROR(J977/I977,"")</f>
        <v/>
      </c>
      <c r="L977" s="4">
        <f>IFERROR((D977-E977)/E977,"")</f>
        <v/>
      </c>
      <c r="M977" s="19">
        <f>IFERROR(F977*G977/10000,"")</f>
        <v/>
      </c>
    </row>
    <row r="978">
      <c r="A978" t="inlineStr">
        <is>
          <t>2026-10-30</t>
        </is>
      </c>
      <c r="B978" t="inlineStr">
        <is>
          <t>510170</t>
        </is>
      </c>
      <c r="C978" t="inlineStr">
        <is>
          <t>大宗商品ETF国联安</t>
        </is>
      </c>
      <c r="D978" t="n">
        <v>30291.48</v>
      </c>
      <c r="E978" t="n">
        <v>30491.48</v>
      </c>
      <c r="F978" t="n">
        <v>1.199</v>
      </c>
      <c r="G978" t="n">
        <v>-200</v>
      </c>
      <c r="H978" t="n">
        <v>3.655929</v>
      </c>
      <c r="I978" t="n">
        <v>3.692519</v>
      </c>
      <c r="J978" t="n">
        <v>-0.03659</v>
      </c>
      <c r="K978" s="4">
        <f>IFERROR(J978/I978,"")</f>
        <v/>
      </c>
      <c r="L978" s="4">
        <f>IFERROR((D978-E978)/E978,"")</f>
        <v/>
      </c>
      <c r="M978" s="19">
        <f>IFERROR(F978*G978/10000,"")</f>
        <v/>
      </c>
    </row>
    <row r="979">
      <c r="A979" t="inlineStr">
        <is>
          <t>2026-10-30</t>
        </is>
      </c>
      <c r="B979" t="inlineStr">
        <is>
          <t>510180</t>
        </is>
      </c>
      <c r="C979" t="inlineStr">
        <is>
          <t>上证180ETF华安</t>
        </is>
      </c>
      <c r="D979" t="n">
        <v>444355.77</v>
      </c>
      <c r="E979" t="n">
        <v>444305.77</v>
      </c>
      <c r="F979" t="n">
        <v>3.636</v>
      </c>
      <c r="G979" t="n">
        <v>50</v>
      </c>
      <c r="H979" t="n">
        <v>161.549577</v>
      </c>
      <c r="I979" t="n">
        <v>162.200155</v>
      </c>
      <c r="J979" t="n">
        <v>-0.650578</v>
      </c>
      <c r="K979" s="4">
        <f>IFERROR(J979/I979,"")</f>
        <v/>
      </c>
      <c r="L979" s="4">
        <f>IFERROR((D979-E979)/E979,"")</f>
        <v/>
      </c>
      <c r="M979" s="19">
        <f>IFERROR(F979*G979/10000,"")</f>
        <v/>
      </c>
    </row>
    <row r="980">
      <c r="A980" t="inlineStr">
        <is>
          <t>2026-10-30</t>
        </is>
      </c>
      <c r="B980" t="inlineStr">
        <is>
          <t>510190</t>
        </is>
      </c>
      <c r="C980" t="inlineStr">
        <is>
          <t>上证50ETF华安</t>
        </is>
      </c>
      <c r="D980" t="n">
        <v>2515.08</v>
      </c>
      <c r="E980" t="n">
        <v>2515.08</v>
      </c>
      <c r="F980" t="n">
        <v>4.095</v>
      </c>
      <c r="G980" t="n">
        <v>0</v>
      </c>
      <c r="H980" t="n">
        <v>1.029925</v>
      </c>
      <c r="I980" t="n">
        <v>1.029422</v>
      </c>
      <c r="J980" t="n">
        <v>0.000503</v>
      </c>
      <c r="K980" s="4">
        <f>IFERROR(J980/I980,"")</f>
        <v/>
      </c>
      <c r="L980" s="4">
        <f>IFERROR((D980-E980)/E980,"")</f>
        <v/>
      </c>
      <c r="M980" s="19">
        <f>IFERROR(F980*G980/10000,"")</f>
        <v/>
      </c>
    </row>
    <row r="981">
      <c r="A981" t="inlineStr">
        <is>
          <t>2026-10-30</t>
        </is>
      </c>
      <c r="B981" t="inlineStr">
        <is>
          <t>510200</t>
        </is>
      </c>
      <c r="C981" t="inlineStr">
        <is>
          <t>上证券商ETF汇安</t>
        </is>
      </c>
      <c r="D981" t="n">
        <v>14588.55</v>
      </c>
      <c r="E981" t="n">
        <v>14638.55</v>
      </c>
      <c r="F981" t="n">
        <v>1.057</v>
      </c>
      <c r="G981" t="n">
        <v>-50</v>
      </c>
      <c r="H981" t="n">
        <v>1.547295</v>
      </c>
      <c r="I981" t="n">
        <v>1.581957</v>
      </c>
      <c r="J981" t="n">
        <v>-0.034662</v>
      </c>
      <c r="K981" s="4">
        <f>IFERROR(J981/I981,"")</f>
        <v/>
      </c>
      <c r="L981" s="4">
        <f>IFERROR((D981-E981)/E981,"")</f>
        <v/>
      </c>
      <c r="M981" s="19">
        <f>IFERROR(F981*G981/10000,"")</f>
        <v/>
      </c>
    </row>
    <row r="982">
      <c r="A982" t="inlineStr">
        <is>
          <t>2026-10-30</t>
        </is>
      </c>
      <c r="B982" t="inlineStr">
        <is>
          <t>510210</t>
        </is>
      </c>
      <c r="C982" t="inlineStr">
        <is>
          <t>上证指数ETF富国</t>
        </is>
      </c>
      <c r="D982" t="n">
        <v>2043819.26</v>
      </c>
      <c r="E982" t="n">
        <v>2014719.26</v>
      </c>
      <c r="F982" t="n">
        <v>0.946</v>
      </c>
      <c r="G982" t="n">
        <v>29100</v>
      </c>
      <c r="H982" t="n">
        <v>190.592442</v>
      </c>
      <c r="I982" t="n">
        <v>192.231465</v>
      </c>
      <c r="J982" t="n">
        <v>-1.639023</v>
      </c>
      <c r="K982" s="4">
        <f>IFERROR(J982/I982,"")</f>
        <v/>
      </c>
      <c r="L982" s="4">
        <f>IFERROR((D982-E982)/E982,"")</f>
        <v/>
      </c>
      <c r="M982" s="19">
        <f>IFERROR(F982*G982/10000,"")</f>
        <v/>
      </c>
    </row>
    <row r="983">
      <c r="A983" t="inlineStr">
        <is>
          <t>2026-10-30</t>
        </is>
      </c>
      <c r="B983" t="inlineStr">
        <is>
          <t>510230</t>
        </is>
      </c>
      <c r="C983" t="inlineStr">
        <is>
          <t>金融ETF国泰</t>
        </is>
      </c>
      <c r="D983" t="n">
        <v>57780.8</v>
      </c>
      <c r="E983" t="n">
        <v>59480.8</v>
      </c>
      <c r="F983" t="n">
        <v>1.354</v>
      </c>
      <c r="G983" t="n">
        <v>-1700</v>
      </c>
      <c r="H983" t="n">
        <v>8.053701</v>
      </c>
      <c r="I983" t="n">
        <v>7.805513</v>
      </c>
      <c r="J983" t="n">
        <v>0.248188</v>
      </c>
      <c r="K983" s="4">
        <f>IFERROR(J983/I983,"")</f>
        <v/>
      </c>
      <c r="L983" s="4">
        <f>IFERROR((D983-E983)/E983,"")</f>
        <v/>
      </c>
      <c r="M983" s="19">
        <f>IFERROR(F983*G983/10000,"")</f>
        <v/>
      </c>
    </row>
    <row r="984">
      <c r="A984" t="inlineStr">
        <is>
          <t>2026-10-30</t>
        </is>
      </c>
      <c r="B984" t="inlineStr">
        <is>
          <t>510270</t>
        </is>
      </c>
      <c r="C984" t="inlineStr">
        <is>
          <t>国企ETF中银</t>
        </is>
      </c>
      <c r="D984" t="n">
        <v>1783.21</v>
      </c>
      <c r="E984" t="n">
        <v>1783.21</v>
      </c>
      <c r="F984" t="n">
        <v>1.492</v>
      </c>
      <c r="G984" t="n">
        <v>0</v>
      </c>
      <c r="H984" t="n">
        <v>0.266054</v>
      </c>
      <c r="I984" t="n">
        <v>0.248778</v>
      </c>
      <c r="J984" t="n">
        <v>0.017276</v>
      </c>
      <c r="K984" s="4">
        <f>IFERROR(J984/I984,"")</f>
        <v/>
      </c>
      <c r="L984" s="4">
        <f>IFERROR((D984-E984)/E984,"")</f>
        <v/>
      </c>
      <c r="M984" s="19">
        <f>IFERROR(F984*G984/10000,"")</f>
        <v/>
      </c>
    </row>
    <row r="985">
      <c r="A985" t="inlineStr">
        <is>
          <t>2026-10-30</t>
        </is>
      </c>
      <c r="B985" t="inlineStr">
        <is>
          <t>510290</t>
        </is>
      </c>
      <c r="C985" t="inlineStr">
        <is>
          <t>上证380ETF南方</t>
        </is>
      </c>
      <c r="D985" t="n">
        <v>5844.89</v>
      </c>
      <c r="E985" t="n">
        <v>5844.89</v>
      </c>
      <c r="F985" t="n">
        <v>2.263</v>
      </c>
      <c r="G985" t="n">
        <v>0</v>
      </c>
      <c r="H985" t="n">
        <v>1.322699</v>
      </c>
      <c r="I985" t="n">
        <v>1.300019</v>
      </c>
      <c r="J985" t="n">
        <v>0.02268</v>
      </c>
      <c r="K985" s="4">
        <f>IFERROR(J985/I985,"")</f>
        <v/>
      </c>
      <c r="L985" s="4">
        <f>IFERROR((D985-E985)/E985,"")</f>
        <v/>
      </c>
      <c r="M985" s="19">
        <f>IFERROR(F985*G985/10000,"")</f>
        <v/>
      </c>
    </row>
    <row r="986">
      <c r="A986" t="inlineStr">
        <is>
          <t>2026-10-30</t>
        </is>
      </c>
      <c r="B986" t="inlineStr">
        <is>
          <t>510300</t>
        </is>
      </c>
      <c r="C986" t="inlineStr">
        <is>
          <t>沪深300ETF华泰柏瑞</t>
        </is>
      </c>
      <c r="D986" t="n">
        <v>3747558.77</v>
      </c>
      <c r="E986" t="n">
        <v>3637758.77</v>
      </c>
      <c r="F986" t="n">
        <v>4.111</v>
      </c>
      <c r="G986" t="n">
        <v>109800</v>
      </c>
      <c r="H986" t="n">
        <v>1495.48263</v>
      </c>
      <c r="I986" t="n">
        <v>1504.605401</v>
      </c>
      <c r="J986" t="n">
        <v>-9.122771</v>
      </c>
      <c r="K986" s="4">
        <f>IFERROR(J986/I986,"")</f>
        <v/>
      </c>
      <c r="L986" s="4">
        <f>IFERROR((D986-E986)/E986,"")</f>
        <v/>
      </c>
      <c r="M986" s="19">
        <f>IFERROR(F986*G986/10000,"")</f>
        <v/>
      </c>
    </row>
    <row r="987">
      <c r="A987" t="inlineStr">
        <is>
          <t>2026-10-30</t>
        </is>
      </c>
      <c r="B987" t="inlineStr">
        <is>
          <t>510310</t>
        </is>
      </c>
      <c r="C987" t="inlineStr">
        <is>
          <t>沪深300ETF易方达</t>
        </is>
      </c>
      <c r="D987" t="n">
        <v>2231614.4</v>
      </c>
      <c r="E987" t="n">
        <v>2208124.4</v>
      </c>
      <c r="F987" t="n">
        <v>3.997</v>
      </c>
      <c r="G987" t="n">
        <v>23490</v>
      </c>
      <c r="H987" t="n">
        <v>882.587323</v>
      </c>
      <c r="I987" t="n">
        <v>884.732016</v>
      </c>
      <c r="J987" t="n">
        <v>-2.144693</v>
      </c>
      <c r="K987" s="4">
        <f>IFERROR(J987/I987,"")</f>
        <v/>
      </c>
      <c r="L987" s="4">
        <f>IFERROR((D987-E987)/E987,"")</f>
        <v/>
      </c>
      <c r="M987" s="19">
        <f>IFERROR(F987*G987/10000,"")</f>
        <v/>
      </c>
    </row>
    <row r="988">
      <c r="A988" t="inlineStr">
        <is>
          <t>2026-10-30</t>
        </is>
      </c>
      <c r="B988" t="inlineStr">
        <is>
          <t>510320</t>
        </is>
      </c>
      <c r="C988" t="inlineStr">
        <is>
          <t>沪深300ETF中金</t>
        </is>
      </c>
      <c r="D988" t="n">
        <v>82006.85000000001</v>
      </c>
      <c r="E988" t="n">
        <v>82006.85000000001</v>
      </c>
      <c r="F988" t="n">
        <v>1.107</v>
      </c>
      <c r="G988" t="n">
        <v>0</v>
      </c>
      <c r="H988" t="n">
        <v>9.078158</v>
      </c>
      <c r="I988" t="n">
        <v>9.176565999999999</v>
      </c>
      <c r="J988" t="n">
        <v>-0.098408</v>
      </c>
      <c r="K988" s="4">
        <f>IFERROR(J988/I988,"")</f>
        <v/>
      </c>
      <c r="L988" s="4">
        <f>IFERROR((D988-E988)/E988,"")</f>
        <v/>
      </c>
      <c r="M988" s="19">
        <f>IFERROR(F988*G988/10000,"")</f>
        <v/>
      </c>
    </row>
    <row r="989">
      <c r="A989" t="inlineStr">
        <is>
          <t>2026-10-30</t>
        </is>
      </c>
      <c r="B989" t="inlineStr">
        <is>
          <t>510330</t>
        </is>
      </c>
      <c r="C989" t="inlineStr">
        <is>
          <t>沪深300ETF华夏</t>
        </is>
      </c>
      <c r="D989" t="n">
        <v>1361004.98</v>
      </c>
      <c r="E989" t="n">
        <v>1361454.98</v>
      </c>
      <c r="F989" t="n">
        <v>4.288</v>
      </c>
      <c r="G989" t="n">
        <v>-450</v>
      </c>
      <c r="H989" t="n">
        <v>583.7918969999999</v>
      </c>
      <c r="I989" t="n">
        <v>585.007652</v>
      </c>
      <c r="J989" t="n">
        <v>-1.215755</v>
      </c>
      <c r="K989" s="4">
        <f>IFERROR(J989/I989,"")</f>
        <v/>
      </c>
      <c r="L989" s="4">
        <f>IFERROR((D989-E989)/E989,"")</f>
        <v/>
      </c>
      <c r="M989" s="19">
        <f>IFERROR(F989*G989/10000,"")</f>
        <v/>
      </c>
    </row>
    <row r="990">
      <c r="A990" t="inlineStr">
        <is>
          <t>2026-10-30</t>
        </is>
      </c>
      <c r="B990" t="inlineStr">
        <is>
          <t>510350</t>
        </is>
      </c>
      <c r="C990" t="inlineStr">
        <is>
          <t>沪深300ETF工银</t>
        </is>
      </c>
      <c r="D990" t="n">
        <v>77231.47</v>
      </c>
      <c r="E990" t="n">
        <v>77321.47</v>
      </c>
      <c r="F990" t="n">
        <v>4.335</v>
      </c>
      <c r="G990" t="n">
        <v>-90</v>
      </c>
      <c r="H990" t="n">
        <v>33.518857</v>
      </c>
      <c r="I990" t="n">
        <v>33.726251</v>
      </c>
      <c r="J990" t="n">
        <v>-0.207394</v>
      </c>
      <c r="K990" s="4">
        <f>IFERROR(J990/I990,"")</f>
        <v/>
      </c>
      <c r="L990" s="4">
        <f>IFERROR((D990-E990)/E990,"")</f>
        <v/>
      </c>
      <c r="M990" s="19">
        <f>IFERROR(F990*G990/10000,"")</f>
        <v/>
      </c>
    </row>
    <row r="991">
      <c r="A991" t="inlineStr">
        <is>
          <t>2026-10-30</t>
        </is>
      </c>
      <c r="B991" t="inlineStr">
        <is>
          <t>510360</t>
        </is>
      </c>
      <c r="C991" t="inlineStr">
        <is>
          <t>沪深300ETF广发</t>
        </is>
      </c>
      <c r="D991" t="n">
        <v>255538.12</v>
      </c>
      <c r="E991" t="n">
        <v>252238.12</v>
      </c>
      <c r="F991" t="n">
        <v>1.571</v>
      </c>
      <c r="G991" t="n">
        <v>3300</v>
      </c>
      <c r="H991" t="n">
        <v>39.626608</v>
      </c>
      <c r="I991" t="n">
        <v>39.842287</v>
      </c>
      <c r="J991" t="n">
        <v>-0.215679</v>
      </c>
      <c r="K991" s="4">
        <f>IFERROR(J991/I991,"")</f>
        <v/>
      </c>
      <c r="L991" s="4">
        <f>IFERROR((D991-E991)/E991,"")</f>
        <v/>
      </c>
      <c r="M991" s="19">
        <f>IFERROR(F991*G991/10000,"")</f>
        <v/>
      </c>
    </row>
    <row r="992">
      <c r="A992" t="inlineStr">
        <is>
          <t>2026-10-30</t>
        </is>
      </c>
      <c r="B992" t="inlineStr">
        <is>
          <t>510370</t>
        </is>
      </c>
      <c r="C992" t="inlineStr">
        <is>
          <t>沪深300ETF兴业</t>
        </is>
      </c>
      <c r="D992" t="n">
        <v>9625.809999999999</v>
      </c>
      <c r="E992" t="n">
        <v>9625.809999999999</v>
      </c>
      <c r="F992" t="n">
        <v>0.912</v>
      </c>
      <c r="G992" t="n">
        <v>0</v>
      </c>
      <c r="H992" t="n">
        <v>0.877874</v>
      </c>
      <c r="I992" t="n">
        <v>0.884612</v>
      </c>
      <c r="J992" t="n">
        <v>-0.006738</v>
      </c>
      <c r="K992" s="4">
        <f>IFERROR(J992/I992,"")</f>
        <v/>
      </c>
      <c r="L992" s="4">
        <f>IFERROR((D992-E992)/E992,"")</f>
        <v/>
      </c>
      <c r="M992" s="19">
        <f>IFERROR(F992*G992/10000,"")</f>
        <v/>
      </c>
    </row>
    <row r="993">
      <c r="A993" t="inlineStr">
        <is>
          <t>2026-10-30</t>
        </is>
      </c>
      <c r="B993" t="inlineStr">
        <is>
          <t>510380</t>
        </is>
      </c>
      <c r="C993" t="inlineStr">
        <is>
          <t>沪深300ETF国寿</t>
        </is>
      </c>
      <c r="D993" t="n">
        <v>133880.24</v>
      </c>
      <c r="E993" t="n">
        <v>133880.24</v>
      </c>
      <c r="F993" t="n">
        <v>1.229</v>
      </c>
      <c r="G993" t="n">
        <v>0</v>
      </c>
      <c r="H993" t="n">
        <v>16.453881</v>
      </c>
      <c r="I993" t="n">
        <v>16.614538</v>
      </c>
      <c r="J993" t="n">
        <v>-0.160657</v>
      </c>
      <c r="K993" s="4">
        <f>IFERROR(J993/I993,"")</f>
        <v/>
      </c>
      <c r="L993" s="4">
        <f>IFERROR((D993-E993)/E993,"")</f>
        <v/>
      </c>
      <c r="M993" s="19">
        <f>IFERROR(F993*G993/10000,"")</f>
        <v/>
      </c>
    </row>
    <row r="994">
      <c r="A994" t="inlineStr">
        <is>
          <t>2026-10-30</t>
        </is>
      </c>
      <c r="B994" t="inlineStr">
        <is>
          <t>510390</t>
        </is>
      </c>
      <c r="C994" t="inlineStr">
        <is>
          <t>沪深300ETF平安</t>
        </is>
      </c>
      <c r="D994" t="n">
        <v>13745</v>
      </c>
      <c r="E994" t="n">
        <v>13745</v>
      </c>
      <c r="F994" t="n">
        <v>4.67</v>
      </c>
      <c r="G994" t="n">
        <v>0</v>
      </c>
      <c r="H994" t="n">
        <v>6.418915</v>
      </c>
      <c r="I994" t="n">
        <v>6.48764</v>
      </c>
      <c r="J994" t="n">
        <v>-0.06872499999999999</v>
      </c>
      <c r="K994" s="4">
        <f>IFERROR(J994/I994,"")</f>
        <v/>
      </c>
      <c r="L994" s="4">
        <f>IFERROR((D994-E994)/E994,"")</f>
        <v/>
      </c>
      <c r="M994" s="19">
        <f>IFERROR(F994*G994/10000,"")</f>
        <v/>
      </c>
    </row>
    <row r="995">
      <c r="A995" t="inlineStr">
        <is>
          <t>2026-10-30</t>
        </is>
      </c>
      <c r="B995" t="inlineStr">
        <is>
          <t>510410</t>
        </is>
      </c>
      <c r="C995" t="inlineStr">
        <is>
          <t>资源ETF博时</t>
        </is>
      </c>
      <c r="D995" t="n">
        <v>41625.84</v>
      </c>
      <c r="E995" t="n">
        <v>41725.84</v>
      </c>
      <c r="F995" t="n">
        <v>1.727</v>
      </c>
      <c r="G995" t="n">
        <v>-100</v>
      </c>
      <c r="H995" t="n">
        <v>7.206052</v>
      </c>
      <c r="I995" t="n">
        <v>7.265748</v>
      </c>
      <c r="J995" t="n">
        <v>-0.059696</v>
      </c>
      <c r="K995" s="4">
        <f>IFERROR(J995/I995,"")</f>
        <v/>
      </c>
      <c r="L995" s="4">
        <f>IFERROR((D995-E995)/E995,"")</f>
        <v/>
      </c>
      <c r="M995" s="19">
        <f>IFERROR(F995*G995/10000,"")</f>
        <v/>
      </c>
    </row>
    <row r="996">
      <c r="A996" t="inlineStr">
        <is>
          <t>2026-10-30</t>
        </is>
      </c>
      <c r="B996" t="inlineStr">
        <is>
          <t>510500</t>
        </is>
      </c>
      <c r="C996" t="inlineStr">
        <is>
          <t>中证500ETF南方</t>
        </is>
      </c>
      <c r="D996" t="n">
        <v>677936.86</v>
      </c>
      <c r="E996" t="n">
        <v>708896.86</v>
      </c>
      <c r="F996" t="n">
        <v>6.49</v>
      </c>
      <c r="G996" t="n">
        <v>-30960</v>
      </c>
      <c r="H996" t="n">
        <v>460.074063</v>
      </c>
      <c r="I996" t="n">
        <v>468.572466</v>
      </c>
      <c r="J996" t="n">
        <v>-8.498403</v>
      </c>
      <c r="K996" s="4">
        <f>IFERROR(J996/I996,"")</f>
        <v/>
      </c>
      <c r="L996" s="4">
        <f>IFERROR((D996-E996)/E996,"")</f>
        <v/>
      </c>
      <c r="M996" s="19">
        <f>IFERROR(F996*G996/10000,"")</f>
        <v/>
      </c>
    </row>
    <row r="997">
      <c r="A997" t="inlineStr">
        <is>
          <t>2026-10-30</t>
        </is>
      </c>
      <c r="B997" t="inlineStr">
        <is>
          <t>510510</t>
        </is>
      </c>
      <c r="C997" t="inlineStr">
        <is>
          <t>中证500ETF广发</t>
        </is>
      </c>
      <c r="D997" t="n">
        <v>89303.83</v>
      </c>
      <c r="E997" t="n">
        <v>89503.83</v>
      </c>
      <c r="F997" t="n">
        <v>2.11</v>
      </c>
      <c r="G997" t="n">
        <v>-200</v>
      </c>
      <c r="H997" t="n">
        <v>18.885309</v>
      </c>
      <c r="I997" t="n">
        <v>19.370001</v>
      </c>
      <c r="J997" t="n">
        <v>-0.484692</v>
      </c>
      <c r="K997" s="4">
        <f>IFERROR(J997/I997,"")</f>
        <v/>
      </c>
      <c r="L997" s="4">
        <f>IFERROR((D997-E997)/E997,"")</f>
        <v/>
      </c>
      <c r="M997" s="19">
        <f>IFERROR(F997*G997/10000,"")</f>
        <v/>
      </c>
    </row>
    <row r="998">
      <c r="A998" t="inlineStr">
        <is>
          <t>2026-10-30</t>
        </is>
      </c>
      <c r="B998" t="inlineStr">
        <is>
          <t>510530</t>
        </is>
      </c>
      <c r="C998" t="inlineStr">
        <is>
          <t>中证500ETF工银</t>
        </is>
      </c>
      <c r="D998" t="n">
        <v>4797.94</v>
      </c>
      <c r="E998" t="n">
        <v>4797.94</v>
      </c>
      <c r="F998" t="n">
        <v>7.343</v>
      </c>
      <c r="G998" t="n">
        <v>0</v>
      </c>
      <c r="H998" t="n">
        <v>3.523126</v>
      </c>
      <c r="I998" t="n">
        <v>3.623403</v>
      </c>
      <c r="J998" t="n">
        <v>-0.100277</v>
      </c>
      <c r="K998" s="4">
        <f>IFERROR(J998/I998,"")</f>
        <v/>
      </c>
      <c r="L998" s="4">
        <f>IFERROR((D998-E998)/E998,"")</f>
        <v/>
      </c>
      <c r="M998" s="19">
        <f>IFERROR(F998*G998/10000,"")</f>
        <v/>
      </c>
    </row>
    <row r="999">
      <c r="A999" t="inlineStr">
        <is>
          <t>2026-10-30</t>
        </is>
      </c>
      <c r="B999" t="inlineStr">
        <is>
          <t>510550</t>
        </is>
      </c>
      <c r="C999" t="inlineStr">
        <is>
          <t>中证500ETF方正富邦</t>
        </is>
      </c>
      <c r="D999" t="n">
        <v>2374.33</v>
      </c>
      <c r="E999" t="n">
        <v>2374.33</v>
      </c>
      <c r="F999" t="n">
        <v>1.671</v>
      </c>
      <c r="G999" t="n">
        <v>0</v>
      </c>
      <c r="H999" t="n">
        <v>0.396751</v>
      </c>
      <c r="I999" t="n">
        <v>0.408385</v>
      </c>
      <c r="J999" t="n">
        <v>-0.011634</v>
      </c>
      <c r="K999" s="4">
        <f>IFERROR(J999/I999,"")</f>
        <v/>
      </c>
      <c r="L999" s="4">
        <f>IFERROR((D999-E999)/E999,"")</f>
        <v/>
      </c>
      <c r="M999" s="19">
        <f>IFERROR(F999*G999/10000,"")</f>
        <v/>
      </c>
    </row>
    <row r="1000">
      <c r="A1000" t="inlineStr">
        <is>
          <t>2026-10-30</t>
        </is>
      </c>
      <c r="B1000" t="inlineStr">
        <is>
          <t>510560</t>
        </is>
      </c>
      <c r="C1000" t="inlineStr">
        <is>
          <t>中证500ETF国寿</t>
        </is>
      </c>
      <c r="D1000" t="n">
        <v>5431.87</v>
      </c>
      <c r="E1000" t="n">
        <v>5431.87</v>
      </c>
      <c r="F1000" t="n">
        <v>1.639</v>
      </c>
      <c r="G1000" t="n">
        <v>0</v>
      </c>
      <c r="H1000" t="n">
        <v>0.890283</v>
      </c>
      <c r="I1000" t="n">
        <v>0.908752</v>
      </c>
      <c r="J1000" t="n">
        <v>-0.018469</v>
      </c>
      <c r="K1000" s="4">
        <f>IFERROR(J1000/I1000,"")</f>
        <v/>
      </c>
      <c r="L1000" s="4">
        <f>IFERROR((D1000-E1000)/E1000,"")</f>
        <v/>
      </c>
      <c r="M1000" s="19">
        <f>IFERROR(F1000*G1000/10000,"")</f>
        <v/>
      </c>
    </row>
    <row r="1001">
      <c r="A1001" t="inlineStr">
        <is>
          <t>2026-10-30</t>
        </is>
      </c>
      <c r="B1001" t="inlineStr">
        <is>
          <t>510570</t>
        </is>
      </c>
      <c r="C1001" t="inlineStr">
        <is>
          <t>中证500ETF兴业</t>
        </is>
      </c>
      <c r="D1001" t="n">
        <v>5056.06</v>
      </c>
      <c r="E1001" t="n">
        <v>5056.06</v>
      </c>
      <c r="F1001" t="n">
        <v>1.024</v>
      </c>
      <c r="G1001" t="n">
        <v>0</v>
      </c>
      <c r="H1001" t="n">
        <v>0.51774</v>
      </c>
      <c r="I1001" t="n">
        <v>0.531897</v>
      </c>
      <c r="J1001" t="n">
        <v>-0.014157</v>
      </c>
      <c r="K1001" s="4">
        <f>IFERROR(J1001/I1001,"")</f>
        <v/>
      </c>
      <c r="L1001" s="4">
        <f>IFERROR((D1001-E1001)/E1001,"")</f>
        <v/>
      </c>
      <c r="M1001" s="19">
        <f>IFERROR(F1001*G1001/10000,"")</f>
        <v/>
      </c>
    </row>
    <row r="1002">
      <c r="A1002" t="inlineStr">
        <is>
          <t>2026-10-30</t>
        </is>
      </c>
      <c r="B1002" t="inlineStr">
        <is>
          <t>510580</t>
        </is>
      </c>
      <c r="C1002" t="inlineStr">
        <is>
          <t>中证500ETF易方达</t>
        </is>
      </c>
      <c r="D1002" t="n">
        <v>123656.83</v>
      </c>
      <c r="E1002" t="n">
        <v>125496.83</v>
      </c>
      <c r="F1002" t="n">
        <v>3.417</v>
      </c>
      <c r="G1002" t="n">
        <v>-1840</v>
      </c>
      <c r="H1002" t="n">
        <v>42.882268</v>
      </c>
      <c r="I1002" t="n">
        <v>44.077469</v>
      </c>
      <c r="J1002" t="n">
        <v>-1.195201</v>
      </c>
      <c r="K1002" s="4">
        <f>IFERROR(J1002/I1002,"")</f>
        <v/>
      </c>
      <c r="L1002" s="4">
        <f>IFERROR((D1002-E1002)/E1002,"")</f>
        <v/>
      </c>
      <c r="M1002" s="19">
        <f>IFERROR(F1002*G1002/10000,"")</f>
        <v/>
      </c>
    </row>
    <row r="1003">
      <c r="A1003" t="inlineStr">
        <is>
          <t>2026-10-30</t>
        </is>
      </c>
      <c r="B1003" t="inlineStr">
        <is>
          <t>510590</t>
        </is>
      </c>
      <c r="C1003" t="inlineStr">
        <is>
          <t>中证500ETF平安</t>
        </is>
      </c>
      <c r="D1003" t="n">
        <v>12478.61</v>
      </c>
      <c r="E1003" t="n">
        <v>12798.61</v>
      </c>
      <c r="F1003" t="n">
        <v>7.082</v>
      </c>
      <c r="G1003" t="n">
        <v>-320</v>
      </c>
      <c r="H1003" t="n">
        <v>9.063977</v>
      </c>
      <c r="I1003" t="n">
        <v>9.294352</v>
      </c>
      <c r="J1003" t="n">
        <v>-0.230375</v>
      </c>
      <c r="K1003" s="4">
        <f>IFERROR(J1003/I1003,"")</f>
        <v/>
      </c>
      <c r="L1003" s="4">
        <f>IFERROR((D1003-E1003)/E1003,"")</f>
        <v/>
      </c>
      <c r="M1003" s="19">
        <f>IFERROR(F1003*G1003/10000,"")</f>
        <v/>
      </c>
    </row>
    <row r="1004">
      <c r="A1004" t="inlineStr">
        <is>
          <t>2026-10-30</t>
        </is>
      </c>
      <c r="B1004" t="inlineStr">
        <is>
          <t>510600</t>
        </is>
      </c>
      <c r="C1004" t="inlineStr">
        <is>
          <t>上证50ETF申万菱信</t>
        </is>
      </c>
      <c r="D1004" t="n">
        <v>1241.51</v>
      </c>
      <c r="E1004" t="n">
        <v>1271.51</v>
      </c>
      <c r="F1004" t="n">
        <v>3.679</v>
      </c>
      <c r="G1004" t="n">
        <v>-30</v>
      </c>
      <c r="H1004" t="n">
        <v>0.467789</v>
      </c>
      <c r="I1004" t="n">
        <v>0.465755</v>
      </c>
      <c r="J1004" t="n">
        <v>0.002034</v>
      </c>
      <c r="K1004" s="4">
        <f>IFERROR(J1004/I1004,"")</f>
        <v/>
      </c>
      <c r="L1004" s="4">
        <f>IFERROR((D1004-E1004)/E1004,"")</f>
        <v/>
      </c>
      <c r="M1004" s="19">
        <f>IFERROR(F1004*G1004/10000,"")</f>
        <v/>
      </c>
    </row>
    <row r="1005">
      <c r="A1005" t="inlineStr">
        <is>
          <t>2026-10-30</t>
        </is>
      </c>
      <c r="B1005" t="inlineStr">
        <is>
          <t>510630</t>
        </is>
      </c>
      <c r="C1005" t="inlineStr">
        <is>
          <t>消费ETF华夏</t>
        </is>
      </c>
      <c r="D1005" t="n">
        <v>51536.15</v>
      </c>
      <c r="E1005" t="n">
        <v>51936.15</v>
      </c>
      <c r="F1005" t="n">
        <v>0.8</v>
      </c>
      <c r="G1005" t="n">
        <v>-400</v>
      </c>
      <c r="H1005" t="n">
        <v>4.154892</v>
      </c>
      <c r="I1005" t="n">
        <v>4.092329</v>
      </c>
      <c r="J1005" t="n">
        <v>0.06256299999999999</v>
      </c>
      <c r="K1005" s="4">
        <f>IFERROR(J1005/I1005,"")</f>
        <v/>
      </c>
      <c r="L1005" s="4">
        <f>IFERROR((D1005-E1005)/E1005,"")</f>
        <v/>
      </c>
      <c r="M1005" s="19">
        <f>IFERROR(F1005*G1005/10000,"")</f>
        <v/>
      </c>
    </row>
    <row r="1006">
      <c r="A1006" t="inlineStr">
        <is>
          <t>2026-10-30</t>
        </is>
      </c>
      <c r="B1006" t="inlineStr">
        <is>
          <t>510650</t>
        </is>
      </c>
      <c r="C1006" t="inlineStr">
        <is>
          <t>金融地产ETF华夏</t>
        </is>
      </c>
      <c r="D1006" t="n">
        <v>1395.25</v>
      </c>
      <c r="E1006" t="n">
        <v>1395.25</v>
      </c>
      <c r="F1006" t="n">
        <v>2.994</v>
      </c>
      <c r="G1006" t="n">
        <v>0</v>
      </c>
      <c r="H1006" t="n">
        <v>0.417737</v>
      </c>
      <c r="I1006" t="n">
        <v>0.413691</v>
      </c>
      <c r="J1006" t="n">
        <v>0.004046</v>
      </c>
      <c r="K1006" s="4">
        <f>IFERROR(J1006/I1006,"")</f>
        <v/>
      </c>
      <c r="L1006" s="4">
        <f>IFERROR((D1006-E1006)/E1006,"")</f>
        <v/>
      </c>
      <c r="M1006" s="19">
        <f>IFERROR(F1006*G1006/10000,"")</f>
        <v/>
      </c>
    </row>
    <row r="1007">
      <c r="A1007" t="inlineStr">
        <is>
          <t>2026-10-30</t>
        </is>
      </c>
      <c r="B1007" t="inlineStr">
        <is>
          <t>510660</t>
        </is>
      </c>
      <c r="C1007" t="inlineStr">
        <is>
          <t>医药ETF华夏</t>
        </is>
      </c>
      <c r="D1007" t="n">
        <v>5037.97</v>
      </c>
      <c r="E1007" t="n">
        <v>5037.97</v>
      </c>
      <c r="F1007" t="n">
        <v>2.366</v>
      </c>
      <c r="G1007" t="n">
        <v>0</v>
      </c>
      <c r="H1007" t="n">
        <v>1.191984</v>
      </c>
      <c r="I1007" t="n">
        <v>1.194503</v>
      </c>
      <c r="J1007" t="n">
        <v>-0.002519</v>
      </c>
      <c r="K1007" s="4">
        <f>IFERROR(J1007/I1007,"")</f>
        <v/>
      </c>
      <c r="L1007" s="4">
        <f>IFERROR((D1007-E1007)/E1007,"")</f>
        <v/>
      </c>
      <c r="M1007" s="19">
        <f>IFERROR(F1007*G1007/10000,"")</f>
        <v/>
      </c>
    </row>
    <row r="1008">
      <c r="A1008" t="inlineStr">
        <is>
          <t>2026-10-30</t>
        </is>
      </c>
      <c r="B1008" t="inlineStr">
        <is>
          <t>510670</t>
        </is>
      </c>
      <c r="C1008" t="inlineStr">
        <is>
          <t>上证180ETF华夏</t>
        </is>
      </c>
      <c r="D1008" t="n">
        <v>17049.3</v>
      </c>
      <c r="E1008" t="n">
        <v>17049.3</v>
      </c>
      <c r="F1008" t="n">
        <v>0.922</v>
      </c>
      <c r="G1008" t="n">
        <v>0</v>
      </c>
      <c r="H1008" t="n">
        <v>1.571945</v>
      </c>
      <c r="I1008" t="n">
        <v>1.600185</v>
      </c>
      <c r="J1008" t="n">
        <v>-0.02824</v>
      </c>
      <c r="K1008" s="4">
        <f>IFERROR(J1008/I1008,"")</f>
        <v/>
      </c>
      <c r="L1008" s="4">
        <f>IFERROR((D1008-E1008)/E1008,"")</f>
        <v/>
      </c>
      <c r="M1008" s="19">
        <f>IFERROR(F1008*G1008/10000,"")</f>
        <v/>
      </c>
    </row>
    <row r="1009">
      <c r="A1009" t="inlineStr">
        <is>
          <t>2026-10-30</t>
        </is>
      </c>
      <c r="B1009" t="inlineStr">
        <is>
          <t>510680</t>
        </is>
      </c>
      <c r="C1009" t="inlineStr">
        <is>
          <t>上证50ETF万家</t>
        </is>
      </c>
      <c r="D1009" t="n">
        <v>1992.47</v>
      </c>
      <c r="E1009" t="n">
        <v>1992.47</v>
      </c>
      <c r="F1009" t="n">
        <v>3.023</v>
      </c>
      <c r="G1009" t="n">
        <v>0</v>
      </c>
      <c r="H1009" t="n">
        <v>0.602322</v>
      </c>
      <c r="I1009" t="n">
        <v>0.599931</v>
      </c>
      <c r="J1009" t="n">
        <v>0.002391</v>
      </c>
      <c r="K1009" s="4">
        <f>IFERROR(J1009/I1009,"")</f>
        <v/>
      </c>
      <c r="L1009" s="4">
        <f>IFERROR((D1009-E1009)/E1009,"")</f>
        <v/>
      </c>
      <c r="M1009" s="19">
        <f>IFERROR(F1009*G1009/10000,"")</f>
        <v/>
      </c>
    </row>
    <row r="1010">
      <c r="A1010" t="inlineStr">
        <is>
          <t>2026-10-30</t>
        </is>
      </c>
      <c r="B1010" t="inlineStr">
        <is>
          <t>510710</t>
        </is>
      </c>
      <c r="C1010" t="inlineStr">
        <is>
          <t>上证50ETF博时</t>
        </is>
      </c>
      <c r="D1010" t="n">
        <v>10551.89</v>
      </c>
      <c r="E1010" t="n">
        <v>10551.89</v>
      </c>
      <c r="F1010" t="n">
        <v>4.104</v>
      </c>
      <c r="G1010" t="n">
        <v>0</v>
      </c>
      <c r="H1010" t="n">
        <v>4.330494</v>
      </c>
      <c r="I1010" t="n">
        <v>4.292231</v>
      </c>
      <c r="J1010" t="n">
        <v>0.038263</v>
      </c>
      <c r="K1010" s="4">
        <f>IFERROR(J1010/I1010,"")</f>
        <v/>
      </c>
      <c r="L1010" s="4">
        <f>IFERROR((D1010-E1010)/E1010,"")</f>
        <v/>
      </c>
      <c r="M1010" s="19">
        <f>IFERROR(F1010*G1010/10000,"")</f>
        <v/>
      </c>
    </row>
    <row r="1011">
      <c r="A1011" t="inlineStr">
        <is>
          <t>2026-10-30</t>
        </is>
      </c>
      <c r="B1011" t="inlineStr">
        <is>
          <t>510720</t>
        </is>
      </c>
      <c r="C1011" t="inlineStr">
        <is>
          <t>红利国企ETF国泰</t>
        </is>
      </c>
      <c r="D1011" t="n">
        <v>199776.6</v>
      </c>
      <c r="E1011" t="n">
        <v>203076.6</v>
      </c>
      <c r="F1011" t="n">
        <v>1.029</v>
      </c>
      <c r="G1011" t="n">
        <v>-3300</v>
      </c>
      <c r="H1011" t="n">
        <v>20.896582</v>
      </c>
      <c r="I1011" t="n">
        <v>20.500503</v>
      </c>
      <c r="J1011" t="n">
        <v>0.396079</v>
      </c>
      <c r="K1011" s="4">
        <f>IFERROR(J1011/I1011,"")</f>
        <v/>
      </c>
      <c r="L1011" s="4">
        <f>IFERROR((D1011-E1011)/E1011,"")</f>
        <v/>
      </c>
      <c r="M1011" s="19">
        <f>IFERROR(F1011*G1011/10000,"")</f>
        <v/>
      </c>
    </row>
    <row r="1012">
      <c r="A1012" t="inlineStr">
        <is>
          <t>2026-10-30</t>
        </is>
      </c>
      <c r="B1012" t="inlineStr">
        <is>
          <t>510760</t>
        </is>
      </c>
      <c r="C1012" t="inlineStr">
        <is>
          <t>上证指数ETF国泰</t>
        </is>
      </c>
      <c r="D1012" t="n">
        <v>605950.37</v>
      </c>
      <c r="E1012" t="n">
        <v>576550.37</v>
      </c>
      <c r="F1012" t="n">
        <v>1.272</v>
      </c>
      <c r="G1012" t="n">
        <v>29400</v>
      </c>
      <c r="H1012" t="n">
        <v>73.33720700000001</v>
      </c>
      <c r="I1012" t="n">
        <v>72.549482</v>
      </c>
      <c r="J1012" t="n">
        <v>0.787725</v>
      </c>
      <c r="K1012" s="4">
        <f>IFERROR(J1012/I1012,"")</f>
        <v/>
      </c>
      <c r="L1012" s="4">
        <f>IFERROR((D1012-E1012)/E1012,"")</f>
        <v/>
      </c>
      <c r="M1012" s="19">
        <f>IFERROR(F1012*G1012/10000,"")</f>
        <v/>
      </c>
    </row>
    <row r="1013">
      <c r="A1013" t="inlineStr">
        <is>
          <t>2026-10-30</t>
        </is>
      </c>
      <c r="B1013" t="inlineStr">
        <is>
          <t>510770</t>
        </is>
      </c>
      <c r="C1013" t="inlineStr">
        <is>
          <t>G60创新ETF申万菱信</t>
        </is>
      </c>
      <c r="D1013" t="n">
        <v>2011.07</v>
      </c>
      <c r="E1013" t="n">
        <v>2161.07</v>
      </c>
      <c r="F1013" t="n">
        <v>0.662</v>
      </c>
      <c r="G1013" t="n">
        <v>-150</v>
      </c>
      <c r="H1013" t="n">
        <v>0.143063</v>
      </c>
      <c r="I1013" t="n">
        <v>0.138965</v>
      </c>
      <c r="J1013" t="n">
        <v>0.004098</v>
      </c>
      <c r="K1013" s="4">
        <f>IFERROR(J1013/I1013,"")</f>
        <v/>
      </c>
      <c r="L1013" s="4">
        <f>IFERROR((D1013-E1013)/E1013,"")</f>
        <v/>
      </c>
      <c r="M1013" s="19">
        <f>IFERROR(F1013*G1013/10000,"")</f>
        <v/>
      </c>
    </row>
    <row r="1014">
      <c r="A1014" t="inlineStr">
        <is>
          <t>2026-10-30</t>
        </is>
      </c>
      <c r="B1014" t="inlineStr">
        <is>
          <t>510800</t>
        </is>
      </c>
      <c r="C1014" t="inlineStr">
        <is>
          <t>上证50ETF建信</t>
        </is>
      </c>
      <c r="D1014" t="n">
        <v>18357.6</v>
      </c>
      <c r="E1014" t="n">
        <v>18357.6</v>
      </c>
      <c r="F1014" t="n">
        <v>1.329</v>
      </c>
      <c r="G1014" t="n">
        <v>0</v>
      </c>
      <c r="H1014" t="n">
        <v>2.439725</v>
      </c>
      <c r="I1014" t="n">
        <v>2.430546</v>
      </c>
      <c r="J1014" t="n">
        <v>0.009179</v>
      </c>
      <c r="K1014" s="4">
        <f>IFERROR(J1014/I1014,"")</f>
        <v/>
      </c>
      <c r="L1014" s="4">
        <f>IFERROR((D1014-E1014)/E1014,"")</f>
        <v/>
      </c>
      <c r="M1014" s="19">
        <f>IFERROR(F1014*G1014/10000,"")</f>
        <v/>
      </c>
    </row>
    <row r="1015">
      <c r="A1015" t="inlineStr">
        <is>
          <t>2026-10-30</t>
        </is>
      </c>
      <c r="B1015" t="inlineStr">
        <is>
          <t>510810</t>
        </is>
      </c>
      <c r="C1015" t="inlineStr">
        <is>
          <t>上海国企ETF汇添富</t>
        </is>
      </c>
      <c r="D1015" t="n">
        <v>574699.37</v>
      </c>
      <c r="E1015" t="n">
        <v>574829.37</v>
      </c>
      <c r="F1015" t="n">
        <v>0.803</v>
      </c>
      <c r="G1015" t="n">
        <v>-130</v>
      </c>
      <c r="H1015" t="n">
        <v>46.158798</v>
      </c>
      <c r="I1015" t="n">
        <v>46.446213</v>
      </c>
      <c r="J1015" t="n">
        <v>-0.287415</v>
      </c>
      <c r="K1015" s="4">
        <f>IFERROR(J1015/I1015,"")</f>
        <v/>
      </c>
      <c r="L1015" s="4">
        <f>IFERROR((D1015-E1015)/E1015,"")</f>
        <v/>
      </c>
      <c r="M1015" s="19">
        <f>IFERROR(F1015*G1015/10000,"")</f>
        <v/>
      </c>
    </row>
    <row r="1016">
      <c r="A1016" t="inlineStr">
        <is>
          <t>2026-10-30</t>
        </is>
      </c>
      <c r="B1016" t="inlineStr">
        <is>
          <t>510850</t>
        </is>
      </c>
      <c r="C1016" t="inlineStr">
        <is>
          <t>上证50ETF工银</t>
        </is>
      </c>
      <c r="D1016" t="n">
        <v>4429.89</v>
      </c>
      <c r="E1016" t="n">
        <v>4429.89</v>
      </c>
      <c r="F1016" t="n">
        <v>3.402</v>
      </c>
      <c r="G1016" t="n">
        <v>0</v>
      </c>
      <c r="H1016" t="n">
        <v>1.507048</v>
      </c>
      <c r="I1016" t="n">
        <v>1.503061</v>
      </c>
      <c r="J1016" t="n">
        <v>0.003987</v>
      </c>
      <c r="K1016" s="4">
        <f>IFERROR(J1016/I1016,"")</f>
        <v/>
      </c>
      <c r="L1016" s="4">
        <f>IFERROR((D1016-E1016)/E1016,"")</f>
        <v/>
      </c>
      <c r="M1016" s="19">
        <f>IFERROR(F1016*G1016/10000,"")</f>
        <v/>
      </c>
    </row>
    <row r="1017">
      <c r="A1017" t="inlineStr">
        <is>
          <t>2026-10-30</t>
        </is>
      </c>
      <c r="B1017" t="inlineStr">
        <is>
          <t>510880</t>
        </is>
      </c>
      <c r="C1017" t="inlineStr">
        <is>
          <t>红利ETF华泰柏瑞</t>
        </is>
      </c>
      <c r="D1017" t="n">
        <v>609567.5699999999</v>
      </c>
      <c r="E1017" t="n">
        <v>610767.5699999999</v>
      </c>
      <c r="F1017" t="n">
        <v>3.42</v>
      </c>
      <c r="G1017" t="n">
        <v>-1200</v>
      </c>
      <c r="H1017" t="n">
        <v>208.882509</v>
      </c>
      <c r="I1017" t="n">
        <v>202.326259</v>
      </c>
      <c r="J1017" t="n">
        <v>6.55625</v>
      </c>
      <c r="K1017" s="4">
        <f>IFERROR(J1017/I1017,"")</f>
        <v/>
      </c>
      <c r="L1017" s="4">
        <f>IFERROR((D1017-E1017)/E1017,"")</f>
        <v/>
      </c>
      <c r="M1017" s="19">
        <f>IFERROR(F1017*G1017/10000,"")</f>
        <v/>
      </c>
    </row>
    <row r="1018">
      <c r="A1018" t="inlineStr">
        <is>
          <t>2026-10-30</t>
        </is>
      </c>
      <c r="B1018" t="inlineStr">
        <is>
          <t>510900</t>
        </is>
      </c>
      <c r="C1018" t="inlineStr">
        <is>
          <t>恒生中国企业ETF易方达</t>
        </is>
      </c>
      <c r="D1018" t="n">
        <v>315002.19</v>
      </c>
      <c r="E1018" t="n">
        <v>315002.19</v>
      </c>
      <c r="F1018" t="n">
        <v>0.957</v>
      </c>
      <c r="G1018" t="n">
        <v>0</v>
      </c>
      <c r="H1018" t="n">
        <v>30.14571</v>
      </c>
      <c r="I1018" t="n">
        <v>30.11421</v>
      </c>
      <c r="J1018" t="n">
        <v>0.0315</v>
      </c>
      <c r="K1018" s="4">
        <f>IFERROR(J1018/I1018,"")</f>
        <v/>
      </c>
      <c r="L1018" s="4">
        <f>IFERROR((D1018-E1018)/E1018,"")</f>
        <v/>
      </c>
      <c r="M1018" s="19">
        <f>IFERROR(F1018*G1018/10000,"")</f>
        <v/>
      </c>
    </row>
    <row r="1019">
      <c r="A1019" t="inlineStr">
        <is>
          <t>2026-10-30</t>
        </is>
      </c>
      <c r="B1019" t="inlineStr">
        <is>
          <t>510910</t>
        </is>
      </c>
      <c r="C1019" t="inlineStr">
        <is>
          <t>上证指数ETF南方</t>
        </is>
      </c>
      <c r="D1019" t="n">
        <v>29479.6</v>
      </c>
      <c r="E1019" t="n">
        <v>29779.6</v>
      </c>
      <c r="F1019" t="n">
        <v>0.913</v>
      </c>
      <c r="G1019" t="n">
        <v>-300</v>
      </c>
      <c r="H1019" t="n">
        <v>2.718877</v>
      </c>
      <c r="I1019" t="n">
        <v>3.177865</v>
      </c>
      <c r="J1019" t="n">
        <v>-0.458988</v>
      </c>
      <c r="K1019" s="4">
        <f>IFERROR(J1019/I1019,"")</f>
        <v/>
      </c>
      <c r="L1019" s="4">
        <f>IFERROR((D1019-E1019)/E1019,"")</f>
        <v/>
      </c>
      <c r="M1019" s="19">
        <f>IFERROR(F1019*G1019/10000,"")</f>
        <v/>
      </c>
    </row>
    <row r="1020">
      <c r="A1020" t="inlineStr">
        <is>
          <t>2026-10-30</t>
        </is>
      </c>
      <c r="B1020" t="inlineStr">
        <is>
          <t>510950</t>
        </is>
      </c>
      <c r="C1020" t="inlineStr">
        <is>
          <t>上证50ETF广发</t>
        </is>
      </c>
      <c r="D1020" t="n">
        <v>12262.08</v>
      </c>
      <c r="E1020" t="n">
        <v>12262.08</v>
      </c>
      <c r="F1020" t="n">
        <v>0.948</v>
      </c>
      <c r="G1020" t="n">
        <v>0</v>
      </c>
      <c r="H1020" t="n">
        <v>1.162446</v>
      </c>
      <c r="I1020" t="n">
        <v>1.147828</v>
      </c>
      <c r="J1020" t="n">
        <v>0.014618</v>
      </c>
      <c r="K1020" s="4">
        <f>IFERROR(J1020/I1020,"")</f>
        <v/>
      </c>
      <c r="L1020" s="4">
        <f>IFERROR((D1020-E1020)/E1020,"")</f>
        <v/>
      </c>
      <c r="M1020" s="19">
        <f>IFERROR(F1020*G1020/10000,"")</f>
        <v/>
      </c>
    </row>
    <row r="1021">
      <c r="A1021" t="inlineStr">
        <is>
          <t>2026-10-30</t>
        </is>
      </c>
      <c r="B1021" t="inlineStr">
        <is>
          <t>510980</t>
        </is>
      </c>
      <c r="C1021" t="inlineStr">
        <is>
          <t>上证指数ETF汇添富</t>
        </is>
      </c>
      <c r="D1021" t="n">
        <v>91779.8</v>
      </c>
      <c r="E1021" t="n">
        <v>91779.8</v>
      </c>
      <c r="F1021" t="n">
        <v>1.314</v>
      </c>
      <c r="G1021" t="n">
        <v>0</v>
      </c>
      <c r="H1021" t="n">
        <v>12.059866</v>
      </c>
      <c r="I1021" t="n">
        <v>12.45057</v>
      </c>
      <c r="J1021" t="n">
        <v>-0.390704</v>
      </c>
      <c r="K1021" s="4">
        <f>IFERROR(J1021/I1021,"")</f>
        <v/>
      </c>
      <c r="L1021" s="4">
        <f>IFERROR((D1021-E1021)/E1021,"")</f>
        <v/>
      </c>
      <c r="M1021" s="19">
        <f>IFERROR(F1021*G1021/10000,"")</f>
        <v/>
      </c>
    </row>
    <row r="1022">
      <c r="A1022" t="inlineStr">
        <is>
          <t>2026-10-30</t>
        </is>
      </c>
      <c r="B1022" t="inlineStr">
        <is>
          <t>510990</t>
        </is>
      </c>
      <c r="C1022" t="inlineStr">
        <is>
          <t>180ESGETF工银</t>
        </is>
      </c>
      <c r="D1022" t="n">
        <v>4094.86</v>
      </c>
      <c r="E1022" t="n">
        <v>4094.86</v>
      </c>
      <c r="F1022" t="n">
        <v>0.991</v>
      </c>
      <c r="G1022" t="n">
        <v>0</v>
      </c>
      <c r="H1022" t="n">
        <v>0.405801</v>
      </c>
      <c r="I1022" t="n">
        <v>0.40621</v>
      </c>
      <c r="J1022" t="n">
        <v>-0.000409</v>
      </c>
      <c r="K1022" s="4">
        <f>IFERROR(J1022/I1022,"")</f>
        <v/>
      </c>
      <c r="L1022" s="4">
        <f>IFERROR((D1022-E1022)/E1022,"")</f>
        <v/>
      </c>
      <c r="M1022" s="19">
        <f>IFERROR(F1022*G1022/10000,"")</f>
        <v/>
      </c>
    </row>
    <row r="1023">
      <c r="A1023" t="inlineStr">
        <is>
          <t>2026-10-30</t>
        </is>
      </c>
      <c r="B1023" t="inlineStr">
        <is>
          <t>511010</t>
        </is>
      </c>
      <c r="C1023" t="inlineStr">
        <is>
          <t>国债ETF国泰</t>
        </is>
      </c>
      <c r="D1023" t="n">
        <v>5730.63</v>
      </c>
      <c r="E1023" t="n">
        <v>5772.63</v>
      </c>
      <c r="F1023" t="n">
        <v>141.285</v>
      </c>
      <c r="G1023" t="n">
        <v>-42</v>
      </c>
      <c r="H1023" t="n">
        <v>81.55858499999999</v>
      </c>
      <c r="I1023" t="n">
        <v>81.546997</v>
      </c>
      <c r="J1023" t="n">
        <v>0.011588</v>
      </c>
      <c r="K1023" s="4">
        <f>IFERROR(J1023/I1023,"")</f>
        <v/>
      </c>
      <c r="L1023" s="4">
        <f>IFERROR((D1023-E1023)/E1023,"")</f>
        <v/>
      </c>
      <c r="M1023" s="19">
        <f>IFERROR(F1023*G1023/10000,"")</f>
        <v/>
      </c>
    </row>
    <row r="1024">
      <c r="A1024" t="inlineStr">
        <is>
          <t>2026-10-30</t>
        </is>
      </c>
      <c r="B1024" t="inlineStr">
        <is>
          <t>511020</t>
        </is>
      </c>
      <c r="C1024" t="inlineStr">
        <is>
          <t>国债ETF平安</t>
        </is>
      </c>
      <c r="D1024" t="n">
        <v>5722.75</v>
      </c>
      <c r="E1024" t="n">
        <v>5743.75</v>
      </c>
      <c r="F1024" t="n">
        <v>119.148</v>
      </c>
      <c r="G1024" t="n">
        <v>-21</v>
      </c>
      <c r="H1024" t="n">
        <v>68.43566199999999</v>
      </c>
      <c r="I1024" t="n">
        <v>68.88819599999999</v>
      </c>
      <c r="J1024" t="n">
        <v>-0.452534</v>
      </c>
      <c r="K1024" s="4">
        <f>IFERROR(J1024/I1024,"")</f>
        <v/>
      </c>
      <c r="L1024" s="4">
        <f>IFERROR((D1024-E1024)/E1024,"")</f>
        <v/>
      </c>
      <c r="M1024" s="19">
        <f>IFERROR(F1024*G1024/10000,"")</f>
        <v/>
      </c>
    </row>
    <row r="1025">
      <c r="A1025" t="inlineStr">
        <is>
          <t>2026-10-30</t>
        </is>
      </c>
      <c r="B1025" t="inlineStr">
        <is>
          <t>511030</t>
        </is>
      </c>
      <c r="C1025" t="inlineStr">
        <is>
          <t>公司债ETF平安</t>
        </is>
      </c>
      <c r="D1025" t="n">
        <v>41638.07</v>
      </c>
      <c r="E1025" t="n">
        <v>41638.07</v>
      </c>
      <c r="F1025" t="n">
        <v>108.822</v>
      </c>
      <c r="G1025" t="n">
        <v>0</v>
      </c>
      <c r="H1025" t="n">
        <v>453.113839</v>
      </c>
      <c r="I1025" t="n">
        <v>452.711486</v>
      </c>
      <c r="J1025" t="n">
        <v>0.402353</v>
      </c>
      <c r="K1025" s="4">
        <f>IFERROR(J1025/I1025,"")</f>
        <v/>
      </c>
      <c r="L1025" s="4">
        <f>IFERROR((D1025-E1025)/E1025,"")</f>
        <v/>
      </c>
      <c r="M1025" s="19">
        <f>IFERROR(F1025*G1025/10000,"")</f>
        <v/>
      </c>
    </row>
    <row r="1026">
      <c r="A1026" t="inlineStr">
        <is>
          <t>2026-10-30</t>
        </is>
      </c>
      <c r="B1026" t="inlineStr">
        <is>
          <t>511060</t>
        </is>
      </c>
      <c r="C1026" t="inlineStr">
        <is>
          <t>5年地方债ETF海富通</t>
        </is>
      </c>
      <c r="D1026" t="n">
        <v>2658.63</v>
      </c>
      <c r="E1026" t="n">
        <v>2598.63</v>
      </c>
      <c r="F1026" t="n">
        <v>109.191</v>
      </c>
      <c r="G1026" t="n">
        <v>60</v>
      </c>
      <c r="H1026" t="n">
        <v>28.374684</v>
      </c>
      <c r="I1026" t="n">
        <v>27.577897</v>
      </c>
      <c r="J1026" t="n">
        <v>0.796787</v>
      </c>
      <c r="K1026" s="4">
        <f>IFERROR(J1026/I1026,"")</f>
        <v/>
      </c>
      <c r="L1026" s="4">
        <f>IFERROR((D1026-E1026)/E1026,"")</f>
        <v/>
      </c>
      <c r="M1026" s="19">
        <f>IFERROR(F1026*G1026/10000,"")</f>
        <v/>
      </c>
    </row>
    <row r="1027">
      <c r="A1027" t="inlineStr">
        <is>
          <t>2026-10-30</t>
        </is>
      </c>
      <c r="B1027" t="inlineStr">
        <is>
          <t>511070</t>
        </is>
      </c>
      <c r="C1027" t="inlineStr">
        <is>
          <t>公司债ETF南方</t>
        </is>
      </c>
      <c r="D1027" t="n">
        <v>39697.1</v>
      </c>
      <c r="E1027" t="n">
        <v>39697.1</v>
      </c>
      <c r="F1027" t="n">
        <v>103.648</v>
      </c>
      <c r="G1027" t="n">
        <v>0</v>
      </c>
      <c r="H1027" t="n">
        <v>411.452471</v>
      </c>
      <c r="I1027" t="n">
        <v>400.71629</v>
      </c>
      <c r="J1027" t="n">
        <v>10.736181</v>
      </c>
      <c r="K1027" s="4">
        <f>IFERROR(J1027/I1027,"")</f>
        <v/>
      </c>
      <c r="L1027" s="4">
        <f>IFERROR((D1027-E1027)/E1027,"")</f>
        <v/>
      </c>
      <c r="M1027" s="19">
        <f>IFERROR(F1027*G1027/10000,"")</f>
        <v/>
      </c>
    </row>
    <row r="1028">
      <c r="A1028" t="inlineStr">
        <is>
          <t>2026-10-30</t>
        </is>
      </c>
      <c r="B1028" t="inlineStr">
        <is>
          <t>511090</t>
        </is>
      </c>
      <c r="C1028" t="inlineStr">
        <is>
          <t>30年国债ETF鹏扬</t>
        </is>
      </c>
      <c r="D1028" t="n">
        <v>39020.81</v>
      </c>
      <c r="E1028" t="n">
        <v>38709.81</v>
      </c>
      <c r="F1028" t="n">
        <v>121.47</v>
      </c>
      <c r="G1028" t="n">
        <v>311</v>
      </c>
      <c r="H1028" t="n">
        <v>470.208118</v>
      </c>
      <c r="I1028" t="n">
        <v>466.047442</v>
      </c>
      <c r="J1028" t="n">
        <v>4.160676</v>
      </c>
      <c r="K1028" s="4">
        <f>IFERROR(J1028/I1028,"")</f>
        <v/>
      </c>
      <c r="L1028" s="4">
        <f>IFERROR((D1028-E1028)/E1028,"")</f>
        <v/>
      </c>
      <c r="M1028" s="19">
        <f>IFERROR(F1028*G1028/10000,"")</f>
        <v/>
      </c>
    </row>
    <row r="1029">
      <c r="A1029" t="inlineStr">
        <is>
          <t>2026-10-30</t>
        </is>
      </c>
      <c r="B1029" t="inlineStr">
        <is>
          <t>511100</t>
        </is>
      </c>
      <c r="C1029" t="inlineStr">
        <is>
          <t>国债ETF华夏</t>
        </is>
      </c>
      <c r="D1029" t="n">
        <v>7514.05</v>
      </c>
      <c r="E1029" t="n">
        <v>7504.05</v>
      </c>
      <c r="F1029" t="n">
        <v>112.05</v>
      </c>
      <c r="G1029" t="n">
        <v>10</v>
      </c>
      <c r="H1029" t="n">
        <v>84.082885</v>
      </c>
      <c r="I1029" t="n">
        <v>87.021585</v>
      </c>
      <c r="J1029" t="n">
        <v>-2.9387</v>
      </c>
      <c r="K1029" s="4">
        <f>IFERROR(J1029/I1029,"")</f>
        <v/>
      </c>
      <c r="L1029" s="4">
        <f>IFERROR((D1029-E1029)/E1029,"")</f>
        <v/>
      </c>
      <c r="M1029" s="19">
        <f>IFERROR(F1029*G1029/10000,"")</f>
        <v/>
      </c>
    </row>
    <row r="1030">
      <c r="A1030" t="inlineStr">
        <is>
          <t>2026-10-30</t>
        </is>
      </c>
      <c r="B1030" t="inlineStr">
        <is>
          <t>511110</t>
        </is>
      </c>
      <c r="C1030" t="inlineStr">
        <is>
          <t>公司债ETF易方达</t>
        </is>
      </c>
      <c r="D1030" t="n">
        <v>44819.96</v>
      </c>
      <c r="E1030" t="n">
        <v>44789.96</v>
      </c>
      <c r="F1030" t="n">
        <v>101.883</v>
      </c>
      <c r="G1030" t="n">
        <v>30</v>
      </c>
      <c r="H1030" t="n">
        <v>456.333568</v>
      </c>
      <c r="I1030" t="n">
        <v>449.909803</v>
      </c>
      <c r="J1030" t="n">
        <v>6.423765</v>
      </c>
      <c r="K1030" s="4">
        <f>IFERROR(J1030/I1030,"")</f>
        <v/>
      </c>
      <c r="L1030" s="4">
        <f>IFERROR((D1030-E1030)/E1030,"")</f>
        <v/>
      </c>
      <c r="M1030" s="19">
        <f>IFERROR(F1030*G1030/10000,"")</f>
        <v/>
      </c>
    </row>
    <row r="1031">
      <c r="A1031" t="inlineStr">
        <is>
          <t>2026-10-30</t>
        </is>
      </c>
      <c r="B1031" t="inlineStr">
        <is>
          <t>511120</t>
        </is>
      </c>
      <c r="C1031" t="inlineStr">
        <is>
          <t>科创债ETF广发</t>
        </is>
      </c>
      <c r="D1031" t="n">
        <v>17106.06</v>
      </c>
      <c r="E1031" t="n">
        <v>17074.06</v>
      </c>
      <c r="F1031" t="n">
        <v>102.707</v>
      </c>
      <c r="G1031" t="n">
        <v>32</v>
      </c>
      <c r="H1031" t="n">
        <v>175.362547</v>
      </c>
      <c r="I1031" t="n">
        <v>175.069673</v>
      </c>
      <c r="J1031" t="n">
        <v>0.292874</v>
      </c>
      <c r="K1031" s="4">
        <f>IFERROR(J1031/I1031,"")</f>
        <v/>
      </c>
      <c r="L1031" s="4">
        <f>IFERROR((D1031-E1031)/E1031,"")</f>
        <v/>
      </c>
      <c r="M1031" s="19">
        <f>IFERROR(F1031*G1031/10000,"")</f>
        <v/>
      </c>
    </row>
    <row r="1032">
      <c r="A1032" t="inlineStr">
        <is>
          <t>2026-10-30</t>
        </is>
      </c>
      <c r="B1032" t="inlineStr">
        <is>
          <t>511130</t>
        </is>
      </c>
      <c r="C1032" t="inlineStr">
        <is>
          <t>30年国债ETF博时</t>
        </is>
      </c>
      <c r="D1032" t="n">
        <v>27766.97</v>
      </c>
      <c r="E1032" t="n">
        <v>27296.97</v>
      </c>
      <c r="F1032" t="n">
        <v>110.886</v>
      </c>
      <c r="G1032" t="n">
        <v>470</v>
      </c>
      <c r="H1032" t="n">
        <v>302.685137</v>
      </c>
      <c r="I1032" t="n">
        <v>300.789029</v>
      </c>
      <c r="J1032" t="n">
        <v>1.896108</v>
      </c>
      <c r="K1032" s="4">
        <f>IFERROR(J1032/I1032,"")</f>
        <v/>
      </c>
      <c r="L1032" s="4">
        <f>IFERROR((D1032-E1032)/E1032,"")</f>
        <v/>
      </c>
      <c r="M1032" s="19">
        <f>IFERROR(F1032*G1032/10000,"")</f>
        <v/>
      </c>
    </row>
    <row r="1033">
      <c r="A1033" t="inlineStr">
        <is>
          <t>2026-10-30</t>
        </is>
      </c>
      <c r="B1033" t="inlineStr">
        <is>
          <t>511150</t>
        </is>
      </c>
      <c r="C1033" t="inlineStr">
        <is>
          <t>科创债ETF永赢</t>
        </is>
      </c>
      <c r="D1033" t="n">
        <v>13637.09</v>
      </c>
      <c r="E1033" t="n">
        <v>13459.09</v>
      </c>
      <c r="F1033" t="n">
        <v>102.872</v>
      </c>
      <c r="G1033" t="n">
        <v>178</v>
      </c>
      <c r="H1033" t="n">
        <v>138.456354</v>
      </c>
      <c r="I1033" t="n">
        <v>136.416151</v>
      </c>
      <c r="J1033" t="n">
        <v>2.040203</v>
      </c>
      <c r="K1033" s="4">
        <f>IFERROR(J1033/I1033,"")</f>
        <v/>
      </c>
      <c r="L1033" s="4">
        <f>IFERROR((D1033-E1033)/E1033,"")</f>
        <v/>
      </c>
      <c r="M1033" s="19">
        <f>IFERROR(F1033*G1033/10000,"")</f>
        <v/>
      </c>
    </row>
    <row r="1034">
      <c r="A1034" t="inlineStr">
        <is>
          <t>2026-10-30</t>
        </is>
      </c>
      <c r="B1034" t="inlineStr">
        <is>
          <t>511160</t>
        </is>
      </c>
      <c r="C1034" t="inlineStr">
        <is>
          <t>国债ETF东财</t>
        </is>
      </c>
      <c r="D1034" t="n">
        <v>2133.09</v>
      </c>
      <c r="E1034" t="n">
        <v>2159.09</v>
      </c>
      <c r="F1034" t="n">
        <v>102.269</v>
      </c>
      <c r="G1034" t="n">
        <v>-26</v>
      </c>
      <c r="H1034" t="n">
        <v>22.080813</v>
      </c>
      <c r="I1034" t="n">
        <v>22.628861</v>
      </c>
      <c r="J1034" t="n">
        <v>-0.548048</v>
      </c>
      <c r="K1034" s="4">
        <f>IFERROR(J1034/I1034,"")</f>
        <v/>
      </c>
      <c r="L1034" s="4">
        <f>IFERROR((D1034-E1034)/E1034,"")</f>
        <v/>
      </c>
      <c r="M1034" s="19">
        <f>IFERROR(F1034*G1034/10000,"")</f>
        <v/>
      </c>
    </row>
    <row r="1035">
      <c r="A1035" t="inlineStr">
        <is>
          <t>2026-10-30</t>
        </is>
      </c>
      <c r="B1035" t="inlineStr">
        <is>
          <t>511180</t>
        </is>
      </c>
      <c r="C1035" t="inlineStr">
        <is>
          <t>可转债ETF海富通</t>
        </is>
      </c>
      <c r="D1035" t="n">
        <v>99545.97</v>
      </c>
      <c r="E1035" t="n">
        <v>100285.97</v>
      </c>
      <c r="F1035" t="n">
        <v>11.717</v>
      </c>
      <c r="G1035" t="n">
        <v>-740</v>
      </c>
      <c r="H1035" t="n">
        <v>117.505074</v>
      </c>
      <c r="I1035" t="n">
        <v>116.852941</v>
      </c>
      <c r="J1035" t="n">
        <v>0.652133</v>
      </c>
      <c r="K1035" s="4">
        <f>IFERROR(J1035/I1035,"")</f>
        <v/>
      </c>
      <c r="L1035" s="4">
        <f>IFERROR((D1035-E1035)/E1035,"")</f>
        <v/>
      </c>
      <c r="M1035" s="19">
        <f>IFERROR(F1035*G1035/10000,"")</f>
        <v/>
      </c>
    </row>
    <row r="1036">
      <c r="A1036" t="inlineStr">
        <is>
          <t>2026-10-30</t>
        </is>
      </c>
      <c r="B1036" t="inlineStr">
        <is>
          <t>511190</t>
        </is>
      </c>
      <c r="C1036" t="inlineStr">
        <is>
          <t>信用债ETF海富通</t>
        </is>
      </c>
      <c r="D1036" t="n">
        <v>29550.43</v>
      </c>
      <c r="E1036" t="n">
        <v>29550.43</v>
      </c>
      <c r="F1036" t="n">
        <v>103.594</v>
      </c>
      <c r="G1036" t="n">
        <v>0</v>
      </c>
      <c r="H1036" t="n">
        <v>306.124727</v>
      </c>
      <c r="I1036" t="n">
        <v>300.545958</v>
      </c>
      <c r="J1036" t="n">
        <v>5.578769</v>
      </c>
      <c r="K1036" s="4">
        <f>IFERROR(J1036/I1036,"")</f>
        <v/>
      </c>
      <c r="L1036" s="4">
        <f>IFERROR((D1036-E1036)/E1036,"")</f>
        <v/>
      </c>
      <c r="M1036" s="19">
        <f>IFERROR(F1036*G1036/10000,"")</f>
        <v/>
      </c>
    </row>
    <row r="1037">
      <c r="A1037" t="inlineStr">
        <is>
          <t>2026-10-30</t>
        </is>
      </c>
      <c r="B1037" t="inlineStr">
        <is>
          <t>511200</t>
        </is>
      </c>
      <c r="C1037" t="inlineStr">
        <is>
          <t>信用债ETF华夏</t>
        </is>
      </c>
      <c r="D1037" t="n">
        <v>37012.75</v>
      </c>
      <c r="E1037" t="n">
        <v>37322.75</v>
      </c>
      <c r="F1037" t="n">
        <v>104.055</v>
      </c>
      <c r="G1037" t="n">
        <v>-310</v>
      </c>
      <c r="H1037" t="n">
        <v>388.361825</v>
      </c>
      <c r="I1037" t="n">
        <v>385.369755</v>
      </c>
      <c r="J1037" t="n">
        <v>2.99207</v>
      </c>
      <c r="K1037" s="4">
        <f>IFERROR(J1037/I1037,"")</f>
        <v/>
      </c>
      <c r="L1037" s="4">
        <f>IFERROR((D1037-E1037)/E1037,"")</f>
        <v/>
      </c>
      <c r="M1037" s="19">
        <f>IFERROR(F1037*G1037/10000,"")</f>
        <v/>
      </c>
    </row>
    <row r="1038">
      <c r="A1038" t="inlineStr">
        <is>
          <t>2026-10-30</t>
        </is>
      </c>
      <c r="B1038" t="inlineStr">
        <is>
          <t>511220</t>
        </is>
      </c>
      <c r="C1038" t="inlineStr">
        <is>
          <t>城投债ETF海富通</t>
        </is>
      </c>
      <c r="D1038" t="n">
        <v>543158.14</v>
      </c>
      <c r="E1038" t="n">
        <v>543158.14</v>
      </c>
      <c r="F1038" t="n">
        <v>10.46</v>
      </c>
      <c r="G1038" t="n">
        <v>0</v>
      </c>
      <c r="H1038" t="n">
        <v>568.143409</v>
      </c>
      <c r="I1038" t="n">
        <v>568.469304</v>
      </c>
      <c r="J1038" t="n">
        <v>-0.325895</v>
      </c>
      <c r="K1038" s="4">
        <f>IFERROR(J1038/I1038,"")</f>
        <v/>
      </c>
      <c r="L1038" s="4">
        <f>IFERROR((D1038-E1038)/E1038,"")</f>
        <v/>
      </c>
      <c r="M1038" s="19">
        <f>IFERROR(F1038*G1038/10000,"")</f>
        <v/>
      </c>
    </row>
    <row r="1039">
      <c r="A1039" t="inlineStr">
        <is>
          <t>2026-10-30</t>
        </is>
      </c>
      <c r="B1039" t="inlineStr">
        <is>
          <t>511260</t>
        </is>
      </c>
      <c r="C1039" t="inlineStr">
        <is>
          <t>十年国债ETF国泰</t>
        </is>
      </c>
      <c r="D1039" t="n">
        <v>20242.65</v>
      </c>
      <c r="E1039" t="n">
        <v>20167.65</v>
      </c>
      <c r="F1039" t="n">
        <v>135.666</v>
      </c>
      <c r="G1039" t="n">
        <v>75</v>
      </c>
      <c r="H1039" t="n">
        <v>273.606405</v>
      </c>
      <c r="I1039" t="n">
        <v>270.486479</v>
      </c>
      <c r="J1039" t="n">
        <v>3.119926</v>
      </c>
      <c r="K1039" s="4">
        <f>IFERROR(J1039/I1039,"")</f>
        <v/>
      </c>
      <c r="L1039" s="4">
        <f>IFERROR((D1039-E1039)/E1039,"")</f>
        <v/>
      </c>
      <c r="M1039" s="19">
        <f>IFERROR(F1039*G1039/10000,"")</f>
        <v/>
      </c>
    </row>
    <row r="1040">
      <c r="A1040" t="inlineStr">
        <is>
          <t>2026-10-30</t>
        </is>
      </c>
      <c r="B1040" t="inlineStr">
        <is>
          <t>511270</t>
        </is>
      </c>
      <c r="C1040" t="inlineStr">
        <is>
          <t>10年地方债ETF海富通</t>
        </is>
      </c>
      <c r="D1040" t="n">
        <v>12015.75</v>
      </c>
      <c r="E1040" t="n">
        <v>11927.75</v>
      </c>
      <c r="F1040" t="n">
        <v>122.453</v>
      </c>
      <c r="G1040" t="n">
        <v>88</v>
      </c>
      <c r="H1040" t="n">
        <v>146.058842</v>
      </c>
      <c r="I1040" t="n">
        <v>143.241625</v>
      </c>
      <c r="J1040" t="n">
        <v>2.817217</v>
      </c>
      <c r="K1040" s="4">
        <f>IFERROR(J1040/I1040,"")</f>
        <v/>
      </c>
      <c r="L1040" s="4">
        <f>IFERROR((D1040-E1040)/E1040,"")</f>
        <v/>
      </c>
      <c r="M1040" s="19">
        <f>IFERROR(F1040*G1040/10000,"")</f>
        <v/>
      </c>
    </row>
    <row r="1041">
      <c r="A1041" t="inlineStr">
        <is>
          <t>2026-10-30</t>
        </is>
      </c>
      <c r="B1041" t="inlineStr">
        <is>
          <t>511360</t>
        </is>
      </c>
      <c r="C1041" t="inlineStr">
        <is>
          <t>短融ETF海富通</t>
        </is>
      </c>
      <c r="D1041" t="n">
        <v>80047.66</v>
      </c>
      <c r="E1041" t="n">
        <v>80123.46000000001</v>
      </c>
      <c r="F1041" t="n">
        <v>114.103</v>
      </c>
      <c r="G1041" t="n">
        <v>-75.8</v>
      </c>
      <c r="H1041" t="n">
        <v>914.232757</v>
      </c>
      <c r="I1041" t="n">
        <v>927.56983</v>
      </c>
      <c r="J1041" t="n">
        <v>-13.337073</v>
      </c>
      <c r="K1041" s="4">
        <f>IFERROR(J1041/I1041,"")</f>
        <v/>
      </c>
      <c r="L1041" s="4">
        <f>IFERROR((D1041-E1041)/E1041,"")</f>
        <v/>
      </c>
      <c r="M1041" s="19">
        <f>IFERROR(F1041*G1041/10000,"")</f>
        <v/>
      </c>
    </row>
    <row r="1042">
      <c r="A1042" t="inlineStr">
        <is>
          <t>2026-10-30</t>
        </is>
      </c>
      <c r="B1042" t="inlineStr">
        <is>
          <t>511380</t>
        </is>
      </c>
      <c r="C1042" t="inlineStr">
        <is>
          <t>可转债ETF博时</t>
        </is>
      </c>
      <c r="D1042" t="n">
        <v>465628.67</v>
      </c>
      <c r="E1042" t="n">
        <v>465718.67</v>
      </c>
      <c r="F1042" t="n">
        <v>12.611</v>
      </c>
      <c r="G1042" t="n">
        <v>-90</v>
      </c>
      <c r="H1042" t="n">
        <v>587.317811</v>
      </c>
      <c r="I1042" t="n">
        <v>600.890458</v>
      </c>
      <c r="J1042" t="n">
        <v>-13.572647</v>
      </c>
      <c r="K1042" s="4">
        <f>IFERROR(J1042/I1042,"")</f>
        <v/>
      </c>
      <c r="L1042" s="4">
        <f>IFERROR((D1042-E1042)/E1042,"")</f>
        <v/>
      </c>
      <c r="M1042" s="19">
        <f>IFERROR(F1042*G1042/10000,"")</f>
        <v/>
      </c>
    </row>
    <row r="1043">
      <c r="A1043" t="inlineStr">
        <is>
          <t>2026-10-30</t>
        </is>
      </c>
      <c r="B1043" t="inlineStr">
        <is>
          <t>511520</t>
        </is>
      </c>
      <c r="C1043" t="inlineStr">
        <is>
          <t>政金债ETF富国</t>
        </is>
      </c>
      <c r="D1043" t="n">
        <v>41096.65</v>
      </c>
      <c r="E1043" t="n">
        <v>41046.65</v>
      </c>
      <c r="F1043" t="n">
        <v>120.062</v>
      </c>
      <c r="G1043" t="n">
        <v>50</v>
      </c>
      <c r="H1043" t="n">
        <v>492.814274</v>
      </c>
      <c r="I1043" t="n">
        <v>491.570316</v>
      </c>
      <c r="J1043" t="n">
        <v>1.243958</v>
      </c>
      <c r="K1043" s="4">
        <f>IFERROR(J1043/I1043,"")</f>
        <v/>
      </c>
      <c r="L1043" s="4">
        <f>IFERROR((D1043-E1043)/E1043,"")</f>
        <v/>
      </c>
      <c r="M1043" s="19">
        <f>IFERROR(F1043*G1043/10000,"")</f>
        <v/>
      </c>
    </row>
    <row r="1044">
      <c r="A1044" t="inlineStr">
        <is>
          <t>2026-10-30</t>
        </is>
      </c>
      <c r="B1044" t="inlineStr">
        <is>
          <t>511580</t>
        </is>
      </c>
      <c r="C1044" t="inlineStr">
        <is>
          <t>国债政金债ETF招商</t>
        </is>
      </c>
      <c r="D1044" t="n">
        <v>7624.48</v>
      </c>
      <c r="E1044" t="n">
        <v>7624.48</v>
      </c>
      <c r="F1044" t="n">
        <v>109.97</v>
      </c>
      <c r="G1044" t="n">
        <v>0</v>
      </c>
      <c r="H1044" t="n">
        <v>83.846419</v>
      </c>
      <c r="I1044" t="n">
        <v>83.82735700000001</v>
      </c>
      <c r="J1044" t="n">
        <v>0.019062</v>
      </c>
      <c r="K1044" s="4">
        <f>IFERROR(J1044/I1044,"")</f>
        <v/>
      </c>
      <c r="L1044" s="4">
        <f>IFERROR((D1044-E1044)/E1044,"")</f>
        <v/>
      </c>
      <c r="M1044" s="19">
        <f>IFERROR(F1044*G1044/10000,"")</f>
        <v/>
      </c>
    </row>
    <row r="1045">
      <c r="A1045" t="inlineStr">
        <is>
          <t>2026-10-30</t>
        </is>
      </c>
      <c r="B1045" t="inlineStr">
        <is>
          <t>512000</t>
        </is>
      </c>
      <c r="C1045" t="inlineStr">
        <is>
          <t>券商ETF华宝</t>
        </is>
      </c>
      <c r="D1045" t="n">
        <v>7309083.54</v>
      </c>
      <c r="E1045" t="n">
        <v>7269123.54</v>
      </c>
      <c r="F1045" t="n">
        <v>0.465</v>
      </c>
      <c r="G1045" t="n">
        <v>39960</v>
      </c>
      <c r="H1045" t="n">
        <v>338.014244</v>
      </c>
      <c r="I1045" t="n">
        <v>344.131968</v>
      </c>
      <c r="J1045" t="n">
        <v>-6.117724</v>
      </c>
      <c r="K1045" s="4">
        <f>IFERROR(J1045/I1045,"")</f>
        <v/>
      </c>
      <c r="L1045" s="4">
        <f>IFERROR((D1045-E1045)/E1045,"")</f>
        <v/>
      </c>
      <c r="M1045" s="19">
        <f>IFERROR(F1045*G1045/10000,"")</f>
        <v/>
      </c>
    </row>
    <row r="1046">
      <c r="A1046" t="inlineStr">
        <is>
          <t>2026-10-30</t>
        </is>
      </c>
      <c r="B1046" t="inlineStr">
        <is>
          <t>512010</t>
        </is>
      </c>
      <c r="C1046" t="inlineStr">
        <is>
          <t>医药ETF易方达</t>
        </is>
      </c>
      <c r="D1046" t="n">
        <v>3828169.49</v>
      </c>
      <c r="E1046" t="n">
        <v>3837869.49</v>
      </c>
      <c r="F1046" t="n">
        <v>0.375</v>
      </c>
      <c r="G1046" t="n">
        <v>-9700</v>
      </c>
      <c r="H1046" t="n">
        <v>143.920106</v>
      </c>
      <c r="I1046" t="n">
        <v>143.899099</v>
      </c>
      <c r="J1046" t="n">
        <v>0.021007</v>
      </c>
      <c r="K1046" s="4">
        <f>IFERROR(J1046/I1046,"")</f>
        <v/>
      </c>
      <c r="L1046" s="4">
        <f>IFERROR((D1046-E1046)/E1046,"")</f>
        <v/>
      </c>
      <c r="M1046" s="19">
        <f>IFERROR(F1046*G1046/10000,"")</f>
        <v/>
      </c>
    </row>
    <row r="1047">
      <c r="A1047" t="inlineStr">
        <is>
          <t>2026-10-30</t>
        </is>
      </c>
      <c r="B1047" t="inlineStr">
        <is>
          <t>512020</t>
        </is>
      </c>
      <c r="C1047" t="inlineStr">
        <is>
          <t>A500ETF鹏华</t>
        </is>
      </c>
      <c r="D1047" t="n">
        <v>115701.27</v>
      </c>
      <c r="E1047" t="n">
        <v>116001.27</v>
      </c>
      <c r="F1047" t="n">
        <v>1.117</v>
      </c>
      <c r="G1047" t="n">
        <v>-300</v>
      </c>
      <c r="H1047" t="n">
        <v>12.957341</v>
      </c>
      <c r="I1047" t="n">
        <v>13.176934</v>
      </c>
      <c r="J1047" t="n">
        <v>-0.219593</v>
      </c>
      <c r="K1047" s="4">
        <f>IFERROR(J1047/I1047,"")</f>
        <v/>
      </c>
      <c r="L1047" s="4">
        <f>IFERROR((D1047-E1047)/E1047,"")</f>
        <v/>
      </c>
      <c r="M1047" s="19">
        <f>IFERROR(F1047*G1047/10000,"")</f>
        <v/>
      </c>
    </row>
    <row r="1048">
      <c r="A1048" t="inlineStr">
        <is>
          <t>2026-10-30</t>
        </is>
      </c>
      <c r="B1048" t="inlineStr">
        <is>
          <t>512030</t>
        </is>
      </c>
      <c r="C1048" t="inlineStr">
        <is>
          <t>中证A50增强ETF易方达</t>
        </is>
      </c>
      <c r="D1048" t="n">
        <v>4724</v>
      </c>
      <c r="E1048" t="n">
        <v>4724</v>
      </c>
      <c r="F1048" t="n">
        <v>0.967</v>
      </c>
      <c r="G1048" t="n">
        <v>0</v>
      </c>
      <c r="H1048" t="n">
        <v>0.456811</v>
      </c>
      <c r="I1048" t="n">
        <v>0.455866</v>
      </c>
      <c r="J1048" t="n">
        <v>0.000945</v>
      </c>
      <c r="K1048" s="4">
        <f>IFERROR(J1048/I1048,"")</f>
        <v/>
      </c>
      <c r="L1048" s="4">
        <f>IFERROR((D1048-E1048)/E1048,"")</f>
        <v/>
      </c>
      <c r="M1048" s="19">
        <f>IFERROR(F1048*G1048/10000,"")</f>
        <v/>
      </c>
    </row>
    <row r="1049">
      <c r="A1049" t="inlineStr">
        <is>
          <t>2026-10-30</t>
        </is>
      </c>
      <c r="B1049" t="inlineStr">
        <is>
          <t>512040</t>
        </is>
      </c>
      <c r="C1049" t="inlineStr">
        <is>
          <t>价值ETF富国</t>
        </is>
      </c>
      <c r="D1049" t="n">
        <v>514971.59</v>
      </c>
      <c r="E1049" t="n">
        <v>515671.59</v>
      </c>
      <c r="F1049" t="n">
        <v>1.17</v>
      </c>
      <c r="G1049" t="n">
        <v>-700</v>
      </c>
      <c r="H1049" t="n">
        <v>60.333576</v>
      </c>
      <c r="I1049" t="n">
        <v>60.243907</v>
      </c>
      <c r="J1049" t="n">
        <v>0.089669</v>
      </c>
      <c r="K1049" s="4">
        <f>IFERROR(J1049/I1049,"")</f>
        <v/>
      </c>
      <c r="L1049" s="4">
        <f>IFERROR((D1049-E1049)/E1049,"")</f>
        <v/>
      </c>
      <c r="M1049" s="19">
        <f>IFERROR(F1049*G1049/10000,"")</f>
        <v/>
      </c>
    </row>
    <row r="1050">
      <c r="A1050" t="inlineStr">
        <is>
          <t>2026-10-30</t>
        </is>
      </c>
      <c r="B1050" t="inlineStr">
        <is>
          <t>512050</t>
        </is>
      </c>
      <c r="C1050" t="inlineStr">
        <is>
          <t>A500ETF华夏</t>
        </is>
      </c>
      <c r="D1050" t="n">
        <v>1632199.22</v>
      </c>
      <c r="E1050" t="n">
        <v>1640299.22</v>
      </c>
      <c r="F1050" t="n">
        <v>1.044</v>
      </c>
      <c r="G1050" t="n">
        <v>-8100</v>
      </c>
      <c r="H1050" t="n">
        <v>171.247238</v>
      </c>
      <c r="I1050" t="n">
        <v>173.612377</v>
      </c>
      <c r="J1050" t="n">
        <v>-2.365139</v>
      </c>
      <c r="K1050" s="4">
        <f>IFERROR(J1050/I1050,"")</f>
        <v/>
      </c>
      <c r="L1050" s="4">
        <f>IFERROR((D1050-E1050)/E1050,"")</f>
        <v/>
      </c>
      <c r="M1050" s="19">
        <f>IFERROR(F1050*G1050/10000,"")</f>
        <v/>
      </c>
    </row>
    <row r="1051">
      <c r="A1051" t="inlineStr">
        <is>
          <t>2026-10-30</t>
        </is>
      </c>
      <c r="B1051" t="inlineStr">
        <is>
          <t>512060</t>
        </is>
      </c>
      <c r="C1051" t="inlineStr">
        <is>
          <t>A100ETF天弘</t>
        </is>
      </c>
      <c r="D1051" t="n">
        <v>1092.8</v>
      </c>
      <c r="E1051" t="n">
        <v>1092.8</v>
      </c>
      <c r="F1051" t="n">
        <v>1.053</v>
      </c>
      <c r="G1051" t="n">
        <v>0</v>
      </c>
      <c r="H1051" t="n">
        <v>0.115072</v>
      </c>
      <c r="I1051" t="n">
        <v>0.116274</v>
      </c>
      <c r="J1051" t="n">
        <v>-0.001202</v>
      </c>
      <c r="K1051" s="4">
        <f>IFERROR(J1051/I1051,"")</f>
        <v/>
      </c>
      <c r="L1051" s="4">
        <f>IFERROR((D1051-E1051)/E1051,"")</f>
        <v/>
      </c>
      <c r="M1051" s="19">
        <f>IFERROR(F1051*G1051/10000,"")</f>
        <v/>
      </c>
    </row>
    <row r="1052">
      <c r="A1052" t="inlineStr">
        <is>
          <t>2026-10-30</t>
        </is>
      </c>
      <c r="B1052" t="inlineStr">
        <is>
          <t>512070</t>
        </is>
      </c>
      <c r="C1052" t="inlineStr">
        <is>
          <t>证券保险ETF易方达</t>
        </is>
      </c>
      <c r="D1052" t="n">
        <v>1896047.97</v>
      </c>
      <c r="E1052" t="n">
        <v>1900847.97</v>
      </c>
      <c r="F1052" t="n">
        <v>0.736</v>
      </c>
      <c r="G1052" t="n">
        <v>-4800</v>
      </c>
      <c r="H1052" t="n">
        <v>139.902411</v>
      </c>
      <c r="I1052" t="n">
        <v>138.351735</v>
      </c>
      <c r="J1052" t="n">
        <v>1.550676</v>
      </c>
      <c r="K1052" s="4">
        <f>IFERROR(J1052/I1052,"")</f>
        <v/>
      </c>
      <c r="L1052" s="4">
        <f>IFERROR((D1052-E1052)/E1052,"")</f>
        <v/>
      </c>
      <c r="M1052" s="19">
        <f>IFERROR(F1052*G1052/10000,"")</f>
        <v/>
      </c>
    </row>
    <row r="1053">
      <c r="A1053" t="inlineStr">
        <is>
          <t>2026-10-30</t>
        </is>
      </c>
      <c r="B1053" t="inlineStr">
        <is>
          <t>512080</t>
        </is>
      </c>
      <c r="C1053" t="inlineStr">
        <is>
          <t>A500ETF中金</t>
        </is>
      </c>
      <c r="D1053" t="n">
        <v>75818.61</v>
      </c>
      <c r="E1053" t="n">
        <v>76418.61</v>
      </c>
      <c r="F1053" t="n">
        <v>1.123</v>
      </c>
      <c r="G1053" t="n">
        <v>-600</v>
      </c>
      <c r="H1053" t="n">
        <v>8.581809</v>
      </c>
      <c r="I1053" t="n">
        <v>8.559877</v>
      </c>
      <c r="J1053" t="n">
        <v>0.021932</v>
      </c>
      <c r="K1053" s="4">
        <f>IFERROR(J1053/I1053,"")</f>
        <v/>
      </c>
      <c r="L1053" s="4">
        <f>IFERROR((D1053-E1053)/E1053,"")</f>
        <v/>
      </c>
      <c r="M1053" s="19">
        <f>IFERROR(F1053*G1053/10000,"")</f>
        <v/>
      </c>
    </row>
    <row r="1054">
      <c r="A1054" t="inlineStr">
        <is>
          <t>2026-10-30</t>
        </is>
      </c>
      <c r="B1054" t="inlineStr">
        <is>
          <t>512090</t>
        </is>
      </c>
      <c r="C1054" t="inlineStr">
        <is>
          <t>MSCIA股ETF易方达</t>
        </is>
      </c>
      <c r="D1054" t="n">
        <v>33959.23</v>
      </c>
      <c r="E1054" t="n">
        <v>33159.23</v>
      </c>
      <c r="F1054" t="n">
        <v>1.733</v>
      </c>
      <c r="G1054" t="n">
        <v>800</v>
      </c>
      <c r="H1054" t="n">
        <v>5.746495</v>
      </c>
      <c r="I1054" t="n">
        <v>5.826077</v>
      </c>
      <c r="J1054" t="n">
        <v>-0.079582</v>
      </c>
      <c r="K1054" s="4">
        <f>IFERROR(J1054/I1054,"")</f>
        <v/>
      </c>
      <c r="L1054" s="4">
        <f>IFERROR((D1054-E1054)/E1054,"")</f>
        <v/>
      </c>
      <c r="M1054" s="19">
        <f>IFERROR(F1054*G1054/10000,"")</f>
        <v/>
      </c>
    </row>
    <row r="1055">
      <c r="A1055" t="inlineStr">
        <is>
          <t>2026-10-30</t>
        </is>
      </c>
      <c r="B1055" t="inlineStr">
        <is>
          <t>512100</t>
        </is>
      </c>
      <c r="C1055" t="inlineStr">
        <is>
          <t>中证1000ETF南方</t>
        </is>
      </c>
      <c r="D1055" t="n">
        <v>1121521.76</v>
      </c>
      <c r="E1055" t="n">
        <v>1167121.76</v>
      </c>
      <c r="F1055" t="n">
        <v>2.596</v>
      </c>
      <c r="G1055" t="n">
        <v>-45600</v>
      </c>
      <c r="H1055" t="n">
        <v>302.98481</v>
      </c>
      <c r="I1055" t="n">
        <v>301.130572</v>
      </c>
      <c r="J1055" t="n">
        <v>1.854238</v>
      </c>
      <c r="K1055" s="4">
        <f>IFERROR(J1055/I1055,"")</f>
        <v/>
      </c>
      <c r="L1055" s="4">
        <f>IFERROR((D1055-E1055)/E1055,"")</f>
        <v/>
      </c>
      <c r="M1055" s="19">
        <f>IFERROR(F1055*G1055/10000,"")</f>
        <v/>
      </c>
    </row>
    <row r="1056">
      <c r="A1056" t="inlineStr">
        <is>
          <t>2026-10-30</t>
        </is>
      </c>
      <c r="B1056" t="inlineStr">
        <is>
          <t>512120</t>
        </is>
      </c>
      <c r="C1056" t="inlineStr">
        <is>
          <t>医药ETF华安</t>
        </is>
      </c>
      <c r="D1056" t="n">
        <v>75024.19</v>
      </c>
      <c r="E1056" t="n">
        <v>74924.19</v>
      </c>
      <c r="F1056" t="n">
        <v>0.437</v>
      </c>
      <c r="G1056" t="n">
        <v>100</v>
      </c>
      <c r="H1056" t="n">
        <v>3.274187</v>
      </c>
      <c r="I1056" t="n">
        <v>3.284782</v>
      </c>
      <c r="J1056" t="n">
        <v>-0.010595</v>
      </c>
      <c r="K1056" s="4">
        <f>IFERROR(J1056/I1056,"")</f>
        <v/>
      </c>
      <c r="L1056" s="4">
        <f>IFERROR((D1056-E1056)/E1056,"")</f>
        <v/>
      </c>
      <c r="M1056" s="19">
        <f>IFERROR(F1056*G1056/10000,"")</f>
        <v/>
      </c>
    </row>
    <row r="1057">
      <c r="A1057" t="inlineStr">
        <is>
          <t>2026-10-30</t>
        </is>
      </c>
      <c r="B1057" t="inlineStr">
        <is>
          <t>512130</t>
        </is>
      </c>
      <c r="C1057" t="inlineStr">
        <is>
          <t>全指现金流ETF鹏华</t>
        </is>
      </c>
      <c r="D1057" t="n">
        <v>1289.5</v>
      </c>
      <c r="E1057" t="n">
        <v>1289.5</v>
      </c>
      <c r="F1057" t="n">
        <v>1.104</v>
      </c>
      <c r="G1057" t="n">
        <v>0</v>
      </c>
      <c r="H1057" t="n">
        <v>0.142361</v>
      </c>
      <c r="I1057" t="n">
        <v>0.142748</v>
      </c>
      <c r="J1057" t="n">
        <v>-0.000387</v>
      </c>
      <c r="K1057" s="4">
        <f>IFERROR(J1057/I1057,"")</f>
        <v/>
      </c>
      <c r="L1057" s="4">
        <f>IFERROR((D1057-E1057)/E1057,"")</f>
        <v/>
      </c>
      <c r="M1057" s="19">
        <f>IFERROR(F1057*G1057/10000,"")</f>
        <v/>
      </c>
    </row>
    <row r="1058">
      <c r="A1058" t="inlineStr">
        <is>
          <t>2026-10-30</t>
        </is>
      </c>
      <c r="B1058" t="inlineStr">
        <is>
          <t>512140</t>
        </is>
      </c>
      <c r="C1058" t="inlineStr">
        <is>
          <t>电力ETF华安</t>
        </is>
      </c>
      <c r="D1058" t="n">
        <v>12604.9</v>
      </c>
      <c r="E1058" t="n">
        <v>12604.9</v>
      </c>
      <c r="F1058" t="n">
        <v>0.908</v>
      </c>
      <c r="G1058" t="n">
        <v>0</v>
      </c>
      <c r="H1058" t="n">
        <v>1.144525</v>
      </c>
      <c r="I1058" t="n">
        <v>1.143441</v>
      </c>
      <c r="J1058" t="n">
        <v>0.001084</v>
      </c>
      <c r="K1058" s="4">
        <f>IFERROR(J1058/I1058,"")</f>
        <v/>
      </c>
      <c r="L1058" s="4">
        <f>IFERROR((D1058-E1058)/E1058,"")</f>
        <v/>
      </c>
      <c r="M1058" s="19">
        <f>IFERROR(F1058*G1058/10000,"")</f>
        <v/>
      </c>
    </row>
    <row r="1059">
      <c r="A1059" t="inlineStr">
        <is>
          <t>2026-10-30</t>
        </is>
      </c>
      <c r="B1059" t="inlineStr">
        <is>
          <t>512150</t>
        </is>
      </c>
      <c r="C1059" t="inlineStr">
        <is>
          <t>富时A50ETF汇安</t>
        </is>
      </c>
      <c r="D1059" t="n">
        <v>2007.34</v>
      </c>
      <c r="E1059" t="n">
        <v>2007.34</v>
      </c>
      <c r="F1059" t="n">
        <v>1.68</v>
      </c>
      <c r="G1059" t="n">
        <v>0</v>
      </c>
      <c r="H1059" t="n">
        <v>0.337232</v>
      </c>
      <c r="I1059" t="n">
        <v>0.341247</v>
      </c>
      <c r="J1059" t="n">
        <v>-0.004015</v>
      </c>
      <c r="K1059" s="4">
        <f>IFERROR(J1059/I1059,"")</f>
        <v/>
      </c>
      <c r="L1059" s="4">
        <f>IFERROR((D1059-E1059)/E1059,"")</f>
        <v/>
      </c>
      <c r="M1059" s="19">
        <f>IFERROR(F1059*G1059/10000,"")</f>
        <v/>
      </c>
    </row>
    <row r="1060">
      <c r="A1060" t="inlineStr">
        <is>
          <t>2026-10-30</t>
        </is>
      </c>
      <c r="B1060" t="inlineStr">
        <is>
          <t>512160</t>
        </is>
      </c>
      <c r="C1060" t="inlineStr">
        <is>
          <t>MSCI中国A股ETF南方</t>
        </is>
      </c>
      <c r="D1060" t="n">
        <v>12377.78</v>
      </c>
      <c r="E1060" t="n">
        <v>12377.78</v>
      </c>
      <c r="F1060" t="n">
        <v>1.329</v>
      </c>
      <c r="G1060" t="n">
        <v>0</v>
      </c>
      <c r="H1060" t="n">
        <v>1.645007</v>
      </c>
      <c r="I1060" t="n">
        <v>1.663573</v>
      </c>
      <c r="J1060" t="n">
        <v>-0.018566</v>
      </c>
      <c r="K1060" s="4">
        <f>IFERROR(J1060/I1060,"")</f>
        <v/>
      </c>
      <c r="L1060" s="4">
        <f>IFERROR((D1060-E1060)/E1060,"")</f>
        <v/>
      </c>
      <c r="M1060" s="19">
        <f>IFERROR(F1060*G1060/10000,"")</f>
        <v/>
      </c>
    </row>
    <row r="1061">
      <c r="A1061" t="inlineStr">
        <is>
          <t>2026-10-30</t>
        </is>
      </c>
      <c r="B1061" t="inlineStr">
        <is>
          <t>512170</t>
        </is>
      </c>
      <c r="C1061" t="inlineStr">
        <is>
          <t>医疗ETF华宝</t>
        </is>
      </c>
      <c r="D1061" t="n">
        <v>6907182.05</v>
      </c>
      <c r="E1061" t="n">
        <v>6918682.05</v>
      </c>
      <c r="F1061" t="n">
        <v>0.331</v>
      </c>
      <c r="G1061" t="n">
        <v>-11500</v>
      </c>
      <c r="H1061" t="n">
        <v>229.008376</v>
      </c>
      <c r="I1061" t="n">
        <v>229.447924</v>
      </c>
      <c r="J1061" t="n">
        <v>-0.439548</v>
      </c>
      <c r="K1061" s="4">
        <f>IFERROR(J1061/I1061,"")</f>
        <v/>
      </c>
      <c r="L1061" s="4">
        <f>IFERROR((D1061-E1061)/E1061,"")</f>
        <v/>
      </c>
      <c r="M1061" s="19">
        <f>IFERROR(F1061*G1061/10000,"")</f>
        <v/>
      </c>
    </row>
    <row r="1062">
      <c r="A1062" t="inlineStr">
        <is>
          <t>2026-10-30</t>
        </is>
      </c>
      <c r="B1062" t="inlineStr">
        <is>
          <t>512180</t>
        </is>
      </c>
      <c r="C1062" t="inlineStr">
        <is>
          <t>MSCIA股ETF建信</t>
        </is>
      </c>
      <c r="D1062" t="n">
        <v>4804.8</v>
      </c>
      <c r="E1062" t="n">
        <v>4804.8</v>
      </c>
      <c r="F1062" t="n">
        <v>1.486</v>
      </c>
      <c r="G1062" t="n">
        <v>0</v>
      </c>
      <c r="H1062" t="n">
        <v>0.713993</v>
      </c>
      <c r="I1062" t="n">
        <v>0.716396</v>
      </c>
      <c r="J1062" t="n">
        <v>-0.002403</v>
      </c>
      <c r="K1062" s="4">
        <f>IFERROR(J1062/I1062,"")</f>
        <v/>
      </c>
      <c r="L1062" s="4">
        <f>IFERROR((D1062-E1062)/E1062,"")</f>
        <v/>
      </c>
      <c r="M1062" s="19">
        <f>IFERROR(F1062*G1062/10000,"")</f>
        <v/>
      </c>
    </row>
    <row r="1063">
      <c r="A1063" t="inlineStr">
        <is>
          <t>2026-10-30</t>
        </is>
      </c>
      <c r="B1063" t="inlineStr">
        <is>
          <t>512190</t>
        </is>
      </c>
      <c r="C1063" t="inlineStr">
        <is>
          <t>浙商之江凤凰ETF</t>
        </is>
      </c>
      <c r="D1063" t="n">
        <v>22881.84</v>
      </c>
      <c r="E1063" t="n">
        <v>22881.84</v>
      </c>
      <c r="F1063" t="n">
        <v>2.591</v>
      </c>
      <c r="G1063" t="n">
        <v>0</v>
      </c>
      <c r="H1063" t="n">
        <v>5.928685</v>
      </c>
      <c r="I1063" t="n">
        <v>5.965297</v>
      </c>
      <c r="J1063" t="n">
        <v>-0.036612</v>
      </c>
      <c r="K1063" s="4">
        <f>IFERROR(J1063/I1063,"")</f>
        <v/>
      </c>
      <c r="L1063" s="4">
        <f>IFERROR((D1063-E1063)/E1063,"")</f>
        <v/>
      </c>
      <c r="M1063" s="19">
        <f>IFERROR(F1063*G1063/10000,"")</f>
        <v/>
      </c>
    </row>
    <row r="1064">
      <c r="A1064" t="inlineStr">
        <is>
          <t>2026-10-30</t>
        </is>
      </c>
      <c r="B1064" t="inlineStr">
        <is>
          <t>512200</t>
        </is>
      </c>
      <c r="C1064" t="inlineStr">
        <is>
          <t>房地产ETF南方</t>
        </is>
      </c>
      <c r="D1064" t="n">
        <v>425584.79</v>
      </c>
      <c r="E1064" t="n">
        <v>427284.79</v>
      </c>
      <c r="F1064" t="n">
        <v>1.131</v>
      </c>
      <c r="G1064" t="n">
        <v>-1700</v>
      </c>
      <c r="H1064" t="n">
        <v>48.32591</v>
      </c>
      <c r="I1064" t="n">
        <v>49.436154</v>
      </c>
      <c r="J1064" t="n">
        <v>-1.110244</v>
      </c>
      <c r="K1064" s="4">
        <f>IFERROR(J1064/I1064,"")</f>
        <v/>
      </c>
      <c r="L1064" s="4">
        <f>IFERROR((D1064-E1064)/E1064,"")</f>
        <v/>
      </c>
      <c r="M1064" s="19">
        <f>IFERROR(F1064*G1064/10000,"")</f>
        <v/>
      </c>
    </row>
    <row r="1065">
      <c r="A1065" t="inlineStr">
        <is>
          <t>2026-10-30</t>
        </is>
      </c>
      <c r="B1065" t="inlineStr">
        <is>
          <t>512220</t>
        </is>
      </c>
      <c r="C1065" t="inlineStr">
        <is>
          <t>TMTETF景顺</t>
        </is>
      </c>
      <c r="D1065" t="n">
        <v>20696.76</v>
      </c>
      <c r="E1065" t="n">
        <v>20846.76</v>
      </c>
      <c r="F1065" t="n">
        <v>2.75</v>
      </c>
      <c r="G1065" t="n">
        <v>-150</v>
      </c>
      <c r="H1065" t="n">
        <v>5.73286</v>
      </c>
      <c r="I1065" t="n">
        <v>6.12061</v>
      </c>
      <c r="J1065" t="n">
        <v>-0.38775</v>
      </c>
      <c r="K1065" s="4">
        <f>IFERROR(J1065/I1065,"")</f>
        <v/>
      </c>
      <c r="L1065" s="4">
        <f>IFERROR((D1065-E1065)/E1065,"")</f>
        <v/>
      </c>
      <c r="M1065" s="19">
        <f>IFERROR(F1065*G1065/10000,"")</f>
        <v/>
      </c>
    </row>
    <row r="1066">
      <c r="A1066" t="inlineStr">
        <is>
          <t>2026-10-30</t>
        </is>
      </c>
      <c r="B1066" t="inlineStr">
        <is>
          <t>512240</t>
        </is>
      </c>
      <c r="C1066" t="inlineStr">
        <is>
          <t>A50ETF鹏华</t>
        </is>
      </c>
      <c r="D1066" t="n">
        <v>2168.6</v>
      </c>
      <c r="E1066" t="n">
        <v>2168.6</v>
      </c>
      <c r="F1066" t="n">
        <v>1.033</v>
      </c>
      <c r="G1066" t="n">
        <v>0</v>
      </c>
      <c r="H1066" t="n">
        <v>0.224016</v>
      </c>
      <c r="I1066" t="n">
        <v>0.239975</v>
      </c>
      <c r="J1066" t="n">
        <v>-0.015959</v>
      </c>
      <c r="K1066" s="4">
        <f>IFERROR(J1066/I1066,"")</f>
        <v/>
      </c>
      <c r="L1066" s="4">
        <f>IFERROR((D1066-E1066)/E1066,"")</f>
        <v/>
      </c>
      <c r="M1066" s="19">
        <f>IFERROR(F1066*G1066/10000,"")</f>
        <v/>
      </c>
    </row>
    <row r="1067">
      <c r="A1067" t="inlineStr">
        <is>
          <t>2026-10-30</t>
        </is>
      </c>
      <c r="B1067" t="inlineStr">
        <is>
          <t>512250</t>
        </is>
      </c>
      <c r="C1067" t="inlineStr">
        <is>
          <t>A50ETF招商</t>
        </is>
      </c>
      <c r="D1067" t="n">
        <v>11810.01</v>
      </c>
      <c r="E1067" t="n">
        <v>11810.01</v>
      </c>
      <c r="F1067" t="n">
        <v>1.069</v>
      </c>
      <c r="G1067" t="n">
        <v>0</v>
      </c>
      <c r="H1067" t="n">
        <v>1.26249</v>
      </c>
      <c r="I1067" t="n">
        <v>1.263671</v>
      </c>
      <c r="J1067" t="n">
        <v>-0.001181</v>
      </c>
      <c r="K1067" s="4">
        <f>IFERROR(J1067/I1067,"")</f>
        <v/>
      </c>
      <c r="L1067" s="4">
        <f>IFERROR((D1067-E1067)/E1067,"")</f>
        <v/>
      </c>
      <c r="M1067" s="19">
        <f>IFERROR(F1067*G1067/10000,"")</f>
        <v/>
      </c>
    </row>
    <row r="1068">
      <c r="A1068" t="inlineStr">
        <is>
          <t>2026-10-30</t>
        </is>
      </c>
      <c r="B1068" t="inlineStr">
        <is>
          <t>512260</t>
        </is>
      </c>
      <c r="C1068" t="inlineStr">
        <is>
          <t>中证500低波动ETF华安</t>
        </is>
      </c>
      <c r="D1068" t="n">
        <v>2129.77</v>
      </c>
      <c r="E1068" t="n">
        <v>2129.77</v>
      </c>
      <c r="F1068" t="n">
        <v>1.734</v>
      </c>
      <c r="G1068" t="n">
        <v>0</v>
      </c>
      <c r="H1068" t="n">
        <v>0.369302</v>
      </c>
      <c r="I1068" t="n">
        <v>0.37484</v>
      </c>
      <c r="J1068" t="n">
        <v>-0.005538</v>
      </c>
      <c r="K1068" s="4">
        <f>IFERROR(J1068/I1068,"")</f>
        <v/>
      </c>
      <c r="L1068" s="4">
        <f>IFERROR((D1068-E1068)/E1068,"")</f>
        <v/>
      </c>
      <c r="M1068" s="19">
        <f>IFERROR(F1068*G1068/10000,"")</f>
        <v/>
      </c>
    </row>
    <row r="1069">
      <c r="A1069" t="inlineStr">
        <is>
          <t>2026-10-30</t>
        </is>
      </c>
      <c r="B1069" t="inlineStr">
        <is>
          <t>512290</t>
        </is>
      </c>
      <c r="C1069" t="inlineStr">
        <is>
          <t>生物医药ETF国泰</t>
        </is>
      </c>
      <c r="D1069" t="n">
        <v>314882.07</v>
      </c>
      <c r="E1069" t="n">
        <v>314982.07</v>
      </c>
      <c r="F1069" t="n">
        <v>0.976</v>
      </c>
      <c r="G1069" t="n">
        <v>-100</v>
      </c>
      <c r="H1069" t="n">
        <v>30.74225</v>
      </c>
      <c r="I1069" t="n">
        <v>30.946643</v>
      </c>
      <c r="J1069" t="n">
        <v>-0.204393</v>
      </c>
      <c r="K1069" s="4">
        <f>IFERROR(J1069/I1069,"")</f>
        <v/>
      </c>
      <c r="L1069" s="4">
        <f>IFERROR((D1069-E1069)/E1069,"")</f>
        <v/>
      </c>
      <c r="M1069" s="19">
        <f>IFERROR(F1069*G1069/10000,"")</f>
        <v/>
      </c>
    </row>
    <row r="1070">
      <c r="A1070" t="inlineStr">
        <is>
          <t>2026-10-30</t>
        </is>
      </c>
      <c r="B1070" t="inlineStr">
        <is>
          <t>512330</t>
        </is>
      </c>
      <c r="C1070" t="inlineStr">
        <is>
          <t>信息科技ETF南方</t>
        </is>
      </c>
      <c r="D1070" t="n">
        <v>36268.8</v>
      </c>
      <c r="E1070" t="n">
        <v>36268.8</v>
      </c>
      <c r="F1070" t="n">
        <v>1.402</v>
      </c>
      <c r="G1070" t="n">
        <v>0</v>
      </c>
      <c r="H1070" t="n">
        <v>5.084886</v>
      </c>
      <c r="I1070" t="n">
        <v>5.349648</v>
      </c>
      <c r="J1070" t="n">
        <v>-0.264762</v>
      </c>
      <c r="K1070" s="4">
        <f>IFERROR(J1070/I1070,"")</f>
        <v/>
      </c>
      <c r="L1070" s="4">
        <f>IFERROR((D1070-E1070)/E1070,"")</f>
        <v/>
      </c>
      <c r="M1070" s="19">
        <f>IFERROR(F1070*G1070/10000,"")</f>
        <v/>
      </c>
    </row>
    <row r="1071">
      <c r="A1071" t="inlineStr">
        <is>
          <t>2026-10-30</t>
        </is>
      </c>
      <c r="B1071" t="inlineStr">
        <is>
          <t>512360</t>
        </is>
      </c>
      <c r="C1071" t="inlineStr">
        <is>
          <t>MSCIA股ETF平安</t>
        </is>
      </c>
      <c r="D1071" t="n">
        <v>3033.77</v>
      </c>
      <c r="E1071" t="n">
        <v>3033.77</v>
      </c>
      <c r="F1071" t="n">
        <v>1.549</v>
      </c>
      <c r="G1071" t="n">
        <v>0</v>
      </c>
      <c r="H1071" t="n">
        <v>0.469931</v>
      </c>
      <c r="I1071" t="n">
        <v>0.474482</v>
      </c>
      <c r="J1071" t="n">
        <v>-0.004551</v>
      </c>
      <c r="K1071" s="4">
        <f>IFERROR(J1071/I1071,"")</f>
        <v/>
      </c>
      <c r="L1071" s="4">
        <f>IFERROR((D1071-E1071)/E1071,"")</f>
        <v/>
      </c>
      <c r="M1071" s="19">
        <f>IFERROR(F1071*G1071/10000,"")</f>
        <v/>
      </c>
    </row>
    <row r="1072">
      <c r="A1072" t="inlineStr">
        <is>
          <t>2026-10-30</t>
        </is>
      </c>
      <c r="B1072" t="inlineStr">
        <is>
          <t>512370</t>
        </is>
      </c>
      <c r="C1072" t="inlineStr">
        <is>
          <t>A500增强ETF华夏</t>
        </is>
      </c>
      <c r="D1072" t="n">
        <v>30231.3</v>
      </c>
      <c r="E1072" t="n">
        <v>29931.3</v>
      </c>
      <c r="F1072" t="n">
        <v>1.035</v>
      </c>
      <c r="G1072" t="n">
        <v>300</v>
      </c>
      <c r="H1072" t="n">
        <v>3.09789</v>
      </c>
      <c r="I1072" t="n">
        <v>3.142787</v>
      </c>
      <c r="J1072" t="n">
        <v>-0.044897</v>
      </c>
      <c r="K1072" s="4">
        <f>IFERROR(J1072/I1072,"")</f>
        <v/>
      </c>
      <c r="L1072" s="4">
        <f>IFERROR((D1072-E1072)/E1072,"")</f>
        <v/>
      </c>
      <c r="M1072" s="19">
        <f>IFERROR(F1072*G1072/10000,"")</f>
        <v/>
      </c>
    </row>
    <row r="1073">
      <c r="A1073" t="inlineStr">
        <is>
          <t>2026-10-30</t>
        </is>
      </c>
      <c r="B1073" t="inlineStr">
        <is>
          <t>512380</t>
        </is>
      </c>
      <c r="C1073" t="inlineStr">
        <is>
          <t>MSCI中国ETF银华</t>
        </is>
      </c>
      <c r="D1073" t="n">
        <v>7280.56</v>
      </c>
      <c r="E1073" t="n">
        <v>7280.56</v>
      </c>
      <c r="F1073" t="n">
        <v>1.397</v>
      </c>
      <c r="G1073" t="n">
        <v>0</v>
      </c>
      <c r="H1073" t="n">
        <v>1.017094</v>
      </c>
      <c r="I1073" t="n">
        <v>1.024375</v>
      </c>
      <c r="J1073" t="n">
        <v>-0.007281</v>
      </c>
      <c r="K1073" s="4">
        <f>IFERROR(J1073/I1073,"")</f>
        <v/>
      </c>
      <c r="L1073" s="4">
        <f>IFERROR((D1073-E1073)/E1073,"")</f>
        <v/>
      </c>
      <c r="M1073" s="19">
        <f>IFERROR(F1073*G1073/10000,"")</f>
        <v/>
      </c>
    </row>
    <row r="1074">
      <c r="A1074" t="inlineStr">
        <is>
          <t>2026-10-24</t>
        </is>
      </c>
      <c r="B1074" t="inlineStr">
        <is>
          <t>512390</t>
        </is>
      </c>
      <c r="C1074" t="inlineStr">
        <is>
          <t>中国低波ETF平安</t>
        </is>
      </c>
      <c r="D1074" t="n">
        <v>968.2</v>
      </c>
      <c r="E1074" t="n">
        <v>968.2</v>
      </c>
      <c r="F1074" t="n">
        <v>1.227</v>
      </c>
      <c r="G1074" t="n">
        <v>0</v>
      </c>
      <c r="H1074" t="n">
        <v>0.118798</v>
      </c>
      <c r="I1074" t="n">
        <v>0.118798</v>
      </c>
      <c r="J1074" t="n">
        <v>0</v>
      </c>
      <c r="K1074" s="4">
        <f>IFERROR(J1074/I1074,"")</f>
        <v/>
      </c>
      <c r="L1074" s="4">
        <f>IFERROR((D1074-E1074)/E1074,"")</f>
        <v/>
      </c>
      <c r="M1074" s="19">
        <f>IFERROR(F1074*G1074/10000,"")</f>
        <v/>
      </c>
    </row>
    <row r="1075">
      <c r="A1075" t="inlineStr">
        <is>
          <t>2026-10-30</t>
        </is>
      </c>
      <c r="B1075" t="inlineStr">
        <is>
          <t>512400</t>
        </is>
      </c>
      <c r="C1075" t="inlineStr">
        <is>
          <t>有色金属ETF南方</t>
        </is>
      </c>
      <c r="D1075" t="n">
        <v>1329003.9</v>
      </c>
      <c r="E1075" t="n">
        <v>1340453.9</v>
      </c>
      <c r="F1075" t="n">
        <v>1.423</v>
      </c>
      <c r="G1075" t="n">
        <v>-11450</v>
      </c>
      <c r="H1075" t="n">
        <v>190.74659</v>
      </c>
      <c r="I1075" t="n">
        <v>195.159717</v>
      </c>
      <c r="J1075" t="n">
        <v>-4.413127</v>
      </c>
      <c r="K1075" s="4">
        <f>IFERROR(J1075/I1075,"")</f>
        <v/>
      </c>
      <c r="L1075" s="4">
        <f>IFERROR((D1075-E1075)/E1075,"")</f>
        <v/>
      </c>
      <c r="M1075" s="19">
        <f>IFERROR(F1075*G1075/10000,"")</f>
        <v/>
      </c>
    </row>
    <row r="1076">
      <c r="A1076" t="inlineStr">
        <is>
          <t>2026-10-30</t>
        </is>
      </c>
      <c r="B1076" t="inlineStr">
        <is>
          <t>512430</t>
        </is>
      </c>
      <c r="C1076" t="inlineStr">
        <is>
          <t>家居家电ETF华泰柏瑞</t>
        </is>
      </c>
      <c r="D1076" t="n">
        <v>4072</v>
      </c>
      <c r="E1076" t="n">
        <v>4072</v>
      </c>
      <c r="F1076" t="n">
        <v>0.826</v>
      </c>
      <c r="G1076" t="n">
        <v>0</v>
      </c>
      <c r="H1076" t="n">
        <v>0.336347</v>
      </c>
      <c r="I1076" t="n">
        <v>0.340012</v>
      </c>
      <c r="J1076" t="n">
        <v>-0.003665</v>
      </c>
      <c r="K1076" s="4">
        <f>IFERROR(J1076/I1076,"")</f>
        <v/>
      </c>
      <c r="L1076" s="4">
        <f>IFERROR((D1076-E1076)/E1076,"")</f>
        <v/>
      </c>
      <c r="M1076" s="19">
        <f>IFERROR(F1076*G1076/10000,"")</f>
        <v/>
      </c>
    </row>
    <row r="1077">
      <c r="A1077" t="inlineStr">
        <is>
          <t>2026-10-30</t>
        </is>
      </c>
      <c r="B1077" t="inlineStr">
        <is>
          <t>512450</t>
        </is>
      </c>
      <c r="C1077" t="inlineStr">
        <is>
          <t>畜牧养殖ETF广发</t>
        </is>
      </c>
      <c r="D1077" t="n">
        <v>9636.700000000001</v>
      </c>
      <c r="E1077" t="n">
        <v>9636.700000000001</v>
      </c>
      <c r="F1077" t="n">
        <v>0.88</v>
      </c>
      <c r="G1077" t="n">
        <v>0</v>
      </c>
      <c r="H1077" t="n">
        <v>0.84803</v>
      </c>
      <c r="I1077" t="n">
        <v>0.844175</v>
      </c>
      <c r="J1077" t="n">
        <v>0.003855</v>
      </c>
      <c r="K1077" s="4">
        <f>IFERROR(J1077/I1077,"")</f>
        <v/>
      </c>
      <c r="L1077" s="4">
        <f>IFERROR((D1077-E1077)/E1077,"")</f>
        <v/>
      </c>
      <c r="M1077" s="19">
        <f>IFERROR(F1077*G1077/10000,"")</f>
        <v/>
      </c>
    </row>
    <row r="1078">
      <c r="A1078" t="inlineStr">
        <is>
          <t>2026-10-30</t>
        </is>
      </c>
      <c r="B1078" t="inlineStr">
        <is>
          <t>512460</t>
        </is>
      </c>
      <c r="C1078" t="inlineStr">
        <is>
          <t>电池ETF华夏</t>
        </is>
      </c>
      <c r="D1078" t="n">
        <v>32482.3</v>
      </c>
      <c r="E1078" t="n">
        <v>32782.3</v>
      </c>
      <c r="F1078" t="n">
        <v>0.65</v>
      </c>
      <c r="G1078" t="n">
        <v>-300</v>
      </c>
      <c r="H1078" t="n">
        <v>2.13085</v>
      </c>
      <c r="I1078" t="n">
        <v>2.199919</v>
      </c>
      <c r="J1078" t="n">
        <v>-0.06906900000000001</v>
      </c>
      <c r="K1078" s="4">
        <f>IFERROR(J1078/I1078,"")</f>
        <v/>
      </c>
      <c r="L1078" s="4">
        <f>IFERROR((D1078-E1078)/E1078,"")</f>
        <v/>
      </c>
      <c r="M1078" s="19">
        <f>IFERROR(F1078*G1078/10000,"")</f>
        <v/>
      </c>
    </row>
    <row r="1079">
      <c r="A1079" t="inlineStr">
        <is>
          <t>2026-10-30</t>
        </is>
      </c>
      <c r="B1079" t="inlineStr">
        <is>
          <t>512480</t>
        </is>
      </c>
      <c r="C1079" t="inlineStr">
        <is>
          <t>半导体ETF国联安</t>
        </is>
      </c>
      <c r="D1079" t="n">
        <v>2172600.72</v>
      </c>
      <c r="E1079" t="n">
        <v>2156200.72</v>
      </c>
      <c r="F1079" t="n">
        <v>0.757</v>
      </c>
      <c r="G1079" t="n">
        <v>16400</v>
      </c>
      <c r="H1079" t="n">
        <v>163.224395</v>
      </c>
      <c r="I1079" t="n">
        <v>174.845917</v>
      </c>
      <c r="J1079" t="n">
        <v>-11.621522</v>
      </c>
      <c r="K1079" s="4">
        <f>IFERROR(J1079/I1079,"")</f>
        <v/>
      </c>
      <c r="L1079" s="4">
        <f>IFERROR((D1079-E1079)/E1079,"")</f>
        <v/>
      </c>
      <c r="M1079" s="19">
        <f>IFERROR(F1079*G1079/10000,"")</f>
        <v/>
      </c>
    </row>
    <row r="1080">
      <c r="A1080" t="inlineStr">
        <is>
          <t>2026-10-30</t>
        </is>
      </c>
      <c r="B1080" t="inlineStr">
        <is>
          <t>512500</t>
        </is>
      </c>
      <c r="C1080" t="inlineStr">
        <is>
          <t>中证500ETF华夏</t>
        </is>
      </c>
      <c r="D1080" t="n">
        <v>189760.88</v>
      </c>
      <c r="E1080" t="n">
        <v>194480.88</v>
      </c>
      <c r="F1080" t="n">
        <v>3.673</v>
      </c>
      <c r="G1080" t="n">
        <v>-4720</v>
      </c>
      <c r="H1080" t="n">
        <v>71.432827</v>
      </c>
      <c r="I1080" t="n">
        <v>72.76045999999999</v>
      </c>
      <c r="J1080" t="n">
        <v>-1.327633</v>
      </c>
      <c r="K1080" s="4">
        <f>IFERROR(J1080/I1080,"")</f>
        <v/>
      </c>
      <c r="L1080" s="4">
        <f>IFERROR((D1080-E1080)/E1080,"")</f>
        <v/>
      </c>
      <c r="M1080" s="19">
        <f>IFERROR(F1080*G1080/10000,"")</f>
        <v/>
      </c>
    </row>
    <row r="1081">
      <c r="A1081" t="inlineStr">
        <is>
          <t>2026-10-30</t>
        </is>
      </c>
      <c r="B1081" t="inlineStr">
        <is>
          <t>512510</t>
        </is>
      </c>
      <c r="C1081" t="inlineStr">
        <is>
          <t>中证500ETF华泰柏瑞</t>
        </is>
      </c>
      <c r="D1081" t="n">
        <v>44692.98</v>
      </c>
      <c r="E1081" t="n">
        <v>44692.98</v>
      </c>
      <c r="F1081" t="n">
        <v>1.961</v>
      </c>
      <c r="G1081" t="n">
        <v>0</v>
      </c>
      <c r="H1081" t="n">
        <v>8.764293</v>
      </c>
      <c r="I1081" t="n">
        <v>8.966502</v>
      </c>
      <c r="J1081" t="n">
        <v>-0.202209</v>
      </c>
      <c r="K1081" s="4">
        <f>IFERROR(J1081/I1081,"")</f>
        <v/>
      </c>
      <c r="L1081" s="4">
        <f>IFERROR((D1081-E1081)/E1081,"")</f>
        <v/>
      </c>
      <c r="M1081" s="19">
        <f>IFERROR(F1081*G1081/10000,"")</f>
        <v/>
      </c>
    </row>
    <row r="1082">
      <c r="A1082" t="inlineStr">
        <is>
          <t>2026-10-30</t>
        </is>
      </c>
      <c r="B1082" t="inlineStr">
        <is>
          <t>512520</t>
        </is>
      </c>
      <c r="C1082" t="inlineStr">
        <is>
          <t>MSCI中国ETF华泰柏瑞</t>
        </is>
      </c>
      <c r="D1082" t="n">
        <v>4505.64</v>
      </c>
      <c r="E1082" t="n">
        <v>4505.64</v>
      </c>
      <c r="F1082" t="n">
        <v>1.286</v>
      </c>
      <c r="G1082" t="n">
        <v>0</v>
      </c>
      <c r="H1082" t="n">
        <v>0.579425</v>
      </c>
      <c r="I1082" t="n">
        <v>0.584381</v>
      </c>
      <c r="J1082" t="n">
        <v>-0.004956</v>
      </c>
      <c r="K1082" s="4">
        <f>IFERROR(J1082/I1082,"")</f>
        <v/>
      </c>
      <c r="L1082" s="4">
        <f>IFERROR((D1082-E1082)/E1082,"")</f>
        <v/>
      </c>
      <c r="M1082" s="19">
        <f>IFERROR(F1082*G1082/10000,"")</f>
        <v/>
      </c>
    </row>
    <row r="1083">
      <c r="A1083" t="inlineStr">
        <is>
          <t>2026-10-30</t>
        </is>
      </c>
      <c r="B1083" t="inlineStr">
        <is>
          <t>512530</t>
        </is>
      </c>
      <c r="C1083" t="inlineStr">
        <is>
          <t>沪深300红利ETF建信</t>
        </is>
      </c>
      <c r="D1083" t="n">
        <v>9250.200000000001</v>
      </c>
      <c r="E1083" t="n">
        <v>9250.200000000001</v>
      </c>
      <c r="F1083" t="n">
        <v>1.708</v>
      </c>
      <c r="G1083" t="n">
        <v>0</v>
      </c>
      <c r="H1083" t="n">
        <v>1.579934</v>
      </c>
      <c r="I1083" t="n">
        <v>1.556809</v>
      </c>
      <c r="J1083" t="n">
        <v>0.023125</v>
      </c>
      <c r="K1083" s="4">
        <f>IFERROR(J1083/I1083,"")</f>
        <v/>
      </c>
      <c r="L1083" s="4">
        <f>IFERROR((D1083-E1083)/E1083,"")</f>
        <v/>
      </c>
      <c r="M1083" s="19">
        <f>IFERROR(F1083*G1083/10000,"")</f>
        <v/>
      </c>
    </row>
    <row r="1084">
      <c r="A1084" t="inlineStr">
        <is>
          <t>2026-10-30</t>
        </is>
      </c>
      <c r="B1084" t="inlineStr">
        <is>
          <t>512550</t>
        </is>
      </c>
      <c r="C1084" t="inlineStr">
        <is>
          <t>富时A50ETF嘉实</t>
        </is>
      </c>
      <c r="D1084" t="n">
        <v>10990.6</v>
      </c>
      <c r="E1084" t="n">
        <v>10990.6</v>
      </c>
      <c r="F1084" t="n">
        <v>1.614</v>
      </c>
      <c r="G1084" t="n">
        <v>0</v>
      </c>
      <c r="H1084" t="n">
        <v>1.773882</v>
      </c>
      <c r="I1084" t="n">
        <v>1.785972</v>
      </c>
      <c r="J1084" t="n">
        <v>-0.01209</v>
      </c>
      <c r="K1084" s="4">
        <f>IFERROR(J1084/I1084,"")</f>
        <v/>
      </c>
      <c r="L1084" s="4">
        <f>IFERROR((D1084-E1084)/E1084,"")</f>
        <v/>
      </c>
      <c r="M1084" s="19">
        <f>IFERROR(F1084*G1084/10000,"")</f>
        <v/>
      </c>
    </row>
    <row r="1085">
      <c r="A1085" t="inlineStr">
        <is>
          <t>2026-10-30</t>
        </is>
      </c>
      <c r="B1085" t="inlineStr">
        <is>
          <t>512560</t>
        </is>
      </c>
      <c r="C1085" t="inlineStr">
        <is>
          <t>军工ETF易方达</t>
        </is>
      </c>
      <c r="D1085" t="n">
        <v>106012.7</v>
      </c>
      <c r="E1085" t="n">
        <v>106012.7</v>
      </c>
      <c r="F1085" t="n">
        <v>0.645</v>
      </c>
      <c r="G1085" t="n">
        <v>0</v>
      </c>
      <c r="H1085" t="n">
        <v>6.837819</v>
      </c>
      <c r="I1085" t="n">
        <v>6.86134</v>
      </c>
      <c r="J1085" t="n">
        <v>-0.023521</v>
      </c>
      <c r="K1085" s="4">
        <f>IFERROR(J1085/I1085,"")</f>
        <v/>
      </c>
      <c r="L1085" s="4">
        <f>IFERROR((D1085-E1085)/E1085,"")</f>
        <v/>
      </c>
      <c r="M1085" s="19">
        <f>IFERROR(F1085*G1085/10000,"")</f>
        <v/>
      </c>
    </row>
    <row r="1086">
      <c r="A1086" t="inlineStr">
        <is>
          <t>2026-10-30</t>
        </is>
      </c>
      <c r="B1086" t="inlineStr">
        <is>
          <t>512570</t>
        </is>
      </c>
      <c r="C1086" t="inlineStr">
        <is>
          <t>证券ETF易方达</t>
        </is>
      </c>
      <c r="D1086" t="n">
        <v>428580.61</v>
      </c>
      <c r="E1086" t="n">
        <v>425080.61</v>
      </c>
      <c r="F1086" t="n">
        <v>0.981</v>
      </c>
      <c r="G1086" t="n">
        <v>3500</v>
      </c>
      <c r="H1086" t="n">
        <v>41.700408</v>
      </c>
      <c r="I1086" t="n">
        <v>42.068061</v>
      </c>
      <c r="J1086" t="n">
        <v>-0.367653</v>
      </c>
      <c r="K1086" s="4">
        <f>IFERROR(J1086/I1086,"")</f>
        <v/>
      </c>
      <c r="L1086" s="4">
        <f>IFERROR((D1086-E1086)/E1086,"")</f>
        <v/>
      </c>
      <c r="M1086" s="19">
        <f>IFERROR(F1086*G1086/10000,"")</f>
        <v/>
      </c>
    </row>
    <row r="1087">
      <c r="A1087" t="inlineStr">
        <is>
          <t>2026-10-30</t>
        </is>
      </c>
      <c r="B1087" t="inlineStr">
        <is>
          <t>512580</t>
        </is>
      </c>
      <c r="C1087" t="inlineStr">
        <is>
          <t>环保ETF广发</t>
        </is>
      </c>
      <c r="D1087" t="n">
        <v>56007.17</v>
      </c>
      <c r="E1087" t="n">
        <v>56007.17</v>
      </c>
      <c r="F1087" t="n">
        <v>0.993</v>
      </c>
      <c r="G1087" t="n">
        <v>0</v>
      </c>
      <c r="H1087" t="n">
        <v>5.561512</v>
      </c>
      <c r="I1087" t="n">
        <v>5.594717</v>
      </c>
      <c r="J1087" t="n">
        <v>-0.033205</v>
      </c>
      <c r="K1087" s="4">
        <f>IFERROR(J1087/I1087,"")</f>
        <v/>
      </c>
      <c r="L1087" s="4">
        <f>IFERROR((D1087-E1087)/E1087,"")</f>
        <v/>
      </c>
      <c r="M1087" s="19">
        <f>IFERROR(F1087*G1087/10000,"")</f>
        <v/>
      </c>
    </row>
    <row r="1088">
      <c r="A1088" t="inlineStr">
        <is>
          <t>2026-10-30</t>
        </is>
      </c>
      <c r="B1088" t="inlineStr">
        <is>
          <t>512600</t>
        </is>
      </c>
      <c r="C1088" t="inlineStr">
        <is>
          <t>消费ETF嘉实</t>
        </is>
      </c>
      <c r="D1088" t="n">
        <v>165835.61</v>
      </c>
      <c r="E1088" t="n">
        <v>165835.61</v>
      </c>
      <c r="F1088" t="n">
        <v>0.57</v>
      </c>
      <c r="G1088" t="n">
        <v>0</v>
      </c>
      <c r="H1088" t="n">
        <v>9.452629999999999</v>
      </c>
      <c r="I1088" t="n">
        <v>9.345796999999999</v>
      </c>
      <c r="J1088" t="n">
        <v>0.106833</v>
      </c>
      <c r="K1088" s="4">
        <f>IFERROR(J1088/I1088,"")</f>
        <v/>
      </c>
      <c r="L1088" s="4">
        <f>IFERROR((D1088-E1088)/E1088,"")</f>
        <v/>
      </c>
      <c r="M1088" s="19">
        <f>IFERROR(F1088*G1088/10000,"")</f>
        <v/>
      </c>
    </row>
    <row r="1089">
      <c r="A1089" t="inlineStr">
        <is>
          <t>2026-10-30</t>
        </is>
      </c>
      <c r="B1089" t="inlineStr">
        <is>
          <t>512620</t>
        </is>
      </c>
      <c r="C1089" t="inlineStr">
        <is>
          <t>农业ETF天弘</t>
        </is>
      </c>
      <c r="D1089" t="n">
        <v>151466.6</v>
      </c>
      <c r="E1089" t="n">
        <v>151766.6</v>
      </c>
      <c r="F1089" t="n">
        <v>0.85</v>
      </c>
      <c r="G1089" t="n">
        <v>-300</v>
      </c>
      <c r="H1089" t="n">
        <v>12.900161</v>
      </c>
      <c r="I1089" t="n">
        <v>12.856374</v>
      </c>
      <c r="J1089" t="n">
        <v>0.043787</v>
      </c>
      <c r="K1089" s="4">
        <f>IFERROR(J1089/I1089,"")</f>
        <v/>
      </c>
      <c r="L1089" s="4">
        <f>IFERROR((D1089-E1089)/E1089,"")</f>
        <v/>
      </c>
      <c r="M1089" s="19">
        <f>IFERROR(F1089*G1089/10000,"")</f>
        <v/>
      </c>
    </row>
    <row r="1090">
      <c r="A1090" t="inlineStr">
        <is>
          <t>2026-10-30</t>
        </is>
      </c>
      <c r="B1090" t="inlineStr">
        <is>
          <t>512630</t>
        </is>
      </c>
      <c r="C1090" t="inlineStr">
        <is>
          <t>卫星ETF广发</t>
        </is>
      </c>
      <c r="D1090" t="n">
        <v>173242.6</v>
      </c>
      <c r="E1090" t="n">
        <v>169042.6</v>
      </c>
      <c r="F1090" t="n">
        <v>0.964</v>
      </c>
      <c r="G1090" t="n">
        <v>4200</v>
      </c>
      <c r="H1090" t="n">
        <v>16.295707</v>
      </c>
      <c r="I1090" t="n">
        <v>15.966223</v>
      </c>
      <c r="J1090" t="n">
        <v>0.329484</v>
      </c>
      <c r="K1090" s="4">
        <f>IFERROR(J1090/I1090,"")</f>
        <v/>
      </c>
      <c r="L1090" s="4">
        <f>IFERROR((D1090-E1090)/E1090,"")</f>
        <v/>
      </c>
      <c r="M1090" s="19">
        <f>IFERROR(F1090*G1090/10000,"")</f>
        <v/>
      </c>
    </row>
    <row r="1091">
      <c r="A1091" t="inlineStr">
        <is>
          <t>2026-10-30</t>
        </is>
      </c>
      <c r="B1091" t="inlineStr">
        <is>
          <t>512640</t>
        </is>
      </c>
      <c r="C1091" t="inlineStr">
        <is>
          <t>金融地产ETF嘉实</t>
        </is>
      </c>
      <c r="D1091" t="n">
        <v>2074.09</v>
      </c>
      <c r="E1091" t="n">
        <v>2074.09</v>
      </c>
      <c r="F1091" t="n">
        <v>2.407</v>
      </c>
      <c r="G1091" t="n">
        <v>0</v>
      </c>
      <c r="H1091" t="n">
        <v>0.499233</v>
      </c>
      <c r="I1091" t="n">
        <v>0.495085</v>
      </c>
      <c r="J1091" t="n">
        <v>0.004148</v>
      </c>
      <c r="K1091" s="4">
        <f>IFERROR(J1091/I1091,"")</f>
        <v/>
      </c>
      <c r="L1091" s="4">
        <f>IFERROR((D1091-E1091)/E1091,"")</f>
        <v/>
      </c>
      <c r="M1091" s="19">
        <f>IFERROR(F1091*G1091/10000,"")</f>
        <v/>
      </c>
    </row>
    <row r="1092">
      <c r="A1092" t="inlineStr">
        <is>
          <t>2026-10-30</t>
        </is>
      </c>
      <c r="B1092" t="inlineStr">
        <is>
          <t>512650</t>
        </is>
      </c>
      <c r="C1092" t="inlineStr">
        <is>
          <t>长三角ETF汇添富</t>
        </is>
      </c>
      <c r="D1092" t="n">
        <v>3094.16</v>
      </c>
      <c r="E1092" t="n">
        <v>3094.16</v>
      </c>
      <c r="F1092" t="n">
        <v>1.174</v>
      </c>
      <c r="G1092" t="n">
        <v>0</v>
      </c>
      <c r="H1092" t="n">
        <v>0.363255</v>
      </c>
      <c r="I1092" t="n">
        <v>0.369443</v>
      </c>
      <c r="J1092" t="n">
        <v>-0.006188</v>
      </c>
      <c r="K1092" s="4">
        <f>IFERROR(J1092/I1092,"")</f>
        <v/>
      </c>
      <c r="L1092" s="4">
        <f>IFERROR((D1092-E1092)/E1092,"")</f>
        <v/>
      </c>
      <c r="M1092" s="19">
        <f>IFERROR(F1092*G1092/10000,"")</f>
        <v/>
      </c>
    </row>
    <row r="1093">
      <c r="A1093" t="inlineStr">
        <is>
          <t>2026-10-30</t>
        </is>
      </c>
      <c r="B1093" t="inlineStr">
        <is>
          <t>512660</t>
        </is>
      </c>
      <c r="C1093" t="inlineStr">
        <is>
          <t>军工ETF国泰</t>
        </is>
      </c>
      <c r="D1093" t="n">
        <v>783908</v>
      </c>
      <c r="E1093" t="n">
        <v>787608</v>
      </c>
      <c r="F1093" t="n">
        <v>1.019</v>
      </c>
      <c r="G1093" t="n">
        <v>-3700</v>
      </c>
      <c r="H1093" t="n">
        <v>80.257255</v>
      </c>
      <c r="I1093" t="n">
        <v>80.271837</v>
      </c>
      <c r="J1093" t="n">
        <v>-0.014582</v>
      </c>
      <c r="K1093" s="4">
        <f>IFERROR(J1093/I1093,"")</f>
        <v/>
      </c>
      <c r="L1093" s="4">
        <f>IFERROR((D1093-E1093)/E1093,"")</f>
        <v/>
      </c>
      <c r="M1093" s="19">
        <f>IFERROR(F1093*G1093/10000,"")</f>
        <v/>
      </c>
    </row>
    <row r="1094">
      <c r="A1094" t="inlineStr">
        <is>
          <t>2026-10-30</t>
        </is>
      </c>
      <c r="B1094" t="inlineStr">
        <is>
          <t>512670</t>
        </is>
      </c>
      <c r="C1094" t="inlineStr">
        <is>
          <t>国防ETF鹏华</t>
        </is>
      </c>
      <c r="D1094" t="n">
        <v>223565.26</v>
      </c>
      <c r="E1094" t="n">
        <v>224365.26</v>
      </c>
      <c r="F1094" t="n">
        <v>0.711</v>
      </c>
      <c r="G1094" t="n">
        <v>-800</v>
      </c>
      <c r="H1094" t="n">
        <v>15.95237</v>
      </c>
      <c r="I1094" t="n">
        <v>15.93104</v>
      </c>
      <c r="J1094" t="n">
        <v>0.02133</v>
      </c>
      <c r="K1094" s="4">
        <f>IFERROR(J1094/I1094,"")</f>
        <v/>
      </c>
      <c r="L1094" s="4">
        <f>IFERROR((D1094-E1094)/E1094,"")</f>
        <v/>
      </c>
      <c r="M1094" s="19">
        <f>IFERROR(F1094*G1094/10000,"")</f>
        <v/>
      </c>
    </row>
    <row r="1095">
      <c r="A1095" t="inlineStr">
        <is>
          <t>2026-10-30</t>
        </is>
      </c>
      <c r="B1095" t="inlineStr">
        <is>
          <t>512680</t>
        </is>
      </c>
      <c r="C1095" t="inlineStr">
        <is>
          <t>军工ETF广发</t>
        </is>
      </c>
      <c r="D1095" t="n">
        <v>331613.01</v>
      </c>
      <c r="E1095" t="n">
        <v>331853.01</v>
      </c>
      <c r="F1095" t="n">
        <v>1.045</v>
      </c>
      <c r="G1095" t="n">
        <v>-240</v>
      </c>
      <c r="H1095" t="n">
        <v>34.67864</v>
      </c>
      <c r="I1095" t="n">
        <v>34.695089</v>
      </c>
      <c r="J1095" t="n">
        <v>-0.016449</v>
      </c>
      <c r="K1095" s="4">
        <f>IFERROR(J1095/I1095,"")</f>
        <v/>
      </c>
      <c r="L1095" s="4">
        <f>IFERROR((D1095-E1095)/E1095,"")</f>
        <v/>
      </c>
      <c r="M1095" s="19">
        <f>IFERROR(F1095*G1095/10000,"")</f>
        <v/>
      </c>
    </row>
    <row r="1096">
      <c r="A1096" t="inlineStr">
        <is>
          <t>2026-10-30</t>
        </is>
      </c>
      <c r="B1096" t="inlineStr">
        <is>
          <t>512690</t>
        </is>
      </c>
      <c r="C1096" t="inlineStr">
        <is>
          <t>酒ETF鹏华</t>
        </is>
      </c>
      <c r="D1096" t="n">
        <v>3189895.02</v>
      </c>
      <c r="E1096" t="n">
        <v>3198355.02</v>
      </c>
      <c r="F1096" t="n">
        <v>0.411</v>
      </c>
      <c r="G1096" t="n">
        <v>-8460</v>
      </c>
      <c r="H1096" t="n">
        <v>131.452391</v>
      </c>
      <c r="I1096" t="n">
        <v>129.140083</v>
      </c>
      <c r="J1096" t="n">
        <v>2.312308</v>
      </c>
      <c r="K1096" s="4">
        <f>IFERROR(J1096/I1096,"")</f>
        <v/>
      </c>
      <c r="L1096" s="4">
        <f>IFERROR((D1096-E1096)/E1096,"")</f>
        <v/>
      </c>
      <c r="M1096" s="19">
        <f>IFERROR(F1096*G1096/10000,"")</f>
        <v/>
      </c>
    </row>
    <row r="1097">
      <c r="A1097" t="inlineStr">
        <is>
          <t>2026-10-30</t>
        </is>
      </c>
      <c r="B1097" t="inlineStr">
        <is>
          <t>512700</t>
        </is>
      </c>
      <c r="C1097" t="inlineStr">
        <is>
          <t>银行ETF南方</t>
        </is>
      </c>
      <c r="D1097" t="n">
        <v>81308.10000000001</v>
      </c>
      <c r="E1097" t="n">
        <v>80508.10000000001</v>
      </c>
      <c r="F1097" t="n">
        <v>1.589</v>
      </c>
      <c r="G1097" t="n">
        <v>800</v>
      </c>
      <c r="H1097" t="n">
        <v>12.792737</v>
      </c>
      <c r="I1097" t="n">
        <v>12.505075</v>
      </c>
      <c r="J1097" t="n">
        <v>0.287662</v>
      </c>
      <c r="K1097" s="4">
        <f>IFERROR(J1097/I1097,"")</f>
        <v/>
      </c>
      <c r="L1097" s="4">
        <f>IFERROR((D1097-E1097)/E1097,"")</f>
        <v/>
      </c>
      <c r="M1097" s="19">
        <f>IFERROR(F1097*G1097/10000,"")</f>
        <v/>
      </c>
    </row>
    <row r="1098">
      <c r="A1098" t="inlineStr">
        <is>
          <t>2026-10-30</t>
        </is>
      </c>
      <c r="B1098" t="inlineStr">
        <is>
          <t>512710</t>
        </is>
      </c>
      <c r="C1098" t="inlineStr">
        <is>
          <t>军工龙头ETF富国</t>
        </is>
      </c>
      <c r="D1098" t="n">
        <v>1267665.84</v>
      </c>
      <c r="E1098" t="n">
        <v>1276465.84</v>
      </c>
      <c r="F1098" t="n">
        <v>0.608</v>
      </c>
      <c r="G1098" t="n">
        <v>-8800</v>
      </c>
      <c r="H1098" t="n">
        <v>77.609123</v>
      </c>
      <c r="I1098" t="n">
        <v>75.802077</v>
      </c>
      <c r="J1098" t="n">
        <v>1.807046</v>
      </c>
      <c r="K1098" s="4">
        <f>IFERROR(J1098/I1098,"")</f>
        <v/>
      </c>
      <c r="L1098" s="4">
        <f>IFERROR((D1098-E1098)/E1098,"")</f>
        <v/>
      </c>
      <c r="M1098" s="19">
        <f>IFERROR(F1098*G1098/10000,"")</f>
        <v/>
      </c>
    </row>
    <row r="1099">
      <c r="A1099" t="inlineStr">
        <is>
          <t>2026-10-30</t>
        </is>
      </c>
      <c r="B1099" t="inlineStr">
        <is>
          <t>512720</t>
        </is>
      </c>
      <c r="C1099" t="inlineStr">
        <is>
          <t>计算机ETF国泰</t>
        </is>
      </c>
      <c r="D1099" t="n">
        <v>35745.34</v>
      </c>
      <c r="E1099" t="n">
        <v>35845.34</v>
      </c>
      <c r="F1099" t="n">
        <v>0.988</v>
      </c>
      <c r="G1099" t="n">
        <v>-100</v>
      </c>
      <c r="H1099" t="n">
        <v>3.54152</v>
      </c>
      <c r="I1099" t="n">
        <v>3.635302</v>
      </c>
      <c r="J1099" t="n">
        <v>-0.093782</v>
      </c>
      <c r="K1099" s="4">
        <f>IFERROR(J1099/I1099,"")</f>
        <v/>
      </c>
      <c r="L1099" s="4">
        <f>IFERROR((D1099-E1099)/E1099,"")</f>
        <v/>
      </c>
      <c r="M1099" s="19">
        <f>IFERROR(F1099*G1099/10000,"")</f>
        <v/>
      </c>
    </row>
    <row r="1100">
      <c r="A1100" t="inlineStr">
        <is>
          <t>2026-10-30</t>
        </is>
      </c>
      <c r="B1100" t="inlineStr">
        <is>
          <t>512730</t>
        </is>
      </c>
      <c r="C1100" t="inlineStr">
        <is>
          <t>银行ETF鹏华</t>
        </is>
      </c>
      <c r="D1100" t="n">
        <v>5158.39</v>
      </c>
      <c r="E1100" t="n">
        <v>5158.39</v>
      </c>
      <c r="F1100" t="n">
        <v>1.825</v>
      </c>
      <c r="G1100" t="n">
        <v>0</v>
      </c>
      <c r="H1100" t="n">
        <v>0.941406</v>
      </c>
      <c r="I1100" t="n">
        <v>0.921288</v>
      </c>
      <c r="J1100" t="n">
        <v>0.020118</v>
      </c>
      <c r="K1100" s="4">
        <f>IFERROR(J1100/I1100,"")</f>
        <v/>
      </c>
      <c r="L1100" s="4">
        <f>IFERROR((D1100-E1100)/E1100,"")</f>
        <v/>
      </c>
      <c r="M1100" s="19">
        <f>IFERROR(F1100*G1100/10000,"")</f>
        <v/>
      </c>
    </row>
    <row r="1101">
      <c r="A1101" t="inlineStr">
        <is>
          <t>2026-10-30</t>
        </is>
      </c>
      <c r="B1101" t="inlineStr">
        <is>
          <t>512750</t>
        </is>
      </c>
      <c r="C1101" t="inlineStr">
        <is>
          <t>基本面50ETF嘉实</t>
        </is>
      </c>
      <c r="D1101" t="n">
        <v>4475.49</v>
      </c>
      <c r="E1101" t="n">
        <v>4475.49</v>
      </c>
      <c r="F1101" t="n">
        <v>1.478</v>
      </c>
      <c r="G1101" t="n">
        <v>0</v>
      </c>
      <c r="H1101" t="n">
        <v>0.661478</v>
      </c>
      <c r="I1101" t="n">
        <v>0.653869</v>
      </c>
      <c r="J1101" t="n">
        <v>0.007609</v>
      </c>
      <c r="K1101" s="4">
        <f>IFERROR(J1101/I1101,"")</f>
        <v/>
      </c>
      <c r="L1101" s="4">
        <f>IFERROR((D1101-E1101)/E1101,"")</f>
        <v/>
      </c>
      <c r="M1101" s="19">
        <f>IFERROR(F1101*G1101/10000,"")</f>
        <v/>
      </c>
    </row>
    <row r="1102">
      <c r="A1102" t="inlineStr">
        <is>
          <t>2026-10-30</t>
        </is>
      </c>
      <c r="B1102" t="inlineStr">
        <is>
          <t>512760</t>
        </is>
      </c>
      <c r="C1102" t="inlineStr">
        <is>
          <t>芯片ETF国泰</t>
        </is>
      </c>
      <c r="D1102" t="n">
        <v>1057344.55</v>
      </c>
      <c r="E1102" t="n">
        <v>1049744.55</v>
      </c>
      <c r="F1102" t="n">
        <v>0.8129999999999999</v>
      </c>
      <c r="G1102" t="n">
        <v>7600</v>
      </c>
      <c r="H1102" t="n">
        <v>85.34423200000001</v>
      </c>
      <c r="I1102" t="n">
        <v>87.13775</v>
      </c>
      <c r="J1102" t="n">
        <v>-1.793518</v>
      </c>
      <c r="K1102" s="4">
        <f>IFERROR(J1102/I1102,"")</f>
        <v/>
      </c>
      <c r="L1102" s="4">
        <f>IFERROR((D1102-E1102)/E1102,"")</f>
        <v/>
      </c>
      <c r="M1102" s="19">
        <f>IFERROR(F1102*G1102/10000,"")</f>
        <v/>
      </c>
    </row>
    <row r="1103">
      <c r="A1103" t="inlineStr">
        <is>
          <t>2026-10-30</t>
        </is>
      </c>
      <c r="B1103" t="inlineStr">
        <is>
          <t>512770</t>
        </is>
      </c>
      <c r="C1103" t="inlineStr">
        <is>
          <t>战略新兴ETF华夏</t>
        </is>
      </c>
      <c r="D1103" t="n">
        <v>9976.780000000001</v>
      </c>
      <c r="E1103" t="n">
        <v>9976.780000000001</v>
      </c>
      <c r="F1103" t="n">
        <v>1.873</v>
      </c>
      <c r="G1103" t="n">
        <v>0</v>
      </c>
      <c r="H1103" t="n">
        <v>1.868651</v>
      </c>
      <c r="I1103" t="n">
        <v>2.000039</v>
      </c>
      <c r="J1103" t="n">
        <v>-0.131388</v>
      </c>
      <c r="K1103" s="4">
        <f>IFERROR(J1103/I1103,"")</f>
        <v/>
      </c>
      <c r="L1103" s="4">
        <f>IFERROR((D1103-E1103)/E1103,"")</f>
        <v/>
      </c>
      <c r="M1103" s="19">
        <f>IFERROR(F1103*G1103/10000,"")</f>
        <v/>
      </c>
    </row>
    <row r="1104">
      <c r="A1104" t="inlineStr">
        <is>
          <t>2026-10-30</t>
        </is>
      </c>
      <c r="B1104" t="inlineStr">
        <is>
          <t>512800</t>
        </is>
      </c>
      <c r="C1104" t="inlineStr">
        <is>
          <t>银行ETF华宝</t>
        </is>
      </c>
      <c r="D1104" t="n">
        <v>1508247.99</v>
      </c>
      <c r="E1104" t="n">
        <v>1470147.99</v>
      </c>
      <c r="F1104" t="n">
        <v>0.887</v>
      </c>
      <c r="G1104" t="n">
        <v>38100</v>
      </c>
      <c r="H1104" t="n">
        <v>130.402127</v>
      </c>
      <c r="I1104" t="n">
        <v>124.691465</v>
      </c>
      <c r="J1104" t="n">
        <v>5.710662</v>
      </c>
      <c r="K1104" s="4">
        <f>IFERROR(J1104/I1104,"")</f>
        <v/>
      </c>
      <c r="L1104" s="4">
        <f>IFERROR((D1104-E1104)/E1104,"")</f>
        <v/>
      </c>
      <c r="M1104" s="19">
        <f>IFERROR(F1104*G1104/10000,"")</f>
        <v/>
      </c>
    </row>
    <row r="1105">
      <c r="A1105" t="inlineStr">
        <is>
          <t>2026-10-30</t>
        </is>
      </c>
      <c r="B1105" t="inlineStr">
        <is>
          <t>512810</t>
        </is>
      </c>
      <c r="C1105" t="inlineStr">
        <is>
          <t>军工ETF华宝</t>
        </is>
      </c>
      <c r="D1105" t="n">
        <v>107958.35</v>
      </c>
      <c r="E1105" t="n">
        <v>107758.35</v>
      </c>
      <c r="F1105" t="n">
        <v>0.592</v>
      </c>
      <c r="G1105" t="n">
        <v>200</v>
      </c>
      <c r="H1105" t="n">
        <v>6.379294</v>
      </c>
      <c r="I1105" t="n">
        <v>6.377086</v>
      </c>
      <c r="J1105" t="n">
        <v>0.002208</v>
      </c>
      <c r="K1105" s="4">
        <f>IFERROR(J1105/I1105,"")</f>
        <v/>
      </c>
      <c r="L1105" s="4">
        <f>IFERROR((D1105-E1105)/E1105,"")</f>
        <v/>
      </c>
      <c r="M1105" s="19">
        <f>IFERROR(F1105*G1105/10000,"")</f>
        <v/>
      </c>
    </row>
    <row r="1106">
      <c r="A1106" t="inlineStr">
        <is>
          <t>2026-10-30</t>
        </is>
      </c>
      <c r="B1106" t="inlineStr">
        <is>
          <t>512820</t>
        </is>
      </c>
      <c r="C1106" t="inlineStr">
        <is>
          <t>银行ETF汇添富</t>
        </is>
      </c>
      <c r="D1106" t="n">
        <v>51910.19</v>
      </c>
      <c r="E1106" t="n">
        <v>49990.19</v>
      </c>
      <c r="F1106" t="n">
        <v>1.562</v>
      </c>
      <c r="G1106" t="n">
        <v>1920</v>
      </c>
      <c r="H1106" t="n">
        <v>7.808467</v>
      </c>
      <c r="I1106" t="n">
        <v>7.272433</v>
      </c>
      <c r="J1106" t="n">
        <v>0.536034</v>
      </c>
      <c r="K1106" s="4">
        <f>IFERROR(J1106/I1106,"")</f>
        <v/>
      </c>
      <c r="L1106" s="4">
        <f>IFERROR((D1106-E1106)/E1106,"")</f>
        <v/>
      </c>
      <c r="M1106" s="19">
        <f>IFERROR(F1106*G1106/10000,"")</f>
        <v/>
      </c>
    </row>
    <row r="1107">
      <c r="A1107" t="inlineStr">
        <is>
          <t>2026-10-30</t>
        </is>
      </c>
      <c r="B1107" t="inlineStr">
        <is>
          <t>512870</t>
        </is>
      </c>
      <c r="C1107" t="inlineStr">
        <is>
          <t>杭州湾区ETF南华</t>
        </is>
      </c>
      <c r="D1107" t="n">
        <v>2241.06</v>
      </c>
      <c r="E1107" t="n">
        <v>2241.06</v>
      </c>
      <c r="F1107" t="n">
        <v>1.274</v>
      </c>
      <c r="G1107" t="n">
        <v>0</v>
      </c>
      <c r="H1107" t="n">
        <v>0.285512</v>
      </c>
      <c r="I1107" t="n">
        <v>0.289321</v>
      </c>
      <c r="J1107" t="n">
        <v>-0.003809</v>
      </c>
      <c r="K1107" s="4">
        <f>IFERROR(J1107/I1107,"")</f>
        <v/>
      </c>
      <c r="L1107" s="4">
        <f>IFERROR((D1107-E1107)/E1107,"")</f>
        <v/>
      </c>
      <c r="M1107" s="19">
        <f>IFERROR(F1107*G1107/10000,"")</f>
        <v/>
      </c>
    </row>
    <row r="1108">
      <c r="A1108" t="inlineStr">
        <is>
          <t>2026-10-30</t>
        </is>
      </c>
      <c r="B1108" t="inlineStr">
        <is>
          <t>512880</t>
        </is>
      </c>
      <c r="C1108" t="inlineStr">
        <is>
          <t>证券ETF国泰</t>
        </is>
      </c>
      <c r="D1108" t="n">
        <v>5605729.15</v>
      </c>
      <c r="E1108" t="n">
        <v>5587729.15</v>
      </c>
      <c r="F1108" t="n">
        <v>0.973</v>
      </c>
      <c r="G1108" t="n">
        <v>18000</v>
      </c>
      <c r="H1108" t="n">
        <v>543.686046</v>
      </c>
      <c r="I1108" t="n">
        <v>553.320652</v>
      </c>
      <c r="J1108" t="n">
        <v>-9.634606</v>
      </c>
      <c r="K1108" s="4">
        <f>IFERROR(J1108/I1108,"")</f>
        <v/>
      </c>
      <c r="L1108" s="4">
        <f>IFERROR((D1108-E1108)/E1108,"")</f>
        <v/>
      </c>
      <c r="M1108" s="19">
        <f>IFERROR(F1108*G1108/10000,"")</f>
        <v/>
      </c>
    </row>
    <row r="1109">
      <c r="A1109" t="inlineStr">
        <is>
          <t>2026-10-30</t>
        </is>
      </c>
      <c r="B1109" t="inlineStr">
        <is>
          <t>512890</t>
        </is>
      </c>
      <c r="C1109" t="inlineStr">
        <is>
          <t>红利低波ETF华泰柏瑞</t>
        </is>
      </c>
      <c r="D1109" t="n">
        <v>2625611.08</v>
      </c>
      <c r="E1109" t="n">
        <v>2642711.08</v>
      </c>
      <c r="F1109" t="n">
        <v>1.236</v>
      </c>
      <c r="G1109" t="n">
        <v>-17100</v>
      </c>
      <c r="H1109" t="n">
        <v>326.639089</v>
      </c>
      <c r="I1109" t="n">
        <v>322.361952</v>
      </c>
      <c r="J1109" t="n">
        <v>4.277137</v>
      </c>
      <c r="K1109" s="4">
        <f>IFERROR(J1109/I1109,"")</f>
        <v/>
      </c>
      <c r="L1109" s="4">
        <f>IFERROR((D1109-E1109)/E1109,"")</f>
        <v/>
      </c>
      <c r="M1109" s="19">
        <f>IFERROR(F1109*G1109/10000,"")</f>
        <v/>
      </c>
    </row>
    <row r="1110">
      <c r="A1110" t="inlineStr">
        <is>
          <t>2026-10-30</t>
        </is>
      </c>
      <c r="B1110" t="inlineStr">
        <is>
          <t>512900</t>
        </is>
      </c>
      <c r="C1110" t="inlineStr">
        <is>
          <t>证券ETF南方</t>
        </is>
      </c>
      <c r="D1110" t="n">
        <v>741740.6</v>
      </c>
      <c r="E1110" t="n">
        <v>740640.6</v>
      </c>
      <c r="F1110" t="n">
        <v>0.965</v>
      </c>
      <c r="G1110" t="n">
        <v>1100</v>
      </c>
      <c r="H1110" t="n">
        <v>71.471818</v>
      </c>
      <c r="I1110" t="n">
        <v>72.780396</v>
      </c>
      <c r="J1110" t="n">
        <v>-1.308578</v>
      </c>
      <c r="K1110" s="4">
        <f>IFERROR(J1110/I1110,"")</f>
        <v/>
      </c>
      <c r="L1110" s="4">
        <f>IFERROR((D1110-E1110)/E1110,"")</f>
        <v/>
      </c>
      <c r="M1110" s="19">
        <f>IFERROR(F1110*G1110/10000,"")</f>
        <v/>
      </c>
    </row>
    <row r="1111">
      <c r="A1111" t="inlineStr">
        <is>
          <t>2026-10-30</t>
        </is>
      </c>
      <c r="B1111" t="inlineStr">
        <is>
          <t>512910</t>
        </is>
      </c>
      <c r="C1111" t="inlineStr">
        <is>
          <t>A100ETF广发</t>
        </is>
      </c>
      <c r="D1111" t="n">
        <v>13112.88</v>
      </c>
      <c r="E1111" t="n">
        <v>13112.88</v>
      </c>
      <c r="F1111" t="n">
        <v>1.16</v>
      </c>
      <c r="G1111" t="n">
        <v>0</v>
      </c>
      <c r="H1111" t="n">
        <v>1.521094</v>
      </c>
      <c r="I1111" t="n">
        <v>1.534207</v>
      </c>
      <c r="J1111" t="n">
        <v>-0.013113</v>
      </c>
      <c r="K1111" s="4">
        <f>IFERROR(J1111/I1111,"")</f>
        <v/>
      </c>
      <c r="L1111" s="4">
        <f>IFERROR((D1111-E1111)/E1111,"")</f>
        <v/>
      </c>
      <c r="M1111" s="19">
        <f>IFERROR(F1111*G1111/10000,"")</f>
        <v/>
      </c>
    </row>
    <row r="1112">
      <c r="A1112" t="inlineStr">
        <is>
          <t>2026-10-30</t>
        </is>
      </c>
      <c r="B1112" t="inlineStr">
        <is>
          <t>512930</t>
        </is>
      </c>
      <c r="C1112" t="inlineStr">
        <is>
          <t>AI人工智能ETF平安</t>
        </is>
      </c>
      <c r="D1112" t="n">
        <v>497252.13</v>
      </c>
      <c r="E1112" t="n">
        <v>492452.13</v>
      </c>
      <c r="F1112" t="n">
        <v>0.5</v>
      </c>
      <c r="G1112" t="n">
        <v>4800</v>
      </c>
      <c r="H1112" t="n">
        <v>24.622607</v>
      </c>
      <c r="I1112" t="n">
        <v>25.781796</v>
      </c>
      <c r="J1112" t="n">
        <v>-1.159189</v>
      </c>
      <c r="K1112" s="4">
        <f>IFERROR(J1112/I1112,"")</f>
        <v/>
      </c>
      <c r="L1112" s="4">
        <f>IFERROR((D1112-E1112)/E1112,"")</f>
        <v/>
      </c>
      <c r="M1112" s="19">
        <f>IFERROR(F1112*G1112/10000,"")</f>
        <v/>
      </c>
    </row>
    <row r="1113">
      <c r="A1113" t="inlineStr">
        <is>
          <t>2026-10-30</t>
        </is>
      </c>
      <c r="B1113" t="inlineStr">
        <is>
          <t>512940</t>
        </is>
      </c>
      <c r="C1113" t="inlineStr">
        <is>
          <t>有色ETF华安</t>
        </is>
      </c>
      <c r="D1113" t="n">
        <v>216470.5</v>
      </c>
      <c r="E1113" t="n">
        <v>216470.5</v>
      </c>
      <c r="F1113" t="n">
        <v>0.653</v>
      </c>
      <c r="G1113" t="n">
        <v>0</v>
      </c>
      <c r="H1113" t="n">
        <v>14.135524</v>
      </c>
      <c r="I1113" t="n">
        <v>14.401938</v>
      </c>
      <c r="J1113" t="n">
        <v>-0.266414</v>
      </c>
      <c r="K1113" s="4">
        <f>IFERROR(J1113/I1113,"")</f>
        <v/>
      </c>
      <c r="L1113" s="4">
        <f>IFERROR((D1113-E1113)/E1113,"")</f>
        <v/>
      </c>
      <c r="M1113" s="19">
        <f>IFERROR(F1113*G1113/10000,"")</f>
        <v/>
      </c>
    </row>
    <row r="1114">
      <c r="A1114" t="inlineStr">
        <is>
          <t>2026-10-30</t>
        </is>
      </c>
      <c r="B1114" t="inlineStr">
        <is>
          <t>512950</t>
        </is>
      </c>
      <c r="C1114" t="inlineStr">
        <is>
          <t>央企改革ETF华夏</t>
        </is>
      </c>
      <c r="D1114" t="n">
        <v>404255.1</v>
      </c>
      <c r="E1114" t="n">
        <v>404255.1</v>
      </c>
      <c r="F1114" t="n">
        <v>1.427</v>
      </c>
      <c r="G1114" t="n">
        <v>0</v>
      </c>
      <c r="H1114" t="n">
        <v>57.687202</v>
      </c>
      <c r="I1114" t="n">
        <v>57.768053</v>
      </c>
      <c r="J1114" t="n">
        <v>-0.08085100000000001</v>
      </c>
      <c r="K1114" s="4">
        <f>IFERROR(J1114/I1114,"")</f>
        <v/>
      </c>
      <c r="L1114" s="4">
        <f>IFERROR((D1114-E1114)/E1114,"")</f>
        <v/>
      </c>
      <c r="M1114" s="19">
        <f>IFERROR(F1114*G1114/10000,"")</f>
        <v/>
      </c>
    </row>
    <row r="1115">
      <c r="A1115" t="inlineStr">
        <is>
          <t>2026-10-30</t>
        </is>
      </c>
      <c r="B1115" t="inlineStr">
        <is>
          <t>512960</t>
        </is>
      </c>
      <c r="C1115" t="inlineStr">
        <is>
          <t>央企结构调整ETF博时</t>
        </is>
      </c>
      <c r="D1115" t="n">
        <v>385425.73</v>
      </c>
      <c r="E1115" t="n">
        <v>385425.73</v>
      </c>
      <c r="F1115" t="n">
        <v>1.384</v>
      </c>
      <c r="G1115" t="n">
        <v>0</v>
      </c>
      <c r="H1115" t="n">
        <v>53.342921</v>
      </c>
      <c r="I1115" t="n">
        <v>53.381463</v>
      </c>
      <c r="J1115" t="n">
        <v>-0.038542</v>
      </c>
      <c r="K1115" s="4">
        <f>IFERROR(J1115/I1115,"")</f>
        <v/>
      </c>
      <c r="L1115" s="4">
        <f>IFERROR((D1115-E1115)/E1115,"")</f>
        <v/>
      </c>
      <c r="M1115" s="19">
        <f>IFERROR(F1115*G1115/10000,"")</f>
        <v/>
      </c>
    </row>
    <row r="1116">
      <c r="A1116" t="inlineStr">
        <is>
          <t>2026-10-30</t>
        </is>
      </c>
      <c r="B1116" t="inlineStr">
        <is>
          <t>512970</t>
        </is>
      </c>
      <c r="C1116" t="inlineStr">
        <is>
          <t>大湾区ETF平安</t>
        </is>
      </c>
      <c r="D1116" t="n">
        <v>998.76</v>
      </c>
      <c r="E1116" t="n">
        <v>998.76</v>
      </c>
      <c r="F1116" t="n">
        <v>1.273</v>
      </c>
      <c r="G1116" t="n">
        <v>0</v>
      </c>
      <c r="H1116" t="n">
        <v>0.127143</v>
      </c>
      <c r="I1116" t="n">
        <v>0.078378</v>
      </c>
      <c r="J1116" t="n">
        <v>0.048765</v>
      </c>
      <c r="K1116" s="4">
        <f>IFERROR(J1116/I1116,"")</f>
        <v/>
      </c>
      <c r="L1116" s="4">
        <f>IFERROR((D1116-E1116)/E1116,"")</f>
        <v/>
      </c>
      <c r="M1116" s="19">
        <f>IFERROR(F1116*G1116/10000,"")</f>
        <v/>
      </c>
    </row>
    <row r="1117">
      <c r="A1117" t="inlineStr">
        <is>
          <t>2026-10-30</t>
        </is>
      </c>
      <c r="B1117" t="inlineStr">
        <is>
          <t>512980</t>
        </is>
      </c>
      <c r="C1117" t="inlineStr">
        <is>
          <t>传媒ETF广发</t>
        </is>
      </c>
      <c r="D1117" t="n">
        <v>674392.4399999999</v>
      </c>
      <c r="E1117" t="n">
        <v>671992.4399999999</v>
      </c>
      <c r="F1117" t="n">
        <v>0.777</v>
      </c>
      <c r="G1117" t="n">
        <v>2400</v>
      </c>
      <c r="H1117" t="n">
        <v>52.213813</v>
      </c>
      <c r="I1117" t="n">
        <v>53.22519</v>
      </c>
      <c r="J1117" t="n">
        <v>-1.011377</v>
      </c>
      <c r="K1117" s="4">
        <f>IFERROR(J1117/I1117,"")</f>
        <v/>
      </c>
      <c r="L1117" s="4">
        <f>IFERROR((D1117-E1117)/E1117,"")</f>
        <v/>
      </c>
      <c r="M1117" s="19">
        <f>IFERROR(F1117*G1117/10000,"")</f>
        <v/>
      </c>
    </row>
    <row r="1118">
      <c r="A1118" t="inlineStr">
        <is>
          <t>2026-10-30</t>
        </is>
      </c>
      <c r="B1118" t="inlineStr">
        <is>
          <t>512990</t>
        </is>
      </c>
      <c r="C1118" t="inlineStr">
        <is>
          <t>MSCIA股ETF华夏</t>
        </is>
      </c>
      <c r="D1118" t="n">
        <v>10301.54</v>
      </c>
      <c r="E1118" t="n">
        <v>10301.54</v>
      </c>
      <c r="F1118" t="n">
        <v>1.774</v>
      </c>
      <c r="G1118" t="n">
        <v>0</v>
      </c>
      <c r="H1118" t="n">
        <v>1.827494</v>
      </c>
      <c r="I1118" t="n">
        <v>1.850157</v>
      </c>
      <c r="J1118" t="n">
        <v>-0.022663</v>
      </c>
      <c r="K1118" s="4">
        <f>IFERROR(J1118/I1118,"")</f>
        <v/>
      </c>
      <c r="L1118" s="4">
        <f>IFERROR((D1118-E1118)/E1118,"")</f>
        <v/>
      </c>
      <c r="M1118" s="19">
        <f>IFERROR(F1118*G1118/10000,"")</f>
        <v/>
      </c>
    </row>
    <row r="1119">
      <c r="A1119" t="inlineStr">
        <is>
          <t>2026-10-30</t>
        </is>
      </c>
      <c r="B1119" t="inlineStr">
        <is>
          <t>513000</t>
        </is>
      </c>
      <c r="C1119" t="inlineStr">
        <is>
          <t>日经225ETF易方达</t>
        </is>
      </c>
      <c r="D1119" t="n">
        <v>108291.14</v>
      </c>
      <c r="E1119" t="n">
        <v>108241.14</v>
      </c>
      <c r="F1119" t="n">
        <v>2.223</v>
      </c>
      <c r="G1119" t="n">
        <v>50</v>
      </c>
      <c r="H1119" t="n">
        <v>24.062005</v>
      </c>
      <c r="I1119" t="n">
        <v>24.061709</v>
      </c>
      <c r="J1119" t="n">
        <v>0.000296</v>
      </c>
      <c r="K1119" s="4">
        <f>IFERROR(J1119/I1119,"")</f>
        <v/>
      </c>
      <c r="L1119" s="4">
        <f>IFERROR((D1119-E1119)/E1119,"")</f>
        <v/>
      </c>
      <c r="M1119" s="19">
        <f>IFERROR(F1119*G1119/10000,"")</f>
        <v/>
      </c>
    </row>
    <row r="1120">
      <c r="A1120" t="inlineStr">
        <is>
          <t>2026-10-30</t>
        </is>
      </c>
      <c r="B1120" t="inlineStr">
        <is>
          <t>513010</t>
        </is>
      </c>
      <c r="C1120" t="inlineStr">
        <is>
          <t>恒生科技ETF易方达</t>
        </is>
      </c>
      <c r="D1120" t="n">
        <v>4585930.7</v>
      </c>
      <c r="E1120" t="n">
        <v>4585930.7</v>
      </c>
      <c r="F1120" t="n">
        <v>0.484</v>
      </c>
      <c r="G1120" t="n">
        <v>0</v>
      </c>
      <c r="H1120" t="n">
        <v>221.959046</v>
      </c>
      <c r="I1120" t="n">
        <v>227.00357</v>
      </c>
      <c r="J1120" t="n">
        <v>-5.044524</v>
      </c>
      <c r="K1120" s="4">
        <f>IFERROR(J1120/I1120,"")</f>
        <v/>
      </c>
      <c r="L1120" s="4">
        <f>IFERROR((D1120-E1120)/E1120,"")</f>
        <v/>
      </c>
      <c r="M1120" s="19">
        <f>IFERROR(F1120*G1120/10000,"")</f>
        <v/>
      </c>
    </row>
    <row r="1121">
      <c r="A1121" t="inlineStr">
        <is>
          <t>2026-10-30</t>
        </is>
      </c>
      <c r="B1121" t="inlineStr">
        <is>
          <t>513020</t>
        </is>
      </c>
      <c r="C1121" t="inlineStr">
        <is>
          <t>港股科技ETF国泰</t>
        </is>
      </c>
      <c r="D1121" t="n">
        <v>231514.54</v>
      </c>
      <c r="E1121" t="n">
        <v>231614.54</v>
      </c>
      <c r="F1121" t="n">
        <v>0.77</v>
      </c>
      <c r="G1121" t="n">
        <v>-100</v>
      </c>
      <c r="H1121" t="n">
        <v>17.83432</v>
      </c>
      <c r="I1121" t="n">
        <v>18.243346</v>
      </c>
      <c r="J1121" t="n">
        <v>-0.409026</v>
      </c>
      <c r="K1121" s="4">
        <f>IFERROR(J1121/I1121,"")</f>
        <v/>
      </c>
      <c r="L1121" s="4">
        <f>IFERROR((D1121-E1121)/E1121,"")</f>
        <v/>
      </c>
      <c r="M1121" s="19">
        <f>IFERROR(F1121*G1121/10000,"")</f>
        <v/>
      </c>
    </row>
    <row r="1122">
      <c r="A1122" t="inlineStr">
        <is>
          <t>2026-10-30</t>
        </is>
      </c>
      <c r="B1122" t="inlineStr">
        <is>
          <t>513030</t>
        </is>
      </c>
      <c r="C1122" t="inlineStr">
        <is>
          <t>德国ETF华安</t>
        </is>
      </c>
      <c r="D1122" t="n">
        <v>105377.9</v>
      </c>
      <c r="E1122" t="n">
        <v>105277.9</v>
      </c>
      <c r="F1122" t="n">
        <v>1.767</v>
      </c>
      <c r="G1122" t="n">
        <v>100</v>
      </c>
      <c r="H1122" t="n">
        <v>18.602605</v>
      </c>
      <c r="I1122" t="n">
        <v>18.395615</v>
      </c>
      <c r="J1122" t="n">
        <v>0.20699</v>
      </c>
      <c r="K1122" s="4">
        <f>IFERROR(J1122/I1122,"")</f>
        <v/>
      </c>
      <c r="L1122" s="4">
        <f>IFERROR((D1122-E1122)/E1122,"")</f>
        <v/>
      </c>
      <c r="M1122" s="19">
        <f>IFERROR(F1122*G1122/10000,"")</f>
        <v/>
      </c>
    </row>
    <row r="1123">
      <c r="A1123" t="inlineStr">
        <is>
          <t>2026-10-30</t>
        </is>
      </c>
      <c r="B1123" t="inlineStr">
        <is>
          <t>513040</t>
        </is>
      </c>
      <c r="C1123" t="inlineStr">
        <is>
          <t>港股通互联网ETF易方达</t>
        </is>
      </c>
      <c r="D1123" t="n">
        <v>609984.13</v>
      </c>
      <c r="E1123" t="n">
        <v>627184.13</v>
      </c>
      <c r="F1123" t="n">
        <v>0.792</v>
      </c>
      <c r="G1123" t="n">
        <v>-17200</v>
      </c>
      <c r="H1123" t="n">
        <v>49.672983</v>
      </c>
      <c r="I1123" t="n">
        <v>52.126771</v>
      </c>
      <c r="J1123" t="n">
        <v>-2.453788</v>
      </c>
      <c r="K1123" s="4">
        <f>IFERROR(J1123/I1123,"")</f>
        <v/>
      </c>
      <c r="L1123" s="4">
        <f>IFERROR((D1123-E1123)/E1123,"")</f>
        <v/>
      </c>
      <c r="M1123" s="19">
        <f>IFERROR(F1123*G1123/10000,"")</f>
        <v/>
      </c>
    </row>
    <row r="1124">
      <c r="A1124" t="inlineStr">
        <is>
          <t>2026-10-30</t>
        </is>
      </c>
      <c r="B1124" t="inlineStr">
        <is>
          <t>513050</t>
        </is>
      </c>
      <c r="C1124" t="inlineStr">
        <is>
          <t>中概互联网ETF易方达</t>
        </is>
      </c>
      <c r="D1124" t="n">
        <v>3574843.27</v>
      </c>
      <c r="E1124" t="n">
        <v>3572343.27</v>
      </c>
      <c r="F1124" t="n">
        <v>0.92</v>
      </c>
      <c r="G1124" t="n">
        <v>2500</v>
      </c>
      <c r="H1124" t="n">
        <v>328.655581</v>
      </c>
      <c r="I1124" t="n">
        <v>334.719195</v>
      </c>
      <c r="J1124" t="n">
        <v>-6.063614</v>
      </c>
      <c r="K1124" s="4">
        <f>IFERROR(J1124/I1124,"")</f>
        <v/>
      </c>
      <c r="L1124" s="4">
        <f>IFERROR((D1124-E1124)/E1124,"")</f>
        <v/>
      </c>
      <c r="M1124" s="19">
        <f>IFERROR(F1124*G1124/10000,"")</f>
        <v/>
      </c>
    </row>
    <row r="1125">
      <c r="A1125" t="inlineStr">
        <is>
          <t>2026-10-30</t>
        </is>
      </c>
      <c r="B1125" t="inlineStr">
        <is>
          <t>513060</t>
        </is>
      </c>
      <c r="C1125" t="inlineStr">
        <is>
          <t>恒生医疗ETF博时</t>
        </is>
      </c>
      <c r="D1125" t="n">
        <v>836039.33</v>
      </c>
      <c r="E1125" t="n">
        <v>836039.33</v>
      </c>
      <c r="F1125" t="n">
        <v>0.521</v>
      </c>
      <c r="G1125" t="n">
        <v>0</v>
      </c>
      <c r="H1125" t="n">
        <v>43.557649</v>
      </c>
      <c r="I1125" t="n">
        <v>43.641253</v>
      </c>
      <c r="J1125" t="n">
        <v>-0.083604</v>
      </c>
      <c r="K1125" s="4">
        <f>IFERROR(J1125/I1125,"")</f>
        <v/>
      </c>
      <c r="L1125" s="4">
        <f>IFERROR((D1125-E1125)/E1125,"")</f>
        <v/>
      </c>
      <c r="M1125" s="19">
        <f>IFERROR(F1125*G1125/10000,"")</f>
        <v/>
      </c>
    </row>
    <row r="1126">
      <c r="A1126" t="inlineStr">
        <is>
          <t>2026-10-30</t>
        </is>
      </c>
      <c r="B1126" t="inlineStr">
        <is>
          <t>513070</t>
        </is>
      </c>
      <c r="C1126" t="inlineStr">
        <is>
          <t>港股通消费ETF易方达</t>
        </is>
      </c>
      <c r="D1126" t="n">
        <v>141376.08</v>
      </c>
      <c r="E1126" t="n">
        <v>141876.08</v>
      </c>
      <c r="F1126" t="n">
        <v>0.993</v>
      </c>
      <c r="G1126" t="n">
        <v>-500</v>
      </c>
      <c r="H1126" t="n">
        <v>14.088295</v>
      </c>
      <c r="I1126" t="n">
        <v>14.350983</v>
      </c>
      <c r="J1126" t="n">
        <v>-0.262688</v>
      </c>
      <c r="K1126" s="4">
        <f>IFERROR(J1126/I1126,"")</f>
        <v/>
      </c>
      <c r="L1126" s="4">
        <f>IFERROR((D1126-E1126)/E1126,"")</f>
        <v/>
      </c>
      <c r="M1126" s="19">
        <f>IFERROR(F1126*G1126/10000,"")</f>
        <v/>
      </c>
    </row>
    <row r="1127">
      <c r="A1127" t="inlineStr">
        <is>
          <t>2026-10-30</t>
        </is>
      </c>
      <c r="B1127" t="inlineStr">
        <is>
          <t>513080</t>
        </is>
      </c>
      <c r="C1127" t="inlineStr">
        <is>
          <t>法国ETF华安</t>
        </is>
      </c>
      <c r="D1127" t="n">
        <v>72491.60000000001</v>
      </c>
      <c r="E1127" t="n">
        <v>72191.60000000001</v>
      </c>
      <c r="F1127" t="n">
        <v>1.599</v>
      </c>
      <c r="G1127" t="n">
        <v>300</v>
      </c>
      <c r="H1127" t="n">
        <v>11.543437</v>
      </c>
      <c r="I1127" t="n">
        <v>11.452332</v>
      </c>
      <c r="J1127" t="n">
        <v>0.09110500000000001</v>
      </c>
      <c r="K1127" s="4">
        <f>IFERROR(J1127/I1127,"")</f>
        <v/>
      </c>
      <c r="L1127" s="4">
        <f>IFERROR((D1127-E1127)/E1127,"")</f>
        <v/>
      </c>
      <c r="M1127" s="19">
        <f>IFERROR(F1127*G1127/10000,"")</f>
        <v/>
      </c>
    </row>
    <row r="1128">
      <c r="A1128" t="inlineStr">
        <is>
          <t>2026-10-30</t>
        </is>
      </c>
      <c r="B1128" t="inlineStr">
        <is>
          <t>513090</t>
        </is>
      </c>
      <c r="C1128" t="inlineStr">
        <is>
          <t>香港证券ETF易方达</t>
        </is>
      </c>
      <c r="D1128" t="n">
        <v>999098.8</v>
      </c>
      <c r="E1128" t="n">
        <v>999298.8</v>
      </c>
      <c r="F1128" t="n">
        <v>1.545</v>
      </c>
      <c r="G1128" t="n">
        <v>-200</v>
      </c>
      <c r="H1128" t="n">
        <v>154.391665</v>
      </c>
      <c r="I1128" t="n">
        <v>158.260235</v>
      </c>
      <c r="J1128" t="n">
        <v>-3.86857</v>
      </c>
      <c r="K1128" s="4">
        <f>IFERROR(J1128/I1128,"")</f>
        <v/>
      </c>
      <c r="L1128" s="4">
        <f>IFERROR((D1128-E1128)/E1128,"")</f>
        <v/>
      </c>
      <c r="M1128" s="19">
        <f>IFERROR(F1128*G1128/10000,"")</f>
        <v/>
      </c>
    </row>
    <row r="1129">
      <c r="A1129" t="inlineStr">
        <is>
          <t>2026-10-30</t>
        </is>
      </c>
      <c r="B1129" t="inlineStr">
        <is>
          <t>513100</t>
        </is>
      </c>
      <c r="C1129" t="inlineStr">
        <is>
          <t>纳指ETF国泰</t>
        </is>
      </c>
      <c r="D1129" t="n">
        <v>968461.0600000001</v>
      </c>
      <c r="E1129" t="n">
        <v>968461.0600000001</v>
      </c>
      <c r="F1129" t="n">
        <v>2.29</v>
      </c>
      <c r="G1129" t="n">
        <v>0</v>
      </c>
      <c r="H1129" t="n">
        <v>221.777583</v>
      </c>
      <c r="I1129" t="n">
        <v>224.198735</v>
      </c>
      <c r="J1129" t="n">
        <v>-2.421152</v>
      </c>
      <c r="K1129" s="4">
        <f>IFERROR(J1129/I1129,"")</f>
        <v/>
      </c>
      <c r="L1129" s="4">
        <f>IFERROR((D1129-E1129)/E1129,"")</f>
        <v/>
      </c>
      <c r="M1129" s="19">
        <f>IFERROR(F1129*G1129/10000,"")</f>
        <v/>
      </c>
    </row>
    <row r="1130">
      <c r="A1130" t="inlineStr">
        <is>
          <t>2026-10-30</t>
        </is>
      </c>
      <c r="B1130" t="inlineStr">
        <is>
          <t>513110</t>
        </is>
      </c>
      <c r="C1130" t="inlineStr">
        <is>
          <t>纳指ETF华泰柏瑞</t>
        </is>
      </c>
      <c r="D1130" t="n">
        <v>225043.5</v>
      </c>
      <c r="E1130" t="n">
        <v>224843.5</v>
      </c>
      <c r="F1130" t="n">
        <v>2.528</v>
      </c>
      <c r="G1130" t="n">
        <v>200</v>
      </c>
      <c r="H1130" t="n">
        <v>56.840437</v>
      </c>
      <c r="I1130" t="n">
        <v>57.329021</v>
      </c>
      <c r="J1130" t="n">
        <v>-0.488584</v>
      </c>
      <c r="K1130" s="4">
        <f>IFERROR(J1130/I1130,"")</f>
        <v/>
      </c>
      <c r="L1130" s="4">
        <f>IFERROR((D1130-E1130)/E1130,"")</f>
        <v/>
      </c>
      <c r="M1130" s="19">
        <f>IFERROR(F1130*G1130/10000,"")</f>
        <v/>
      </c>
    </row>
    <row r="1131">
      <c r="A1131" t="inlineStr">
        <is>
          <t>2026-10-30</t>
        </is>
      </c>
      <c r="B1131" t="inlineStr">
        <is>
          <t>513120</t>
        </is>
      </c>
      <c r="C1131" t="inlineStr">
        <is>
          <t>港股创新药ETF广发</t>
        </is>
      </c>
      <c r="D1131" t="n">
        <v>1600113.54</v>
      </c>
      <c r="E1131" t="n">
        <v>1624113.54</v>
      </c>
      <c r="F1131" t="n">
        <v>1.187</v>
      </c>
      <c r="G1131" t="n">
        <v>-24000</v>
      </c>
      <c r="H1131" t="n">
        <v>192.782277</v>
      </c>
      <c r="I1131" t="n">
        <v>195.362269</v>
      </c>
      <c r="J1131" t="n">
        <v>-2.579992</v>
      </c>
      <c r="K1131" s="4">
        <f>IFERROR(J1131/I1131,"")</f>
        <v/>
      </c>
      <c r="L1131" s="4">
        <f>IFERROR((D1131-E1131)/E1131,"")</f>
        <v/>
      </c>
      <c r="M1131" s="19">
        <f>IFERROR(F1131*G1131/10000,"")</f>
        <v/>
      </c>
    </row>
    <row r="1132">
      <c r="A1132" t="inlineStr">
        <is>
          <t>2026-10-30</t>
        </is>
      </c>
      <c r="B1132" t="inlineStr">
        <is>
          <t>513130</t>
        </is>
      </c>
      <c r="C1132" t="inlineStr">
        <is>
          <t>恒生科技ETF华泰柏瑞</t>
        </is>
      </c>
      <c r="D1132" t="n">
        <v>6313534.7</v>
      </c>
      <c r="E1132" t="n">
        <v>6299134.7</v>
      </c>
      <c r="F1132" t="n">
        <v>0.463</v>
      </c>
      <c r="G1132" t="n">
        <v>14400</v>
      </c>
      <c r="H1132" t="n">
        <v>291.649937</v>
      </c>
      <c r="I1132" t="n">
        <v>297.944341</v>
      </c>
      <c r="J1132" t="n">
        <v>-6.294404</v>
      </c>
      <c r="K1132" s="4">
        <f>IFERROR(J1132/I1132,"")</f>
        <v/>
      </c>
      <c r="L1132" s="4">
        <f>IFERROR((D1132-E1132)/E1132,"")</f>
        <v/>
      </c>
      <c r="M1132" s="19">
        <f>IFERROR(F1132*G1132/10000,"")</f>
        <v/>
      </c>
    </row>
    <row r="1133">
      <c r="A1133" t="inlineStr">
        <is>
          <t>2026-10-30</t>
        </is>
      </c>
      <c r="B1133" t="inlineStr">
        <is>
          <t>513140</t>
        </is>
      </c>
      <c r="C1133" t="inlineStr">
        <is>
          <t>港股通金融ETF华泰柏瑞</t>
        </is>
      </c>
      <c r="D1133" t="n">
        <v>7936.8</v>
      </c>
      <c r="E1133" t="n">
        <v>7936.8</v>
      </c>
      <c r="F1133" t="n">
        <v>1.642</v>
      </c>
      <c r="G1133" t="n">
        <v>0</v>
      </c>
      <c r="H1133" t="n">
        <v>1.303223</v>
      </c>
      <c r="I1133" t="n">
        <v>1.287349</v>
      </c>
      <c r="J1133" t="n">
        <v>0.015874</v>
      </c>
      <c r="K1133" s="4">
        <f>IFERROR(J1133/I1133,"")</f>
        <v/>
      </c>
      <c r="L1133" s="4">
        <f>IFERROR((D1133-E1133)/E1133,"")</f>
        <v/>
      </c>
      <c r="M1133" s="19">
        <f>IFERROR(F1133*G1133/10000,"")</f>
        <v/>
      </c>
    </row>
    <row r="1134">
      <c r="A1134" t="inlineStr">
        <is>
          <t>2026-10-30</t>
        </is>
      </c>
      <c r="B1134" t="inlineStr">
        <is>
          <t>513150</t>
        </is>
      </c>
      <c r="C1134" t="inlineStr">
        <is>
          <t>港股通科技ETF华泰柏瑞</t>
        </is>
      </c>
      <c r="D1134" t="n">
        <v>10305.98</v>
      </c>
      <c r="E1134" t="n">
        <v>10305.98</v>
      </c>
      <c r="F1134" t="n">
        <v>0.786</v>
      </c>
      <c r="G1134" t="n">
        <v>0</v>
      </c>
      <c r="H1134" t="n">
        <v>0.81005</v>
      </c>
      <c r="I1134" t="n">
        <v>0.825509</v>
      </c>
      <c r="J1134" t="n">
        <v>-0.015459</v>
      </c>
      <c r="K1134" s="4">
        <f>IFERROR(J1134/I1134,"")</f>
        <v/>
      </c>
      <c r="L1134" s="4">
        <f>IFERROR((D1134-E1134)/E1134,"")</f>
        <v/>
      </c>
      <c r="M1134" s="19">
        <f>IFERROR(F1134*G1134/10000,"")</f>
        <v/>
      </c>
    </row>
    <row r="1135">
      <c r="A1135" t="inlineStr">
        <is>
          <t>2026-10-30</t>
        </is>
      </c>
      <c r="B1135" t="inlineStr">
        <is>
          <t>513160</t>
        </is>
      </c>
      <c r="C1135" t="inlineStr">
        <is>
          <t>港股科技ETF银华</t>
        </is>
      </c>
      <c r="D1135" t="n">
        <v>306318.93</v>
      </c>
      <c r="E1135" t="n">
        <v>306318.93</v>
      </c>
      <c r="F1135" t="n">
        <v>0.775</v>
      </c>
      <c r="G1135" t="n">
        <v>0</v>
      </c>
      <c r="H1135" t="n">
        <v>23.739717</v>
      </c>
      <c r="I1135" t="n">
        <v>24.414826</v>
      </c>
      <c r="J1135" t="n">
        <v>-0.675109</v>
      </c>
      <c r="K1135" s="4">
        <f>IFERROR(J1135/I1135,"")</f>
        <v/>
      </c>
      <c r="L1135" s="4">
        <f>IFERROR((D1135-E1135)/E1135,"")</f>
        <v/>
      </c>
      <c r="M1135" s="19">
        <f>IFERROR(F1135*G1135/10000,"")</f>
        <v/>
      </c>
    </row>
    <row r="1136">
      <c r="A1136" t="inlineStr">
        <is>
          <t>2026-10-30</t>
        </is>
      </c>
      <c r="B1136" t="inlineStr">
        <is>
          <t>513170</t>
        </is>
      </c>
      <c r="C1136" t="inlineStr">
        <is>
          <t>恒生央企ETF鹏华</t>
        </is>
      </c>
      <c r="D1136" t="n">
        <v>14557.3</v>
      </c>
      <c r="E1136" t="n">
        <v>14557.3</v>
      </c>
      <c r="F1136" t="n">
        <v>1.506</v>
      </c>
      <c r="G1136" t="n">
        <v>0</v>
      </c>
      <c r="H1136" t="n">
        <v>2.192329</v>
      </c>
      <c r="I1136" t="n">
        <v>2.183595</v>
      </c>
      <c r="J1136" t="n">
        <v>0.008734</v>
      </c>
      <c r="K1136" s="4">
        <f>IFERROR(J1136/I1136,"")</f>
        <v/>
      </c>
      <c r="L1136" s="4">
        <f>IFERROR((D1136-E1136)/E1136,"")</f>
        <v/>
      </c>
      <c r="M1136" s="19">
        <f>IFERROR(F1136*G1136/10000,"")</f>
        <v/>
      </c>
    </row>
    <row r="1137">
      <c r="A1137" t="inlineStr">
        <is>
          <t>2026-10-30</t>
        </is>
      </c>
      <c r="B1137" t="inlineStr">
        <is>
          <t>513180</t>
        </is>
      </c>
      <c r="C1137" t="inlineStr">
        <is>
          <t>恒生科技ETF华夏</t>
        </is>
      </c>
      <c r="D1137" t="n">
        <v>7407875.95</v>
      </c>
      <c r="E1137" t="n">
        <v>7407875.95</v>
      </c>
      <c r="F1137" t="n">
        <v>0.47</v>
      </c>
      <c r="G1137" t="n">
        <v>0</v>
      </c>
      <c r="H1137" t="n">
        <v>348.17017</v>
      </c>
      <c r="I1137" t="n">
        <v>355.573246</v>
      </c>
      <c r="J1137" t="n">
        <v>-7.403076</v>
      </c>
      <c r="K1137" s="4">
        <f>IFERROR(J1137/I1137,"")</f>
        <v/>
      </c>
      <c r="L1137" s="4">
        <f>IFERROR((D1137-E1137)/E1137,"")</f>
        <v/>
      </c>
      <c r="M1137" s="19">
        <f>IFERROR(F1137*G1137/10000,"")</f>
        <v/>
      </c>
    </row>
    <row r="1138">
      <c r="A1138" t="inlineStr">
        <is>
          <t>2026-10-30</t>
        </is>
      </c>
      <c r="B1138" t="inlineStr">
        <is>
          <t>513190</t>
        </is>
      </c>
      <c r="C1138" t="inlineStr">
        <is>
          <t>港股通金融ETF华夏</t>
        </is>
      </c>
      <c r="D1138" t="n">
        <v>108593.6</v>
      </c>
      <c r="E1138" t="n">
        <v>108493.6</v>
      </c>
      <c r="F1138" t="n">
        <v>1.807</v>
      </c>
      <c r="G1138" t="n">
        <v>100</v>
      </c>
      <c r="H1138" t="n">
        <v>19.604794</v>
      </c>
      <c r="I1138" t="n">
        <v>19.257614</v>
      </c>
      <c r="J1138" t="n">
        <v>0.34718</v>
      </c>
      <c r="K1138" s="4">
        <f>IFERROR(J1138/I1138,"")</f>
        <v/>
      </c>
      <c r="L1138" s="4">
        <f>IFERROR((D1138-E1138)/E1138,"")</f>
        <v/>
      </c>
      <c r="M1138" s="19">
        <f>IFERROR(F1138*G1138/10000,"")</f>
        <v/>
      </c>
    </row>
    <row r="1139">
      <c r="A1139" t="inlineStr">
        <is>
          <t>2026-10-30</t>
        </is>
      </c>
      <c r="B1139" t="inlineStr">
        <is>
          <t>513200</t>
        </is>
      </c>
      <c r="C1139" t="inlineStr">
        <is>
          <t>港股通医药ETF易方达</t>
        </is>
      </c>
      <c r="D1139" t="n">
        <v>80528.21000000001</v>
      </c>
      <c r="E1139" t="n">
        <v>80528.21000000001</v>
      </c>
      <c r="F1139" t="n">
        <v>0.987</v>
      </c>
      <c r="G1139" t="n">
        <v>0</v>
      </c>
      <c r="H1139" t="n">
        <v>7.948134</v>
      </c>
      <c r="I1139" t="n">
        <v>7.96424</v>
      </c>
      <c r="J1139" t="n">
        <v>-0.016106</v>
      </c>
      <c r="K1139" s="4">
        <f>IFERROR(J1139/I1139,"")</f>
        <v/>
      </c>
      <c r="L1139" s="4">
        <f>IFERROR((D1139-E1139)/E1139,"")</f>
        <v/>
      </c>
      <c r="M1139" s="19">
        <f>IFERROR(F1139*G1139/10000,"")</f>
        <v/>
      </c>
    </row>
    <row r="1140">
      <c r="A1140" t="inlineStr">
        <is>
          <t>2026-10-30</t>
        </is>
      </c>
      <c r="B1140" t="inlineStr">
        <is>
          <t>513210</t>
        </is>
      </c>
      <c r="C1140" t="inlineStr">
        <is>
          <t>恒生ETF易方达</t>
        </is>
      </c>
      <c r="D1140" t="n">
        <v>3894.2</v>
      </c>
      <c r="E1140" t="n">
        <v>3894.2</v>
      </c>
      <c r="F1140" t="n">
        <v>1.359</v>
      </c>
      <c r="G1140" t="n">
        <v>0</v>
      </c>
      <c r="H1140" t="n">
        <v>0.529222</v>
      </c>
      <c r="I1140" t="n">
        <v>0.5296110000000001</v>
      </c>
      <c r="J1140" t="n">
        <v>-0.000389</v>
      </c>
      <c r="K1140" s="4">
        <f>IFERROR(J1140/I1140,"")</f>
        <v/>
      </c>
      <c r="L1140" s="4">
        <f>IFERROR((D1140-E1140)/E1140,"")</f>
        <v/>
      </c>
      <c r="M1140" s="19">
        <f>IFERROR(F1140*G1140/10000,"")</f>
        <v/>
      </c>
    </row>
    <row r="1141">
      <c r="A1141" t="inlineStr">
        <is>
          <t>2026-10-30</t>
        </is>
      </c>
      <c r="B1141" t="inlineStr">
        <is>
          <t>513220</t>
        </is>
      </c>
      <c r="C1141" t="inlineStr">
        <is>
          <t>中概互联ETF招商</t>
        </is>
      </c>
      <c r="D1141" t="n">
        <v>54010.94</v>
      </c>
      <c r="E1141" t="n">
        <v>54010.94</v>
      </c>
      <c r="F1141" t="n">
        <v>0.82</v>
      </c>
      <c r="G1141" t="n">
        <v>0</v>
      </c>
      <c r="H1141" t="n">
        <v>4.428897</v>
      </c>
      <c r="I1141" t="n">
        <v>4.488309</v>
      </c>
      <c r="J1141" t="n">
        <v>-0.059412</v>
      </c>
      <c r="K1141" s="4">
        <f>IFERROR(J1141/I1141,"")</f>
        <v/>
      </c>
      <c r="L1141" s="4">
        <f>IFERROR((D1141-E1141)/E1141,"")</f>
        <v/>
      </c>
      <c r="M1141" s="19">
        <f>IFERROR(F1141*G1141/10000,"")</f>
        <v/>
      </c>
    </row>
    <row r="1142">
      <c r="A1142" t="inlineStr">
        <is>
          <t>2026-10-30</t>
        </is>
      </c>
      <c r="B1142" t="inlineStr">
        <is>
          <t>513230</t>
        </is>
      </c>
      <c r="C1142" t="inlineStr">
        <is>
          <t>港股通消费ETF华夏</t>
        </is>
      </c>
      <c r="D1142" t="n">
        <v>32942.27</v>
      </c>
      <c r="E1142" t="n">
        <v>32942.27</v>
      </c>
      <c r="F1142" t="n">
        <v>0.783</v>
      </c>
      <c r="G1142" t="n">
        <v>0</v>
      </c>
      <c r="H1142" t="n">
        <v>2.57938</v>
      </c>
      <c r="I1142" t="n">
        <v>2.585968</v>
      </c>
      <c r="J1142" t="n">
        <v>-0.006588</v>
      </c>
      <c r="K1142" s="4">
        <f>IFERROR(J1142/I1142,"")</f>
        <v/>
      </c>
      <c r="L1142" s="4">
        <f>IFERROR((D1142-E1142)/E1142,"")</f>
        <v/>
      </c>
      <c r="M1142" s="19">
        <f>IFERROR(F1142*G1142/10000,"")</f>
        <v/>
      </c>
    </row>
    <row r="1143">
      <c r="A1143" t="inlineStr">
        <is>
          <t>2026-10-30</t>
        </is>
      </c>
      <c r="B1143" t="inlineStr">
        <is>
          <t>513240</t>
        </is>
      </c>
      <c r="C1143" t="inlineStr">
        <is>
          <t>港股通信息技术ETF华安</t>
        </is>
      </c>
      <c r="D1143" t="n">
        <v>10149.6</v>
      </c>
      <c r="E1143" t="n">
        <v>10149.6</v>
      </c>
      <c r="F1143" t="n">
        <v>0.793</v>
      </c>
      <c r="G1143" t="n">
        <v>0</v>
      </c>
      <c r="H1143" t="n">
        <v>0.804863</v>
      </c>
      <c r="I1143" t="n">
        <v>0.840387</v>
      </c>
      <c r="J1143" t="n">
        <v>-0.035524</v>
      </c>
      <c r="K1143" s="4">
        <f>IFERROR(J1143/I1143,"")</f>
        <v/>
      </c>
      <c r="L1143" s="4">
        <f>IFERROR((D1143-E1143)/E1143,"")</f>
        <v/>
      </c>
      <c r="M1143" s="19">
        <f>IFERROR(F1143*G1143/10000,"")</f>
        <v/>
      </c>
    </row>
    <row r="1144">
      <c r="A1144" t="inlineStr">
        <is>
          <t>2026-10-30</t>
        </is>
      </c>
      <c r="B1144" t="inlineStr">
        <is>
          <t>513260</t>
        </is>
      </c>
      <c r="C1144" t="inlineStr">
        <is>
          <t>恒生科技ETF汇添富</t>
        </is>
      </c>
      <c r="D1144" t="n">
        <v>522424.3</v>
      </c>
      <c r="E1144" t="n">
        <v>522424.3</v>
      </c>
      <c r="F1144" t="n">
        <v>0.903</v>
      </c>
      <c r="G1144" t="n">
        <v>0</v>
      </c>
      <c r="H1144" t="n">
        <v>47.174914</v>
      </c>
      <c r="I1144" t="n">
        <v>48.238223</v>
      </c>
      <c r="J1144" t="n">
        <v>-1.063309</v>
      </c>
      <c r="K1144" s="4">
        <f>IFERROR(J1144/I1144,"")</f>
        <v/>
      </c>
      <c r="L1144" s="4">
        <f>IFERROR((D1144-E1144)/E1144,"")</f>
        <v/>
      </c>
      <c r="M1144" s="19">
        <f>IFERROR(F1144*G1144/10000,"")</f>
        <v/>
      </c>
    </row>
    <row r="1145">
      <c r="A1145" t="inlineStr">
        <is>
          <t>2026-10-30</t>
        </is>
      </c>
      <c r="B1145" t="inlineStr">
        <is>
          <t>513280</t>
        </is>
      </c>
      <c r="C1145" t="inlineStr">
        <is>
          <t>恒生生物科技ETF汇添富</t>
        </is>
      </c>
      <c r="D1145" t="n">
        <v>32211.45</v>
      </c>
      <c r="E1145" t="n">
        <v>32211.45</v>
      </c>
      <c r="F1145" t="n">
        <v>1.025</v>
      </c>
      <c r="G1145" t="n">
        <v>0</v>
      </c>
      <c r="H1145" t="n">
        <v>3.301673</v>
      </c>
      <c r="I1145" t="n">
        <v>3.308692</v>
      </c>
      <c r="J1145" t="n">
        <v>-0.007019</v>
      </c>
      <c r="K1145" s="4">
        <f>IFERROR(J1145/I1145,"")</f>
        <v/>
      </c>
      <c r="L1145" s="4">
        <f>IFERROR((D1145-E1145)/E1145,"")</f>
        <v/>
      </c>
      <c r="M1145" s="19">
        <f>IFERROR(F1145*G1145/10000,"")</f>
        <v/>
      </c>
    </row>
    <row r="1146">
      <c r="A1146" t="inlineStr">
        <is>
          <t>2026-10-30</t>
        </is>
      </c>
      <c r="B1146" t="inlineStr">
        <is>
          <t>513290</t>
        </is>
      </c>
      <c r="C1146" t="inlineStr">
        <is>
          <t>纳指生物科技ETF汇添富</t>
        </is>
      </c>
      <c r="D1146" t="n">
        <v>107907.21</v>
      </c>
      <c r="E1146" t="n">
        <v>107857.21</v>
      </c>
      <c r="F1146" t="n">
        <v>1.875</v>
      </c>
      <c r="G1146" t="n">
        <v>50</v>
      </c>
      <c r="H1146" t="n">
        <v>20.223227</v>
      </c>
      <c r="I1146" t="n">
        <v>19.631693</v>
      </c>
      <c r="J1146" t="n">
        <v>0.591534</v>
      </c>
      <c r="K1146" s="4">
        <f>IFERROR(J1146/I1146,"")</f>
        <v/>
      </c>
      <c r="L1146" s="4">
        <f>IFERROR((D1146-E1146)/E1146,"")</f>
        <v/>
      </c>
      <c r="M1146" s="19">
        <f>IFERROR(F1146*G1146/10000,"")</f>
        <v/>
      </c>
    </row>
    <row r="1147">
      <c r="A1147" t="inlineStr">
        <is>
          <t>2026-10-30</t>
        </is>
      </c>
      <c r="B1147" t="inlineStr">
        <is>
          <t>513300</t>
        </is>
      </c>
      <c r="C1147" t="inlineStr">
        <is>
          <t>纳斯达克ETF华夏</t>
        </is>
      </c>
      <c r="D1147" t="n">
        <v>553117.1</v>
      </c>
      <c r="E1147" t="n">
        <v>553042.1</v>
      </c>
      <c r="F1147" t="n">
        <v>2.745</v>
      </c>
      <c r="G1147" t="n">
        <v>75</v>
      </c>
      <c r="H1147" t="n">
        <v>151.810056</v>
      </c>
      <c r="I1147" t="n">
        <v>153.337777</v>
      </c>
      <c r="J1147" t="n">
        <v>-1.527721</v>
      </c>
      <c r="K1147" s="4">
        <f>IFERROR(J1147/I1147,"")</f>
        <v/>
      </c>
      <c r="L1147" s="4">
        <f>IFERROR((D1147-E1147)/E1147,"")</f>
        <v/>
      </c>
      <c r="M1147" s="19">
        <f>IFERROR(F1147*G1147/10000,"")</f>
        <v/>
      </c>
    </row>
    <row r="1148">
      <c r="A1148" t="inlineStr">
        <is>
          <t>2026-10-30</t>
        </is>
      </c>
      <c r="B1148" t="inlineStr">
        <is>
          <t>513310</t>
        </is>
      </c>
      <c r="C1148" t="inlineStr">
        <is>
          <t>中韩半导体ETF华泰柏瑞</t>
        </is>
      </c>
      <c r="D1148" t="n">
        <v>261842.7</v>
      </c>
      <c r="E1148" t="n">
        <v>261342.7</v>
      </c>
      <c r="F1148" t="n">
        <v>3.799</v>
      </c>
      <c r="G1148" t="n">
        <v>500</v>
      </c>
      <c r="H1148" t="n">
        <v>99.284092</v>
      </c>
      <c r="I1148" t="n">
        <v>101.937327</v>
      </c>
      <c r="J1148" t="n">
        <v>-2.653235</v>
      </c>
      <c r="K1148" s="4">
        <f>IFERROR(J1148/I1148,"")</f>
        <v/>
      </c>
      <c r="L1148" s="4">
        <f>IFERROR((D1148-E1148)/E1148,"")</f>
        <v/>
      </c>
      <c r="M1148" s="19">
        <f>IFERROR(F1148*G1148/10000,"")</f>
        <v/>
      </c>
    </row>
    <row r="1149">
      <c r="A1149" t="inlineStr">
        <is>
          <t>2026-10-30</t>
        </is>
      </c>
      <c r="B1149" t="inlineStr">
        <is>
          <t>513320</t>
        </is>
      </c>
      <c r="C1149" t="inlineStr">
        <is>
          <t>港股通新经济ETF易方达</t>
        </is>
      </c>
      <c r="D1149" t="n">
        <v>9101.059999999999</v>
      </c>
      <c r="E1149" t="n">
        <v>9101.059999999999</v>
      </c>
      <c r="F1149" t="n">
        <v>0.902</v>
      </c>
      <c r="G1149" t="n">
        <v>0</v>
      </c>
      <c r="H1149" t="n">
        <v>0.820916</v>
      </c>
      <c r="I1149" t="n">
        <v>0.835477</v>
      </c>
      <c r="J1149" t="n">
        <v>-0.014561</v>
      </c>
      <c r="K1149" s="4">
        <f>IFERROR(J1149/I1149,"")</f>
        <v/>
      </c>
      <c r="L1149" s="4">
        <f>IFERROR((D1149-E1149)/E1149,"")</f>
        <v/>
      </c>
      <c r="M1149" s="19">
        <f>IFERROR(F1149*G1149/10000,"")</f>
        <v/>
      </c>
    </row>
    <row r="1150">
      <c r="A1150" t="inlineStr">
        <is>
          <t>2026-10-30</t>
        </is>
      </c>
      <c r="B1150" t="inlineStr">
        <is>
          <t>513330</t>
        </is>
      </c>
      <c r="C1150" t="inlineStr">
        <is>
          <t>恒生互联网ETF华夏</t>
        </is>
      </c>
      <c r="D1150" t="n">
        <v>7964348</v>
      </c>
      <c r="E1150" t="n">
        <v>7946548</v>
      </c>
      <c r="F1150" t="n">
        <v>0.31</v>
      </c>
      <c r="G1150" t="n">
        <v>17800</v>
      </c>
      <c r="H1150" t="n">
        <v>246.342988</v>
      </c>
      <c r="I1150" t="n">
        <v>251.123557</v>
      </c>
      <c r="J1150" t="n">
        <v>-4.780569</v>
      </c>
      <c r="K1150" s="4">
        <f>IFERROR(J1150/I1150,"")</f>
        <v/>
      </c>
      <c r="L1150" s="4">
        <f>IFERROR((D1150-E1150)/E1150,"")</f>
        <v/>
      </c>
      <c r="M1150" s="19">
        <f>IFERROR(F1150*G1150/10000,"")</f>
        <v/>
      </c>
    </row>
    <row r="1151">
      <c r="A1151" t="inlineStr">
        <is>
          <t>2026-10-30</t>
        </is>
      </c>
      <c r="B1151" t="inlineStr">
        <is>
          <t>513350</t>
        </is>
      </c>
      <c r="C1151" t="inlineStr">
        <is>
          <t>标普油气ETF富国</t>
        </is>
      </c>
      <c r="D1151" t="n">
        <v>87974.60000000001</v>
      </c>
      <c r="E1151" t="n">
        <v>87874.60000000001</v>
      </c>
      <c r="F1151" t="n">
        <v>1.514</v>
      </c>
      <c r="G1151" t="n">
        <v>100</v>
      </c>
      <c r="H1151" t="n">
        <v>13.304214</v>
      </c>
      <c r="I1151" t="n">
        <v>13.192522</v>
      </c>
      <c r="J1151" t="n">
        <v>0.111692</v>
      </c>
      <c r="K1151" s="4">
        <f>IFERROR(J1151/I1151,"")</f>
        <v/>
      </c>
      <c r="L1151" s="4">
        <f>IFERROR((D1151-E1151)/E1151,"")</f>
        <v/>
      </c>
      <c r="M1151" s="19">
        <f>IFERROR(F1151*G1151/10000,"")</f>
        <v/>
      </c>
    </row>
    <row r="1152">
      <c r="A1152" t="inlineStr">
        <is>
          <t>2026-10-30</t>
        </is>
      </c>
      <c r="B1152" t="inlineStr">
        <is>
          <t>513360</t>
        </is>
      </c>
      <c r="C1152" t="inlineStr">
        <is>
          <t>教育ETF博时</t>
        </is>
      </c>
      <c r="D1152" t="n">
        <v>56821.39</v>
      </c>
      <c r="E1152" t="n">
        <v>56671.39</v>
      </c>
      <c r="F1152" t="n">
        <v>0.411</v>
      </c>
      <c r="G1152" t="n">
        <v>150</v>
      </c>
      <c r="H1152" t="n">
        <v>2.329194</v>
      </c>
      <c r="I1152" t="n">
        <v>2.408534</v>
      </c>
      <c r="J1152" t="n">
        <v>-0.07933999999999999</v>
      </c>
      <c r="K1152" s="4">
        <f>IFERROR(J1152/I1152,"")</f>
        <v/>
      </c>
      <c r="L1152" s="4">
        <f>IFERROR((D1152-E1152)/E1152,"")</f>
        <v/>
      </c>
      <c r="M1152" s="19">
        <f>IFERROR(F1152*G1152/10000,"")</f>
        <v/>
      </c>
    </row>
    <row r="1153">
      <c r="A1153" t="inlineStr">
        <is>
          <t>2026-10-30</t>
        </is>
      </c>
      <c r="B1153" t="inlineStr">
        <is>
          <t>513380</t>
        </is>
      </c>
      <c r="C1153" t="inlineStr">
        <is>
          <t>恒生科技ETF广发</t>
        </is>
      </c>
      <c r="D1153" t="n">
        <v>1844978.49</v>
      </c>
      <c r="E1153" t="n">
        <v>1845078.49</v>
      </c>
      <c r="F1153" t="n">
        <v>0.422</v>
      </c>
      <c r="G1153" t="n">
        <v>-100</v>
      </c>
      <c r="H1153" t="n">
        <v>77.862312</v>
      </c>
      <c r="I1153" t="n">
        <v>79.836991</v>
      </c>
      <c r="J1153" t="n">
        <v>-1.974679</v>
      </c>
      <c r="K1153" s="4">
        <f>IFERROR(J1153/I1153,"")</f>
        <v/>
      </c>
      <c r="L1153" s="4">
        <f>IFERROR((D1153-E1153)/E1153,"")</f>
        <v/>
      </c>
      <c r="M1153" s="19">
        <f>IFERROR(F1153*G1153/10000,"")</f>
        <v/>
      </c>
    </row>
    <row r="1154">
      <c r="A1154" t="inlineStr">
        <is>
          <t>2026-10-30</t>
        </is>
      </c>
      <c r="B1154" t="inlineStr">
        <is>
          <t>513390</t>
        </is>
      </c>
      <c r="C1154" t="inlineStr">
        <is>
          <t>纳指100ETF博时</t>
        </is>
      </c>
      <c r="D1154" t="n">
        <v>280337.91</v>
      </c>
      <c r="E1154" t="n">
        <v>280237.91</v>
      </c>
      <c r="F1154" t="n">
        <v>2.481</v>
      </c>
      <c r="G1154" t="n">
        <v>100</v>
      </c>
      <c r="H1154" t="n">
        <v>69.52702499999999</v>
      </c>
      <c r="I1154" t="n">
        <v>70.11851900000001</v>
      </c>
      <c r="J1154" t="n">
        <v>-0.591494</v>
      </c>
      <c r="K1154" s="4">
        <f>IFERROR(J1154/I1154,"")</f>
        <v/>
      </c>
      <c r="L1154" s="4">
        <f>IFERROR((D1154-E1154)/E1154,"")</f>
        <v/>
      </c>
      <c r="M1154" s="19">
        <f>IFERROR(F1154*G1154/10000,"")</f>
        <v/>
      </c>
    </row>
    <row r="1155">
      <c r="A1155" t="inlineStr">
        <is>
          <t>2026-10-30</t>
        </is>
      </c>
      <c r="B1155" t="inlineStr">
        <is>
          <t>513400</t>
        </is>
      </c>
      <c r="C1155" t="inlineStr">
        <is>
          <t>道琼斯ETF鹏华</t>
        </is>
      </c>
      <c r="D1155" t="n">
        <v>343806.2</v>
      </c>
      <c r="E1155" t="n">
        <v>343706.2</v>
      </c>
      <c r="F1155" t="n">
        <v>1.325</v>
      </c>
      <c r="G1155" t="n">
        <v>100</v>
      </c>
      <c r="H1155" t="n">
        <v>45.541072</v>
      </c>
      <c r="I1155" t="n">
        <v>45.081133</v>
      </c>
      <c r="J1155" t="n">
        <v>0.459939</v>
      </c>
      <c r="K1155" s="4">
        <f>IFERROR(J1155/I1155,"")</f>
        <v/>
      </c>
      <c r="L1155" s="4">
        <f>IFERROR((D1155-E1155)/E1155,"")</f>
        <v/>
      </c>
      <c r="M1155" s="19">
        <f>IFERROR(F1155*G1155/10000,"")</f>
        <v/>
      </c>
    </row>
    <row r="1156">
      <c r="A1156" t="inlineStr">
        <is>
          <t>2026-10-30</t>
        </is>
      </c>
      <c r="B1156" t="inlineStr">
        <is>
          <t>513500</t>
        </is>
      </c>
      <c r="C1156" t="inlineStr">
        <is>
          <t>标普500ETF博时</t>
        </is>
      </c>
      <c r="D1156" t="n">
        <v>1068163.86</v>
      </c>
      <c r="E1156" t="n">
        <v>1068063.86</v>
      </c>
      <c r="F1156" t="n">
        <v>2.688</v>
      </c>
      <c r="G1156" t="n">
        <v>100</v>
      </c>
      <c r="H1156" t="n">
        <v>287.095565</v>
      </c>
      <c r="I1156" t="n">
        <v>288.563834</v>
      </c>
      <c r="J1156" t="n">
        <v>-1.468269</v>
      </c>
      <c r="K1156" s="4">
        <f>IFERROR(J1156/I1156,"")</f>
        <v/>
      </c>
      <c r="L1156" s="4">
        <f>IFERROR((D1156-E1156)/E1156,"")</f>
        <v/>
      </c>
      <c r="M1156" s="19">
        <f>IFERROR(F1156*G1156/10000,"")</f>
        <v/>
      </c>
    </row>
    <row r="1157">
      <c r="A1157" t="inlineStr">
        <is>
          <t>2026-10-30</t>
        </is>
      </c>
      <c r="B1157" t="inlineStr">
        <is>
          <t>513520</t>
        </is>
      </c>
      <c r="C1157" t="inlineStr">
        <is>
          <t>日经ETF华夏</t>
        </is>
      </c>
      <c r="D1157" t="n">
        <v>109338.72</v>
      </c>
      <c r="E1157" t="n">
        <v>109288.72</v>
      </c>
      <c r="F1157" t="n">
        <v>2.223</v>
      </c>
      <c r="G1157" t="n">
        <v>50</v>
      </c>
      <c r="H1157" t="n">
        <v>24.294882</v>
      </c>
      <c r="I1157" t="n">
        <v>24.294691</v>
      </c>
      <c r="J1157" t="n">
        <v>0.000191</v>
      </c>
      <c r="K1157" s="4">
        <f>IFERROR(J1157/I1157,"")</f>
        <v/>
      </c>
      <c r="L1157" s="4">
        <f>IFERROR((D1157-E1157)/E1157,"")</f>
        <v/>
      </c>
      <c r="M1157" s="19">
        <f>IFERROR(F1157*G1157/10000,"")</f>
        <v/>
      </c>
    </row>
    <row r="1158">
      <c r="A1158" t="inlineStr">
        <is>
          <t>2026-10-30</t>
        </is>
      </c>
      <c r="B1158" t="inlineStr">
        <is>
          <t>513530</t>
        </is>
      </c>
      <c r="C1158" t="inlineStr">
        <is>
          <t>港股通红利ETF华泰柏瑞</t>
        </is>
      </c>
      <c r="D1158" t="n">
        <v>408443.87</v>
      </c>
      <c r="E1158" t="n">
        <v>408443.87</v>
      </c>
      <c r="F1158" t="n">
        <v>1.508</v>
      </c>
      <c r="G1158" t="n">
        <v>0</v>
      </c>
      <c r="H1158" t="n">
        <v>61.593336</v>
      </c>
      <c r="I1158" t="n">
        <v>60.791026</v>
      </c>
      <c r="J1158" t="n">
        <v>0.80231</v>
      </c>
      <c r="K1158" s="4">
        <f>IFERROR(J1158/I1158,"")</f>
        <v/>
      </c>
      <c r="L1158" s="4">
        <f>IFERROR((D1158-E1158)/E1158,"")</f>
        <v/>
      </c>
      <c r="M1158" s="19">
        <f>IFERROR(F1158*G1158/10000,"")</f>
        <v/>
      </c>
    </row>
    <row r="1159">
      <c r="A1159" t="inlineStr">
        <is>
          <t>2026-10-30</t>
        </is>
      </c>
      <c r="B1159" t="inlineStr">
        <is>
          <t>513550</t>
        </is>
      </c>
      <c r="C1159" t="inlineStr">
        <is>
          <t>港股通50ETF华泰柏瑞</t>
        </is>
      </c>
      <c r="D1159" t="n">
        <v>142999.2</v>
      </c>
      <c r="E1159" t="n">
        <v>143299.2</v>
      </c>
      <c r="F1159" t="n">
        <v>1.024</v>
      </c>
      <c r="G1159" t="n">
        <v>-300</v>
      </c>
      <c r="H1159" t="n">
        <v>14.673838</v>
      </c>
      <c r="I1159" t="n">
        <v>14.688168</v>
      </c>
      <c r="J1159" t="n">
        <v>-0.01433</v>
      </c>
      <c r="K1159" s="4">
        <f>IFERROR(J1159/I1159,"")</f>
        <v/>
      </c>
      <c r="L1159" s="4">
        <f>IFERROR((D1159-E1159)/E1159,"")</f>
        <v/>
      </c>
      <c r="M1159" s="19">
        <f>IFERROR(F1159*G1159/10000,"")</f>
        <v/>
      </c>
    </row>
    <row r="1160">
      <c r="A1160" t="inlineStr">
        <is>
          <t>2026-10-30</t>
        </is>
      </c>
      <c r="B1160" t="inlineStr">
        <is>
          <t>513560</t>
        </is>
      </c>
      <c r="C1160" t="inlineStr">
        <is>
          <t>香港科技ETF兴银</t>
        </is>
      </c>
      <c r="D1160" t="n">
        <v>53038.6</v>
      </c>
      <c r="E1160" t="n">
        <v>53038.6</v>
      </c>
      <c r="F1160" t="n">
        <v>0.923</v>
      </c>
      <c r="G1160" t="n">
        <v>0</v>
      </c>
      <c r="H1160" t="n">
        <v>4.895463</v>
      </c>
      <c r="I1160" t="n">
        <v>5.00154</v>
      </c>
      <c r="J1160" t="n">
        <v>-0.106077</v>
      </c>
      <c r="K1160" s="4">
        <f>IFERROR(J1160/I1160,"")</f>
        <v/>
      </c>
      <c r="L1160" s="4">
        <f>IFERROR((D1160-E1160)/E1160,"")</f>
        <v/>
      </c>
      <c r="M1160" s="19">
        <f>IFERROR(F1160*G1160/10000,"")</f>
        <v/>
      </c>
    </row>
    <row r="1161">
      <c r="A1161" t="inlineStr">
        <is>
          <t>2026-10-30</t>
        </is>
      </c>
      <c r="B1161" t="inlineStr">
        <is>
          <t>513580</t>
        </is>
      </c>
      <c r="C1161" t="inlineStr">
        <is>
          <t>恒生科技ETF华安</t>
        </is>
      </c>
      <c r="D1161" t="n">
        <v>624511.8</v>
      </c>
      <c r="E1161" t="n">
        <v>624511.8</v>
      </c>
      <c r="F1161" t="n">
        <v>0.466</v>
      </c>
      <c r="G1161" t="n">
        <v>0</v>
      </c>
      <c r="H1161" t="n">
        <v>29.10225</v>
      </c>
      <c r="I1161" t="n">
        <v>29.726762</v>
      </c>
      <c r="J1161" t="n">
        <v>-0.624512</v>
      </c>
      <c r="K1161" s="4">
        <f>IFERROR(J1161/I1161,"")</f>
        <v/>
      </c>
      <c r="L1161" s="4">
        <f>IFERROR((D1161-E1161)/E1161,"")</f>
        <v/>
      </c>
      <c r="M1161" s="19">
        <f>IFERROR(F1161*G1161/10000,"")</f>
        <v/>
      </c>
    </row>
    <row r="1162">
      <c r="A1162" t="inlineStr">
        <is>
          <t>2026-10-30</t>
        </is>
      </c>
      <c r="B1162" t="inlineStr">
        <is>
          <t>513590</t>
        </is>
      </c>
      <c r="C1162" t="inlineStr">
        <is>
          <t>港股通消费ETF鹏华</t>
        </is>
      </c>
      <c r="D1162" t="n">
        <v>13201.89</v>
      </c>
      <c r="E1162" t="n">
        <v>13201.89</v>
      </c>
      <c r="F1162" t="n">
        <v>0.701</v>
      </c>
      <c r="G1162" t="n">
        <v>0</v>
      </c>
      <c r="H1162" t="n">
        <v>0.9254520000000001</v>
      </c>
      <c r="I1162" t="n">
        <v>0.9280929999999999</v>
      </c>
      <c r="J1162" t="n">
        <v>-0.002641</v>
      </c>
      <c r="K1162" s="4">
        <f>IFERROR(J1162/I1162,"")</f>
        <v/>
      </c>
      <c r="L1162" s="4">
        <f>IFERROR((D1162-E1162)/E1162,"")</f>
        <v/>
      </c>
      <c r="M1162" s="19">
        <f>IFERROR(F1162*G1162/10000,"")</f>
        <v/>
      </c>
    </row>
    <row r="1163">
      <c r="A1163" t="inlineStr">
        <is>
          <t>2026-10-30</t>
        </is>
      </c>
      <c r="B1163" t="inlineStr">
        <is>
          <t>513600</t>
        </is>
      </c>
      <c r="C1163" t="inlineStr">
        <is>
          <t>恒生指数ETF南方</t>
        </is>
      </c>
      <c r="D1163" t="n">
        <v>57482.95</v>
      </c>
      <c r="E1163" t="n">
        <v>57882.95</v>
      </c>
      <c r="F1163" t="n">
        <v>2.487</v>
      </c>
      <c r="G1163" t="n">
        <v>-400</v>
      </c>
      <c r="H1163" t="n">
        <v>14.39549</v>
      </c>
      <c r="I1163" t="n">
        <v>14.424431</v>
      </c>
      <c r="J1163" t="n">
        <v>-0.028941</v>
      </c>
      <c r="K1163" s="4">
        <f>IFERROR(J1163/I1163,"")</f>
        <v/>
      </c>
      <c r="L1163" s="4">
        <f>IFERROR((D1163-E1163)/E1163,"")</f>
        <v/>
      </c>
      <c r="M1163" s="19">
        <f>IFERROR(F1163*G1163/10000,"")</f>
        <v/>
      </c>
    </row>
    <row r="1164">
      <c r="A1164" t="inlineStr">
        <is>
          <t>2026-10-30</t>
        </is>
      </c>
      <c r="B1164" t="inlineStr">
        <is>
          <t>513620</t>
        </is>
      </c>
      <c r="C1164" t="inlineStr">
        <is>
          <t>港股医疗ETF银华</t>
        </is>
      </c>
      <c r="D1164" t="n">
        <v>6021.6</v>
      </c>
      <c r="E1164" t="n">
        <v>6321.6</v>
      </c>
      <c r="F1164" t="n">
        <v>1.029</v>
      </c>
      <c r="G1164" t="n">
        <v>-300</v>
      </c>
      <c r="H1164" t="n">
        <v>0.650493</v>
      </c>
      <c r="I1164" t="n">
        <v>0.65555</v>
      </c>
      <c r="J1164" t="n">
        <v>-0.005057</v>
      </c>
      <c r="K1164" s="4">
        <f>IFERROR(J1164/I1164,"")</f>
        <v/>
      </c>
      <c r="L1164" s="4">
        <f>IFERROR((D1164-E1164)/E1164,"")</f>
        <v/>
      </c>
      <c r="M1164" s="19">
        <f>IFERROR(F1164*G1164/10000,"")</f>
        <v/>
      </c>
    </row>
    <row r="1165">
      <c r="A1165" t="inlineStr">
        <is>
          <t>2026-10-30</t>
        </is>
      </c>
      <c r="B1165" t="inlineStr">
        <is>
          <t>513630</t>
        </is>
      </c>
      <c r="C1165" t="inlineStr">
        <is>
          <t>港股低波红利ETF摩根</t>
        </is>
      </c>
      <c r="D1165" t="n">
        <v>653135.9</v>
      </c>
      <c r="E1165" t="n">
        <v>650035.9</v>
      </c>
      <c r="F1165" t="n">
        <v>1.548</v>
      </c>
      <c r="G1165" t="n">
        <v>3100</v>
      </c>
      <c r="H1165" t="n">
        <v>100.625557</v>
      </c>
      <c r="I1165" t="n">
        <v>99.183228</v>
      </c>
      <c r="J1165" t="n">
        <v>1.442329</v>
      </c>
      <c r="K1165" s="4">
        <f>IFERROR(J1165/I1165,"")</f>
        <v/>
      </c>
      <c r="L1165" s="4">
        <f>IFERROR((D1165-E1165)/E1165,"")</f>
        <v/>
      </c>
      <c r="M1165" s="19">
        <f>IFERROR(F1165*G1165/10000,"")</f>
        <v/>
      </c>
    </row>
    <row r="1166">
      <c r="A1166" t="inlineStr">
        <is>
          <t>2026-10-30</t>
        </is>
      </c>
      <c r="B1166" t="inlineStr">
        <is>
          <t>513650</t>
        </is>
      </c>
      <c r="C1166" t="inlineStr">
        <is>
          <t>标普500ETF南方</t>
        </is>
      </c>
      <c r="D1166" t="n">
        <v>517173.4</v>
      </c>
      <c r="E1166" t="n">
        <v>516173.4</v>
      </c>
      <c r="F1166" t="n">
        <v>2.011</v>
      </c>
      <c r="G1166" t="n">
        <v>1000</v>
      </c>
      <c r="H1166" t="n">
        <v>103.802471</v>
      </c>
      <c r="I1166" t="n">
        <v>103.80744</v>
      </c>
      <c r="J1166" t="n">
        <v>-0.004969</v>
      </c>
      <c r="K1166" s="4">
        <f>IFERROR(J1166/I1166,"")</f>
        <v/>
      </c>
      <c r="L1166" s="4">
        <f>IFERROR((D1166-E1166)/E1166,"")</f>
        <v/>
      </c>
      <c r="M1166" s="19">
        <f>IFERROR(F1166*G1166/10000,"")</f>
        <v/>
      </c>
    </row>
    <row r="1167">
      <c r="A1167" t="inlineStr">
        <is>
          <t>2026-10-30</t>
        </is>
      </c>
      <c r="B1167" t="inlineStr">
        <is>
          <t>513660</t>
        </is>
      </c>
      <c r="C1167" t="inlineStr">
        <is>
          <t>恒生ETF华夏</t>
        </is>
      </c>
      <c r="D1167" t="n">
        <v>172400.02</v>
      </c>
      <c r="E1167" t="n">
        <v>173200.02</v>
      </c>
      <c r="F1167" t="n">
        <v>1.352</v>
      </c>
      <c r="G1167" t="n">
        <v>-800</v>
      </c>
      <c r="H1167" t="n">
        <v>23.416643</v>
      </c>
      <c r="I1167" t="n">
        <v>23.586683</v>
      </c>
      <c r="J1167" t="n">
        <v>-0.17004</v>
      </c>
      <c r="K1167" s="4">
        <f>IFERROR(J1167/I1167,"")</f>
        <v/>
      </c>
      <c r="L1167" s="4">
        <f>IFERROR((D1167-E1167)/E1167,"")</f>
        <v/>
      </c>
      <c r="M1167" s="19">
        <f>IFERROR(F1167*G1167/10000,"")</f>
        <v/>
      </c>
    </row>
    <row r="1168">
      <c r="A1168" t="inlineStr">
        <is>
          <t>2026-10-30</t>
        </is>
      </c>
      <c r="B1168" t="inlineStr">
        <is>
          <t>513690</t>
        </is>
      </c>
      <c r="C1168" t="inlineStr">
        <is>
          <t>港股红利ETF博时</t>
        </is>
      </c>
      <c r="D1168" t="n">
        <v>271347.99</v>
      </c>
      <c r="E1168" t="n">
        <v>271647.99</v>
      </c>
      <c r="F1168" t="n">
        <v>1.1</v>
      </c>
      <c r="G1168" t="n">
        <v>-300</v>
      </c>
      <c r="H1168" t="n">
        <v>29.881278</v>
      </c>
      <c r="I1168" t="n">
        <v>29.794729</v>
      </c>
      <c r="J1168" t="n">
        <v>0.086549</v>
      </c>
      <c r="K1168" s="4">
        <f>IFERROR(J1168/I1168,"")</f>
        <v/>
      </c>
      <c r="L1168" s="4">
        <f>IFERROR((D1168-E1168)/E1168,"")</f>
        <v/>
      </c>
      <c r="M1168" s="19">
        <f>IFERROR(F1168*G1168/10000,"")</f>
        <v/>
      </c>
    </row>
    <row r="1169">
      <c r="A1169" t="inlineStr">
        <is>
          <t>2026-10-30</t>
        </is>
      </c>
      <c r="B1169" t="inlineStr">
        <is>
          <t>513700</t>
        </is>
      </c>
      <c r="C1169" t="inlineStr">
        <is>
          <t>港股通医药ETF鹏华</t>
        </is>
      </c>
      <c r="D1169" t="n">
        <v>75284.60000000001</v>
      </c>
      <c r="E1169" t="n">
        <v>75284.60000000001</v>
      </c>
      <c r="F1169" t="n">
        <v>0.586</v>
      </c>
      <c r="G1169" t="n">
        <v>0</v>
      </c>
      <c r="H1169" t="n">
        <v>4.411678</v>
      </c>
      <c r="I1169" t="n">
        <v>4.426734</v>
      </c>
      <c r="J1169" t="n">
        <v>-0.015056</v>
      </c>
      <c r="K1169" s="4">
        <f>IFERROR(J1169/I1169,"")</f>
        <v/>
      </c>
      <c r="L1169" s="4">
        <f>IFERROR((D1169-E1169)/E1169,"")</f>
        <v/>
      </c>
      <c r="M1169" s="19">
        <f>IFERROR(F1169*G1169/10000,"")</f>
        <v/>
      </c>
    </row>
    <row r="1170">
      <c r="A1170" t="inlineStr">
        <is>
          <t>2026-10-30</t>
        </is>
      </c>
      <c r="B1170" t="inlineStr">
        <is>
          <t>513720</t>
        </is>
      </c>
      <c r="C1170" t="inlineStr">
        <is>
          <t>港股互联网ETF国泰</t>
        </is>
      </c>
      <c r="D1170" t="n">
        <v>25185.9</v>
      </c>
      <c r="E1170" t="n">
        <v>25185.9</v>
      </c>
      <c r="F1170" t="n">
        <v>0.5590000000000001</v>
      </c>
      <c r="G1170" t="n">
        <v>0</v>
      </c>
      <c r="H1170" t="n">
        <v>1.407892</v>
      </c>
      <c r="I1170" t="n">
        <v>1.433078</v>
      </c>
      <c r="J1170" t="n">
        <v>-0.025186</v>
      </c>
      <c r="K1170" s="4">
        <f>IFERROR(J1170/I1170,"")</f>
        <v/>
      </c>
      <c r="L1170" s="4">
        <f>IFERROR((D1170-E1170)/E1170,"")</f>
        <v/>
      </c>
      <c r="M1170" s="19">
        <f>IFERROR(F1170*G1170/10000,"")</f>
        <v/>
      </c>
    </row>
    <row r="1171">
      <c r="A1171" t="inlineStr">
        <is>
          <t>2026-10-30</t>
        </is>
      </c>
      <c r="B1171" t="inlineStr">
        <is>
          <t>513730</t>
        </is>
      </c>
      <c r="C1171" t="inlineStr">
        <is>
          <t>东南亚科技ETF华泰柏瑞</t>
        </is>
      </c>
      <c r="D1171" t="n">
        <v>79335.5</v>
      </c>
      <c r="E1171" t="n">
        <v>79335.5</v>
      </c>
      <c r="F1171" t="n">
        <v>1.005</v>
      </c>
      <c r="G1171" t="n">
        <v>0</v>
      </c>
      <c r="H1171" t="n">
        <v>7.973218</v>
      </c>
      <c r="I1171" t="n">
        <v>8.002786</v>
      </c>
      <c r="J1171" t="n">
        <v>-0.029568</v>
      </c>
      <c r="K1171" s="4">
        <f>IFERROR(J1171/I1171,"")</f>
        <v/>
      </c>
      <c r="L1171" s="4">
        <f>IFERROR((D1171-E1171)/E1171,"")</f>
        <v/>
      </c>
      <c r="M1171" s="19">
        <f>IFERROR(F1171*G1171/10000,"")</f>
        <v/>
      </c>
    </row>
    <row r="1172">
      <c r="A1172" t="inlineStr">
        <is>
          <t>2026-10-30</t>
        </is>
      </c>
      <c r="B1172" t="inlineStr">
        <is>
          <t>513750</t>
        </is>
      </c>
      <c r="C1172" t="inlineStr">
        <is>
          <t>港股通非银ETF广发</t>
        </is>
      </c>
      <c r="D1172" t="n">
        <v>677783.8</v>
      </c>
      <c r="E1172" t="n">
        <v>689083.8</v>
      </c>
      <c r="F1172" t="n">
        <v>1.353</v>
      </c>
      <c r="G1172" t="n">
        <v>-11300</v>
      </c>
      <c r="H1172" t="n">
        <v>93.23303799999999</v>
      </c>
      <c r="I1172" t="n">
        <v>93.783496</v>
      </c>
      <c r="J1172" t="n">
        <v>-0.550458</v>
      </c>
      <c r="K1172" s="4">
        <f>IFERROR(J1172/I1172,"")</f>
        <v/>
      </c>
      <c r="L1172" s="4">
        <f>IFERROR((D1172-E1172)/E1172,"")</f>
        <v/>
      </c>
      <c r="M1172" s="19">
        <f>IFERROR(F1172*G1172/10000,"")</f>
        <v/>
      </c>
    </row>
    <row r="1173">
      <c r="A1173" t="inlineStr">
        <is>
          <t>2026-10-30</t>
        </is>
      </c>
      <c r="B1173" t="inlineStr">
        <is>
          <t>513770</t>
        </is>
      </c>
      <c r="C1173" t="inlineStr">
        <is>
          <t>港股互联网ETF华宝</t>
        </is>
      </c>
      <c r="D1173" t="n">
        <v>1545413.79</v>
      </c>
      <c r="E1173" t="n">
        <v>1545413.79</v>
      </c>
      <c r="F1173" t="n">
        <v>0.303</v>
      </c>
      <c r="G1173" t="n">
        <v>0</v>
      </c>
      <c r="H1173" t="n">
        <v>46.826038</v>
      </c>
      <c r="I1173" t="n">
        <v>47.598745</v>
      </c>
      <c r="J1173" t="n">
        <v>-0.772707</v>
      </c>
      <c r="K1173" s="4">
        <f>IFERROR(J1173/I1173,"")</f>
        <v/>
      </c>
      <c r="L1173" s="4">
        <f>IFERROR((D1173-E1173)/E1173,"")</f>
        <v/>
      </c>
      <c r="M1173" s="19">
        <f>IFERROR(F1173*G1173/10000,"")</f>
        <v/>
      </c>
    </row>
    <row r="1174">
      <c r="A1174" t="inlineStr">
        <is>
          <t>2026-10-30</t>
        </is>
      </c>
      <c r="B1174" t="inlineStr">
        <is>
          <t>513780</t>
        </is>
      </c>
      <c r="C1174" t="inlineStr">
        <is>
          <t>港股创新药ETF景顺</t>
        </is>
      </c>
      <c r="D1174" t="n">
        <v>175065.7</v>
      </c>
      <c r="E1174" t="n">
        <v>175065.7</v>
      </c>
      <c r="F1174" t="n">
        <v>1.535</v>
      </c>
      <c r="G1174" t="n">
        <v>0</v>
      </c>
      <c r="H1174" t="n">
        <v>26.872585</v>
      </c>
      <c r="I1174" t="n">
        <v>27.197292</v>
      </c>
      <c r="J1174" t="n">
        <v>-0.324707</v>
      </c>
      <c r="K1174" s="4">
        <f>IFERROR(J1174/I1174,"")</f>
        <v/>
      </c>
      <c r="L1174" s="4">
        <f>IFERROR((D1174-E1174)/E1174,"")</f>
        <v/>
      </c>
      <c r="M1174" s="19">
        <f>IFERROR(F1174*G1174/10000,"")</f>
        <v/>
      </c>
    </row>
    <row r="1175">
      <c r="A1175" t="inlineStr">
        <is>
          <t>2026-10-30</t>
        </is>
      </c>
      <c r="B1175" t="inlineStr">
        <is>
          <t>513800</t>
        </is>
      </c>
      <c r="C1175" t="inlineStr">
        <is>
          <t>日本东证指数ETF南方</t>
        </is>
      </c>
      <c r="D1175" t="n">
        <v>108504.44</v>
      </c>
      <c r="E1175" t="n">
        <v>108464.44</v>
      </c>
      <c r="F1175" t="n">
        <v>1.843</v>
      </c>
      <c r="G1175" t="n">
        <v>40</v>
      </c>
      <c r="H1175" t="n">
        <v>19.989996</v>
      </c>
      <c r="I1175" t="n">
        <v>19.898102</v>
      </c>
      <c r="J1175" t="n">
        <v>0.091894</v>
      </c>
      <c r="K1175" s="4">
        <f>IFERROR(J1175/I1175,"")</f>
        <v/>
      </c>
      <c r="L1175" s="4">
        <f>IFERROR((D1175-E1175)/E1175,"")</f>
        <v/>
      </c>
      <c r="M1175" s="19">
        <f>IFERROR(F1175*G1175/10000,"")</f>
        <v/>
      </c>
    </row>
    <row r="1176">
      <c r="A1176" t="inlineStr">
        <is>
          <t>2026-10-30</t>
        </is>
      </c>
      <c r="B1176" t="inlineStr">
        <is>
          <t>513810</t>
        </is>
      </c>
      <c r="C1176" t="inlineStr">
        <is>
          <t>港股国企ETF华夏</t>
        </is>
      </c>
      <c r="D1176" t="n">
        <v>4299.2</v>
      </c>
      <c r="E1176" t="n">
        <v>4299.2</v>
      </c>
      <c r="F1176" t="n">
        <v>1.677</v>
      </c>
      <c r="G1176" t="n">
        <v>0</v>
      </c>
      <c r="H1176" t="n">
        <v>0.720976</v>
      </c>
      <c r="I1176" t="n">
        <v>0.716247</v>
      </c>
      <c r="J1176" t="n">
        <v>0.004729</v>
      </c>
      <c r="K1176" s="4">
        <f>IFERROR(J1176/I1176,"")</f>
        <v/>
      </c>
      <c r="L1176" s="4">
        <f>IFERROR((D1176-E1176)/E1176,"")</f>
        <v/>
      </c>
      <c r="M1176" s="19">
        <f>IFERROR(F1176*G1176/10000,"")</f>
        <v/>
      </c>
    </row>
    <row r="1177">
      <c r="A1177" t="inlineStr">
        <is>
          <t>2026-10-30</t>
        </is>
      </c>
      <c r="B1177" t="inlineStr">
        <is>
          <t>513820</t>
        </is>
      </c>
      <c r="C1177" t="inlineStr">
        <is>
          <t>港股通红利ETF汇添富</t>
        </is>
      </c>
      <c r="D1177" t="n">
        <v>174416.9</v>
      </c>
      <c r="E1177" t="n">
        <v>174766.9</v>
      </c>
      <c r="F1177" t="n">
        <v>1.18</v>
      </c>
      <c r="G1177" t="n">
        <v>-350</v>
      </c>
      <c r="H1177" t="n">
        <v>20.622494</v>
      </c>
      <c r="I1177" t="n">
        <v>20.523701</v>
      </c>
      <c r="J1177" t="n">
        <v>0.09879300000000001</v>
      </c>
      <c r="K1177" s="4">
        <f>IFERROR(J1177/I1177,"")</f>
        <v/>
      </c>
      <c r="L1177" s="4">
        <f>IFERROR((D1177-E1177)/E1177,"")</f>
        <v/>
      </c>
      <c r="M1177" s="19">
        <f>IFERROR(F1177*G1177/10000,"")</f>
        <v/>
      </c>
    </row>
    <row r="1178">
      <c r="A1178" t="inlineStr">
        <is>
          <t>2026-10-30</t>
        </is>
      </c>
      <c r="B1178" t="inlineStr">
        <is>
          <t>513830</t>
        </is>
      </c>
      <c r="C1178" t="inlineStr">
        <is>
          <t>港股通高股息ETF嘉实</t>
        </is>
      </c>
      <c r="D1178" t="n">
        <v>4881.1</v>
      </c>
      <c r="E1178" t="n">
        <v>4881.1</v>
      </c>
      <c r="F1178" t="n">
        <v>1.149</v>
      </c>
      <c r="G1178" t="n">
        <v>0</v>
      </c>
      <c r="H1178" t="n">
        <v>0.5608379999999999</v>
      </c>
      <c r="I1178" t="n">
        <v>0.557422</v>
      </c>
      <c r="J1178" t="n">
        <v>0.003416</v>
      </c>
      <c r="K1178" s="4">
        <f>IFERROR(J1178/I1178,"")</f>
        <v/>
      </c>
      <c r="L1178" s="4">
        <f>IFERROR((D1178-E1178)/E1178,"")</f>
        <v/>
      </c>
      <c r="M1178" s="19">
        <f>IFERROR(F1178*G1178/10000,"")</f>
        <v/>
      </c>
    </row>
    <row r="1179">
      <c r="A1179" t="inlineStr">
        <is>
          <t>2026-10-30</t>
        </is>
      </c>
      <c r="B1179" t="inlineStr">
        <is>
          <t>513850</t>
        </is>
      </c>
      <c r="C1179" t="inlineStr">
        <is>
          <t>美国50ETF易方达</t>
        </is>
      </c>
      <c r="D1179" t="n">
        <v>134889.26</v>
      </c>
      <c r="E1179" t="n">
        <v>134789.26</v>
      </c>
      <c r="F1179" t="n">
        <v>1.904</v>
      </c>
      <c r="G1179" t="n">
        <v>100</v>
      </c>
      <c r="H1179" t="n">
        <v>25.663875</v>
      </c>
      <c r="I1179" t="n">
        <v>25.725649</v>
      </c>
      <c r="J1179" t="n">
        <v>-0.061774</v>
      </c>
      <c r="K1179" s="4">
        <f>IFERROR(J1179/I1179,"")</f>
        <v/>
      </c>
      <c r="L1179" s="4">
        <f>IFERROR((D1179-E1179)/E1179,"")</f>
        <v/>
      </c>
      <c r="M1179" s="19">
        <f>IFERROR(F1179*G1179/10000,"")</f>
        <v/>
      </c>
    </row>
    <row r="1180">
      <c r="A1180" t="inlineStr">
        <is>
          <t>2026-10-30</t>
        </is>
      </c>
      <c r="B1180" t="inlineStr">
        <is>
          <t>513860</t>
        </is>
      </c>
      <c r="C1180" t="inlineStr">
        <is>
          <t>港股通科技ETF海富通</t>
        </is>
      </c>
      <c r="D1180" t="n">
        <v>256147.06</v>
      </c>
      <c r="E1180" t="n">
        <v>256147.06</v>
      </c>
      <c r="F1180" t="n">
        <v>0.494</v>
      </c>
      <c r="G1180" t="n">
        <v>0</v>
      </c>
      <c r="H1180" t="n">
        <v>12.653665</v>
      </c>
      <c r="I1180" t="n">
        <v>12.986656</v>
      </c>
      <c r="J1180" t="n">
        <v>-0.332991</v>
      </c>
      <c r="K1180" s="4">
        <f>IFERROR(J1180/I1180,"")</f>
        <v/>
      </c>
      <c r="L1180" s="4">
        <f>IFERROR((D1180-E1180)/E1180,"")</f>
        <v/>
      </c>
      <c r="M1180" s="19">
        <f>IFERROR(F1180*G1180/10000,"")</f>
        <v/>
      </c>
    </row>
    <row r="1181">
      <c r="A1181" t="inlineStr">
        <is>
          <t>2026-10-30</t>
        </is>
      </c>
      <c r="B1181" t="inlineStr">
        <is>
          <t>513870</t>
        </is>
      </c>
      <c r="C1181" t="inlineStr">
        <is>
          <t>纳指ETF富国</t>
        </is>
      </c>
      <c r="D1181" t="n">
        <v>157767.1</v>
      </c>
      <c r="E1181" t="n">
        <v>157667.1</v>
      </c>
      <c r="F1181" t="n">
        <v>2.121</v>
      </c>
      <c r="G1181" t="n">
        <v>100</v>
      </c>
      <c r="H1181" t="n">
        <v>33.441192</v>
      </c>
      <c r="I1181" t="n">
        <v>33.76663</v>
      </c>
      <c r="J1181" t="n">
        <v>-0.325438</v>
      </c>
      <c r="K1181" s="4">
        <f>IFERROR(J1181/I1181,"")</f>
        <v/>
      </c>
      <c r="L1181" s="4">
        <f>IFERROR((D1181-E1181)/E1181,"")</f>
        <v/>
      </c>
      <c r="M1181" s="19">
        <f>IFERROR(F1181*G1181/10000,"")</f>
        <v/>
      </c>
    </row>
    <row r="1182">
      <c r="A1182" t="inlineStr">
        <is>
          <t>2026-10-30</t>
        </is>
      </c>
      <c r="B1182" t="inlineStr">
        <is>
          <t>513880</t>
        </is>
      </c>
      <c r="C1182" t="inlineStr">
        <is>
          <t>日经225ETF华安</t>
        </is>
      </c>
      <c r="D1182" t="n">
        <v>134597</v>
      </c>
      <c r="E1182" t="n">
        <v>134497</v>
      </c>
      <c r="F1182" t="n">
        <v>2.092</v>
      </c>
      <c r="G1182" t="n">
        <v>100</v>
      </c>
      <c r="H1182" t="n">
        <v>28.136772</v>
      </c>
      <c r="I1182" t="n">
        <v>28.169611</v>
      </c>
      <c r="J1182" t="n">
        <v>-0.032839</v>
      </c>
      <c r="K1182" s="4">
        <f>IFERROR(J1182/I1182,"")</f>
        <v/>
      </c>
      <c r="L1182" s="4">
        <f>IFERROR((D1182-E1182)/E1182,"")</f>
        <v/>
      </c>
      <c r="M1182" s="19">
        <f>IFERROR(F1182*G1182/10000,"")</f>
        <v/>
      </c>
    </row>
    <row r="1183">
      <c r="A1183" t="inlineStr">
        <is>
          <t>2026-10-30</t>
        </is>
      </c>
      <c r="B1183" t="inlineStr">
        <is>
          <t>513890</t>
        </is>
      </c>
      <c r="C1183" t="inlineStr">
        <is>
          <t>恒生科技ETF摩根</t>
        </is>
      </c>
      <c r="D1183" t="n">
        <v>96012.8</v>
      </c>
      <c r="E1183" t="n">
        <v>96012.8</v>
      </c>
      <c r="F1183" t="n">
        <v>0.717</v>
      </c>
      <c r="G1183" t="n">
        <v>0</v>
      </c>
      <c r="H1183" t="n">
        <v>6.884118</v>
      </c>
      <c r="I1183" t="n">
        <v>7.037738</v>
      </c>
      <c r="J1183" t="n">
        <v>-0.15362</v>
      </c>
      <c r="K1183" s="4">
        <f>IFERROR(J1183/I1183,"")</f>
        <v/>
      </c>
      <c r="L1183" s="4">
        <f>IFERROR((D1183-E1183)/E1183,"")</f>
        <v/>
      </c>
      <c r="M1183" s="19">
        <f>IFERROR(F1183*G1183/10000,"")</f>
        <v/>
      </c>
    </row>
    <row r="1184">
      <c r="A1184" t="inlineStr">
        <is>
          <t>2026-10-30</t>
        </is>
      </c>
      <c r="B1184" t="inlineStr">
        <is>
          <t>513900</t>
        </is>
      </c>
      <c r="C1184" t="inlineStr">
        <is>
          <t>港股通100ETF华安</t>
        </is>
      </c>
      <c r="D1184" t="n">
        <v>9397.799999999999</v>
      </c>
      <c r="E1184" t="n">
        <v>9397.799999999999</v>
      </c>
      <c r="F1184" t="n">
        <v>0.883</v>
      </c>
      <c r="G1184" t="n">
        <v>0</v>
      </c>
      <c r="H1184" t="n">
        <v>0.829826</v>
      </c>
      <c r="I1184" t="n">
        <v>0.833585</v>
      </c>
      <c r="J1184" t="n">
        <v>-0.003759</v>
      </c>
      <c r="K1184" s="4">
        <f>IFERROR(J1184/I1184,"")</f>
        <v/>
      </c>
      <c r="L1184" s="4">
        <f>IFERROR((D1184-E1184)/E1184,"")</f>
        <v/>
      </c>
      <c r="M1184" s="19">
        <f>IFERROR(F1184*G1184/10000,"")</f>
        <v/>
      </c>
    </row>
    <row r="1185">
      <c r="A1185" t="inlineStr">
        <is>
          <t>2026-10-30</t>
        </is>
      </c>
      <c r="B1185" t="inlineStr">
        <is>
          <t>513910</t>
        </is>
      </c>
      <c r="C1185" t="inlineStr">
        <is>
          <t>港股通央企红利ETF华夏</t>
        </is>
      </c>
      <c r="D1185" t="n">
        <v>183227.6</v>
      </c>
      <c r="E1185" t="n">
        <v>183327.6</v>
      </c>
      <c r="F1185" t="n">
        <v>1.546</v>
      </c>
      <c r="G1185" t="n">
        <v>-100</v>
      </c>
      <c r="H1185" t="n">
        <v>28.342447</v>
      </c>
      <c r="I1185" t="n">
        <v>28.223562</v>
      </c>
      <c r="J1185" t="n">
        <v>0.118885</v>
      </c>
      <c r="K1185" s="4">
        <f>IFERROR(J1185/I1185,"")</f>
        <v/>
      </c>
      <c r="L1185" s="4">
        <f>IFERROR((D1185-E1185)/E1185,"")</f>
        <v/>
      </c>
      <c r="M1185" s="19">
        <f>IFERROR(F1185*G1185/10000,"")</f>
        <v/>
      </c>
    </row>
    <row r="1186">
      <c r="A1186" t="inlineStr">
        <is>
          <t>2026-10-30</t>
        </is>
      </c>
      <c r="B1186" t="inlineStr">
        <is>
          <t>513920</t>
        </is>
      </c>
      <c r="C1186" t="inlineStr">
        <is>
          <t>港股通央企红利ETF华安</t>
        </is>
      </c>
      <c r="D1186" t="n">
        <v>205723.1</v>
      </c>
      <c r="E1186" t="n">
        <v>205773.1</v>
      </c>
      <c r="F1186" t="n">
        <v>1.534</v>
      </c>
      <c r="G1186" t="n">
        <v>-50</v>
      </c>
      <c r="H1186" t="n">
        <v>31.565594</v>
      </c>
      <c r="I1186" t="n">
        <v>31.281897</v>
      </c>
      <c r="J1186" t="n">
        <v>0.283697</v>
      </c>
      <c r="K1186" s="4">
        <f>IFERROR(J1186/I1186,"")</f>
        <v/>
      </c>
      <c r="L1186" s="4">
        <f>IFERROR((D1186-E1186)/E1186,"")</f>
        <v/>
      </c>
      <c r="M1186" s="19">
        <f>IFERROR(F1186*G1186/10000,"")</f>
        <v/>
      </c>
    </row>
    <row r="1187">
      <c r="A1187" t="inlineStr">
        <is>
          <t>2026-10-30</t>
        </is>
      </c>
      <c r="B1187" t="inlineStr">
        <is>
          <t>513930</t>
        </is>
      </c>
      <c r="C1187" t="inlineStr">
        <is>
          <t>恒生生物科技ETF华泰柏瑞</t>
        </is>
      </c>
      <c r="D1187" t="n">
        <v>8240.799999999999</v>
      </c>
      <c r="E1187" t="n">
        <v>8040.8</v>
      </c>
      <c r="F1187" t="n">
        <v>0.953</v>
      </c>
      <c r="G1187" t="n">
        <v>200</v>
      </c>
      <c r="H1187" t="n">
        <v>0.766288</v>
      </c>
      <c r="I1187" t="n">
        <v>0.775004</v>
      </c>
      <c r="J1187" t="n">
        <v>-0.008716</v>
      </c>
      <c r="K1187" s="4">
        <f>IFERROR(J1187/I1187,"")</f>
        <v/>
      </c>
      <c r="L1187" s="4">
        <f>IFERROR((D1187-E1187)/E1187,"")</f>
        <v/>
      </c>
      <c r="M1187" s="19">
        <f>IFERROR(F1187*G1187/10000,"")</f>
        <v/>
      </c>
    </row>
    <row r="1188">
      <c r="A1188" t="inlineStr">
        <is>
          <t>2026-10-30</t>
        </is>
      </c>
      <c r="B1188" t="inlineStr">
        <is>
          <t>513950</t>
        </is>
      </c>
      <c r="C1188" t="inlineStr">
        <is>
          <t>恒生红利ETF富国</t>
        </is>
      </c>
      <c r="D1188" t="n">
        <v>225261.9</v>
      </c>
      <c r="E1188" t="n">
        <v>227711.9</v>
      </c>
      <c r="F1188" t="n">
        <v>1.176</v>
      </c>
      <c r="G1188" t="n">
        <v>-2450</v>
      </c>
      <c r="H1188" t="n">
        <v>26.778919</v>
      </c>
      <c r="I1188" t="n">
        <v>26.670918</v>
      </c>
      <c r="J1188" t="n">
        <v>0.108001</v>
      </c>
      <c r="K1188" s="4">
        <f>IFERROR(J1188/I1188,"")</f>
        <v/>
      </c>
      <c r="L1188" s="4">
        <f>IFERROR((D1188-E1188)/E1188,"")</f>
        <v/>
      </c>
      <c r="M1188" s="19">
        <f>IFERROR(F1188*G1188/10000,"")</f>
        <v/>
      </c>
    </row>
    <row r="1189">
      <c r="A1189" t="inlineStr">
        <is>
          <t>2026-10-30</t>
        </is>
      </c>
      <c r="B1189" t="inlineStr">
        <is>
          <t>513970</t>
        </is>
      </c>
      <c r="C1189" t="inlineStr">
        <is>
          <t>恒生消费ETF景顺</t>
        </is>
      </c>
      <c r="D1189" t="n">
        <v>144104.1</v>
      </c>
      <c r="E1189" t="n">
        <v>144204.1</v>
      </c>
      <c r="F1189" t="n">
        <v>0.742</v>
      </c>
      <c r="G1189" t="n">
        <v>-100</v>
      </c>
      <c r="H1189" t="n">
        <v>10.699944</v>
      </c>
      <c r="I1189" t="n">
        <v>10.757626</v>
      </c>
      <c r="J1189" t="n">
        <v>-0.057682</v>
      </c>
      <c r="K1189" s="4">
        <f>IFERROR(J1189/I1189,"")</f>
        <v/>
      </c>
      <c r="L1189" s="4">
        <f>IFERROR((D1189-E1189)/E1189,"")</f>
        <v/>
      </c>
      <c r="M1189" s="19">
        <f>IFERROR(F1189*G1189/10000,"")</f>
        <v/>
      </c>
    </row>
    <row r="1190">
      <c r="A1190" t="inlineStr">
        <is>
          <t>2026-10-30</t>
        </is>
      </c>
      <c r="B1190" t="inlineStr">
        <is>
          <t>513980</t>
        </is>
      </c>
      <c r="C1190" t="inlineStr">
        <is>
          <t>港股科技ETF景顺</t>
        </is>
      </c>
      <c r="D1190" t="n">
        <v>1574220.4</v>
      </c>
      <c r="E1190" t="n">
        <v>1594220.4</v>
      </c>
      <c r="F1190" t="n">
        <v>0.493</v>
      </c>
      <c r="G1190" t="n">
        <v>-20000</v>
      </c>
      <c r="H1190" t="n">
        <v>78.595066</v>
      </c>
      <c r="I1190" t="n">
        <v>81.356708</v>
      </c>
      <c r="J1190" t="n">
        <v>-2.761642</v>
      </c>
      <c r="K1190" s="4">
        <f>IFERROR(J1190/I1190,"")</f>
        <v/>
      </c>
      <c r="L1190" s="4">
        <f>IFERROR((D1190-E1190)/E1190,"")</f>
        <v/>
      </c>
      <c r="M1190" s="19">
        <f>IFERROR(F1190*G1190/10000,"")</f>
        <v/>
      </c>
    </row>
    <row r="1191">
      <c r="A1191" t="inlineStr">
        <is>
          <t>2026-10-30</t>
        </is>
      </c>
      <c r="B1191" t="inlineStr">
        <is>
          <t>513990</t>
        </is>
      </c>
      <c r="C1191" t="inlineStr">
        <is>
          <t>港股通ETF招商</t>
        </is>
      </c>
      <c r="D1191" t="n">
        <v>4300</v>
      </c>
      <c r="E1191" t="n">
        <v>4300</v>
      </c>
      <c r="F1191" t="n">
        <v>0.996</v>
      </c>
      <c r="G1191" t="n">
        <v>0</v>
      </c>
      <c r="H1191" t="n">
        <v>0.42828</v>
      </c>
      <c r="I1191" t="n">
        <v>0.43258</v>
      </c>
      <c r="J1191" t="n">
        <v>-0.0043</v>
      </c>
      <c r="K1191" s="4">
        <f>IFERROR(J1191/I1191,"")</f>
        <v/>
      </c>
      <c r="L1191" s="4">
        <f>IFERROR((D1191-E1191)/E1191,"")</f>
        <v/>
      </c>
      <c r="M1191" s="19">
        <f>IFERROR(F1191*G1191/10000,"")</f>
        <v/>
      </c>
    </row>
    <row r="1192">
      <c r="A1192" t="inlineStr">
        <is>
          <t>2026-10-30</t>
        </is>
      </c>
      <c r="B1192" t="inlineStr">
        <is>
          <t>515000</t>
        </is>
      </c>
      <c r="C1192" t="inlineStr">
        <is>
          <t>科技ETF华宝</t>
        </is>
      </c>
      <c r="D1192" t="n">
        <v>290057.93</v>
      </c>
      <c r="E1192" t="n">
        <v>284457.93</v>
      </c>
      <c r="F1192" t="n">
        <v>0.963</v>
      </c>
      <c r="G1192" t="n">
        <v>5600</v>
      </c>
      <c r="H1192" t="n">
        <v>27.393299</v>
      </c>
      <c r="I1192" t="n">
        <v>29.022846</v>
      </c>
      <c r="J1192" t="n">
        <v>-1.629547</v>
      </c>
      <c r="K1192" s="4">
        <f>IFERROR(J1192/I1192,"")</f>
        <v/>
      </c>
      <c r="L1192" s="4">
        <f>IFERROR((D1192-E1192)/E1192,"")</f>
        <v/>
      </c>
      <c r="M1192" s="19">
        <f>IFERROR(F1192*G1192/10000,"")</f>
        <v/>
      </c>
    </row>
    <row r="1193">
      <c r="A1193" t="inlineStr">
        <is>
          <t>2026-10-30</t>
        </is>
      </c>
      <c r="B1193" t="inlineStr">
        <is>
          <t>515010</t>
        </is>
      </c>
      <c r="C1193" t="inlineStr">
        <is>
          <t>证券ETF华夏</t>
        </is>
      </c>
      <c r="D1193" t="n">
        <v>207727.16</v>
      </c>
      <c r="E1193" t="n">
        <v>207177.16</v>
      </c>
      <c r="F1193" t="n">
        <v>1.122</v>
      </c>
      <c r="G1193" t="n">
        <v>550</v>
      </c>
      <c r="H1193" t="n">
        <v>23.245277</v>
      </c>
      <c r="I1193" t="n">
        <v>23.689627</v>
      </c>
      <c r="J1193" t="n">
        <v>-0.44435</v>
      </c>
      <c r="K1193" s="4">
        <f>IFERROR(J1193/I1193,"")</f>
        <v/>
      </c>
      <c r="L1193" s="4">
        <f>IFERROR((D1193-E1193)/E1193,"")</f>
        <v/>
      </c>
      <c r="M1193" s="19">
        <f>IFERROR(F1193*G1193/10000,"")</f>
        <v/>
      </c>
    </row>
    <row r="1194">
      <c r="A1194" t="inlineStr">
        <is>
          <t>2026-10-30</t>
        </is>
      </c>
      <c r="B1194" t="inlineStr">
        <is>
          <t>515020</t>
        </is>
      </c>
      <c r="C1194" t="inlineStr">
        <is>
          <t>银行ETF华夏</t>
        </is>
      </c>
      <c r="D1194" t="n">
        <v>54634.53</v>
      </c>
      <c r="E1194" t="n">
        <v>53434.53</v>
      </c>
      <c r="F1194" t="n">
        <v>1.904</v>
      </c>
      <c r="G1194" t="n">
        <v>1200</v>
      </c>
      <c r="H1194" t="n">
        <v>10.173935</v>
      </c>
      <c r="I1194" t="n">
        <v>7.963307</v>
      </c>
      <c r="J1194" t="n">
        <v>2.210628</v>
      </c>
      <c r="K1194" s="4">
        <f>IFERROR(J1194/I1194,"")</f>
        <v/>
      </c>
      <c r="L1194" s="4">
        <f>IFERROR((D1194-E1194)/E1194,"")</f>
        <v/>
      </c>
      <c r="M1194" s="19">
        <f>IFERROR(F1194*G1194/10000,"")</f>
        <v/>
      </c>
    </row>
    <row r="1195">
      <c r="A1195" t="inlineStr">
        <is>
          <t>2026-10-30</t>
        </is>
      </c>
      <c r="B1195" t="inlineStr">
        <is>
          <t>515030</t>
        </is>
      </c>
      <c r="C1195" t="inlineStr">
        <is>
          <t>新能源车ETF华夏</t>
        </is>
      </c>
      <c r="D1195" t="n">
        <v>128338.4</v>
      </c>
      <c r="E1195" t="n">
        <v>129338.4</v>
      </c>
      <c r="F1195" t="n">
        <v>1.292</v>
      </c>
      <c r="G1195" t="n">
        <v>-1000</v>
      </c>
      <c r="H1195" t="n">
        <v>16.710521</v>
      </c>
      <c r="I1195" t="n">
        <v>17.296524</v>
      </c>
      <c r="J1195" t="n">
        <v>-0.5860030000000001</v>
      </c>
      <c r="K1195" s="4">
        <f>IFERROR(J1195/I1195,"")</f>
        <v/>
      </c>
      <c r="L1195" s="4">
        <f>IFERROR((D1195-E1195)/E1195,"")</f>
        <v/>
      </c>
      <c r="M1195" s="19">
        <f>IFERROR(F1195*G1195/10000,"")</f>
        <v/>
      </c>
    </row>
    <row r="1196">
      <c r="A1196" t="inlineStr">
        <is>
          <t>2026-10-30</t>
        </is>
      </c>
      <c r="B1196" t="inlineStr">
        <is>
          <t>515050</t>
        </is>
      </c>
      <c r="C1196" t="inlineStr">
        <is>
          <t>通信ETF华夏</t>
        </is>
      </c>
      <c r="D1196" t="n">
        <v>1810520.54</v>
      </c>
      <c r="E1196" t="n">
        <v>1789320.54</v>
      </c>
      <c r="F1196" t="n">
        <v>0.721</v>
      </c>
      <c r="G1196" t="n">
        <v>21200</v>
      </c>
      <c r="H1196" t="n">
        <v>129.010011</v>
      </c>
      <c r="I1196" t="n">
        <v>139.411002</v>
      </c>
      <c r="J1196" t="n">
        <v>-10.400991</v>
      </c>
      <c r="K1196" s="4">
        <f>IFERROR(J1196/I1196,"")</f>
        <v/>
      </c>
      <c r="L1196" s="4">
        <f>IFERROR((D1196-E1196)/E1196,"")</f>
        <v/>
      </c>
      <c r="M1196" s="19">
        <f>IFERROR(F1196*G1196/10000,"")</f>
        <v/>
      </c>
    </row>
    <row r="1197">
      <c r="A1197" t="inlineStr">
        <is>
          <t>2026-10-30</t>
        </is>
      </c>
      <c r="B1197" t="inlineStr">
        <is>
          <t>515060</t>
        </is>
      </c>
      <c r="C1197" t="inlineStr">
        <is>
          <t>房地产ETF华夏</t>
        </is>
      </c>
      <c r="D1197" t="n">
        <v>131647.81</v>
      </c>
      <c r="E1197" t="n">
        <v>133047.81</v>
      </c>
      <c r="F1197" t="n">
        <v>0.545</v>
      </c>
      <c r="G1197" t="n">
        <v>-1400</v>
      </c>
      <c r="H1197" t="n">
        <v>7.251105</v>
      </c>
      <c r="I1197" t="n">
        <v>7.435228</v>
      </c>
      <c r="J1197" t="n">
        <v>-0.184123</v>
      </c>
      <c r="K1197" s="4">
        <f>IFERROR(J1197/I1197,"")</f>
        <v/>
      </c>
      <c r="L1197" s="4">
        <f>IFERROR((D1197-E1197)/E1197,"")</f>
        <v/>
      </c>
      <c r="M1197" s="19">
        <f>IFERROR(F1197*G1197/10000,"")</f>
        <v/>
      </c>
    </row>
    <row r="1198">
      <c r="A1198" t="inlineStr">
        <is>
          <t>2026-10-30</t>
        </is>
      </c>
      <c r="B1198" t="inlineStr">
        <is>
          <t>515070</t>
        </is>
      </c>
      <c r="C1198" t="inlineStr">
        <is>
          <t>人工智能ETF华夏</t>
        </is>
      </c>
      <c r="D1198" t="n">
        <v>741894.04</v>
      </c>
      <c r="E1198" t="n">
        <v>739694.04</v>
      </c>
      <c r="F1198" t="n">
        <v>0.89</v>
      </c>
      <c r="G1198" t="n">
        <v>2200</v>
      </c>
      <c r="H1198" t="n">
        <v>65.832769</v>
      </c>
      <c r="I1198" t="n">
        <v>69.275155</v>
      </c>
      <c r="J1198" t="n">
        <v>-3.442386</v>
      </c>
      <c r="K1198" s="4">
        <f>IFERROR(J1198/I1198,"")</f>
        <v/>
      </c>
      <c r="L1198" s="4">
        <f>IFERROR((D1198-E1198)/E1198,"")</f>
        <v/>
      </c>
      <c r="M1198" s="19">
        <f>IFERROR(F1198*G1198/10000,"")</f>
        <v/>
      </c>
    </row>
    <row r="1199">
      <c r="A1199" t="inlineStr">
        <is>
          <t>2026-10-30</t>
        </is>
      </c>
      <c r="B1199" t="inlineStr">
        <is>
          <t>515080</t>
        </is>
      </c>
      <c r="C1199" t="inlineStr">
        <is>
          <t>中证红利ETF招商</t>
        </is>
      </c>
      <c r="D1199" t="n">
        <v>762914.89</v>
      </c>
      <c r="E1199" t="n">
        <v>765314.89</v>
      </c>
      <c r="F1199" t="n">
        <v>1.566</v>
      </c>
      <c r="G1199" t="n">
        <v>-2400</v>
      </c>
      <c r="H1199" t="n">
        <v>119.848311</v>
      </c>
      <c r="I1199" t="n">
        <v>119.054254</v>
      </c>
      <c r="J1199" t="n">
        <v>0.794057</v>
      </c>
      <c r="K1199" s="4">
        <f>IFERROR(J1199/I1199,"")</f>
        <v/>
      </c>
      <c r="L1199" s="4">
        <f>IFERROR((D1199-E1199)/E1199,"")</f>
        <v/>
      </c>
      <c r="M1199" s="19">
        <f>IFERROR(F1199*G1199/10000,"")</f>
        <v/>
      </c>
    </row>
    <row r="1200">
      <c r="A1200" t="inlineStr">
        <is>
          <t>2026-10-30</t>
        </is>
      </c>
      <c r="B1200" t="inlineStr">
        <is>
          <t>515090</t>
        </is>
      </c>
      <c r="C1200" t="inlineStr">
        <is>
          <t>可持续发展ETF博时</t>
        </is>
      </c>
      <c r="D1200" t="n">
        <v>1280.17</v>
      </c>
      <c r="E1200" t="n">
        <v>1280.17</v>
      </c>
      <c r="F1200" t="n">
        <v>1.22</v>
      </c>
      <c r="G1200" t="n">
        <v>0</v>
      </c>
      <c r="H1200" t="n">
        <v>0.156181</v>
      </c>
      <c r="I1200" t="n">
        <v>0.156181</v>
      </c>
      <c r="J1200" t="n">
        <v>0</v>
      </c>
      <c r="K1200" s="4">
        <f>IFERROR(J1200/I1200,"")</f>
        <v/>
      </c>
      <c r="L1200" s="4">
        <f>IFERROR((D1200-E1200)/E1200,"")</f>
        <v/>
      </c>
      <c r="M1200" s="19">
        <f>IFERROR(F1200*G1200/10000,"")</f>
        <v/>
      </c>
    </row>
    <row r="1201">
      <c r="A1201" t="inlineStr">
        <is>
          <t>2026-10-30</t>
        </is>
      </c>
      <c r="B1201" t="inlineStr">
        <is>
          <t>515100</t>
        </is>
      </c>
      <c r="C1201" t="inlineStr">
        <is>
          <t>红利低波100ETF景顺</t>
        </is>
      </c>
      <c r="D1201" t="n">
        <v>339319.15</v>
      </c>
      <c r="E1201" t="n">
        <v>337969.15</v>
      </c>
      <c r="F1201" t="n">
        <v>1.439</v>
      </c>
      <c r="G1201" t="n">
        <v>1350</v>
      </c>
      <c r="H1201" t="n">
        <v>48.633761</v>
      </c>
      <c r="I1201" t="n">
        <v>48.395583</v>
      </c>
      <c r="J1201" t="n">
        <v>0.238178</v>
      </c>
      <c r="K1201" s="4">
        <f>IFERROR(J1201/I1201,"")</f>
        <v/>
      </c>
      <c r="L1201" s="4">
        <f>IFERROR((D1201-E1201)/E1201,"")</f>
        <v/>
      </c>
      <c r="M1201" s="19">
        <f>IFERROR(F1201*G1201/10000,"")</f>
        <v/>
      </c>
    </row>
    <row r="1202">
      <c r="A1202" t="inlineStr">
        <is>
          <t>2026-10-30</t>
        </is>
      </c>
      <c r="B1202" t="inlineStr">
        <is>
          <t>515110</t>
        </is>
      </c>
      <c r="C1202" t="inlineStr">
        <is>
          <t>一带一路ETF易方达</t>
        </is>
      </c>
      <c r="D1202" t="n">
        <v>21329.5</v>
      </c>
      <c r="E1202" t="n">
        <v>21329.5</v>
      </c>
      <c r="F1202" t="n">
        <v>1.547</v>
      </c>
      <c r="G1202" t="n">
        <v>0</v>
      </c>
      <c r="H1202" t="n">
        <v>3.299674</v>
      </c>
      <c r="I1202" t="n">
        <v>3.316737</v>
      </c>
      <c r="J1202" t="n">
        <v>-0.017063</v>
      </c>
      <c r="K1202" s="4">
        <f>IFERROR(J1202/I1202,"")</f>
        <v/>
      </c>
      <c r="L1202" s="4">
        <f>IFERROR((D1202-E1202)/E1202,"")</f>
        <v/>
      </c>
      <c r="M1202" s="19">
        <f>IFERROR(F1202*G1202/10000,"")</f>
        <v/>
      </c>
    </row>
    <row r="1203">
      <c r="A1203" t="inlineStr">
        <is>
          <t>2026-10-30</t>
        </is>
      </c>
      <c r="B1203" t="inlineStr">
        <is>
          <t>515120</t>
        </is>
      </c>
      <c r="C1203" t="inlineStr">
        <is>
          <t>创新药ETF广发</t>
        </is>
      </c>
      <c r="D1203" t="n">
        <v>1666899.36</v>
      </c>
      <c r="E1203" t="n">
        <v>1669699.36</v>
      </c>
      <c r="F1203" t="n">
        <v>0.587</v>
      </c>
      <c r="G1203" t="n">
        <v>-2800</v>
      </c>
      <c r="H1203" t="n">
        <v>98.011352</v>
      </c>
      <c r="I1203" t="n">
        <v>99.37490200000001</v>
      </c>
      <c r="J1203" t="n">
        <v>-1.36355</v>
      </c>
      <c r="K1203" s="4">
        <f>IFERROR(J1203/I1203,"")</f>
        <v/>
      </c>
      <c r="L1203" s="4">
        <f>IFERROR((D1203-E1203)/E1203,"")</f>
        <v/>
      </c>
      <c r="M1203" s="19">
        <f>IFERROR(F1203*G1203/10000,"")</f>
        <v/>
      </c>
    </row>
    <row r="1204">
      <c r="A1204" t="inlineStr">
        <is>
          <t>2026-10-30</t>
        </is>
      </c>
      <c r="B1204" t="inlineStr">
        <is>
          <t>515130</t>
        </is>
      </c>
      <c r="C1204" t="inlineStr">
        <is>
          <t>沪深300ETF博时</t>
        </is>
      </c>
      <c r="D1204" t="n">
        <v>11846.32</v>
      </c>
      <c r="E1204" t="n">
        <v>12146.32</v>
      </c>
      <c r="F1204" t="n">
        <v>1.361</v>
      </c>
      <c r="G1204" t="n">
        <v>-300</v>
      </c>
      <c r="H1204" t="n">
        <v>1.653114</v>
      </c>
      <c r="I1204" t="n">
        <v>1.671333</v>
      </c>
      <c r="J1204" t="n">
        <v>-0.018219</v>
      </c>
      <c r="K1204" s="4">
        <f>IFERROR(J1204/I1204,"")</f>
        <v/>
      </c>
      <c r="L1204" s="4">
        <f>IFERROR((D1204-E1204)/E1204,"")</f>
        <v/>
      </c>
      <c r="M1204" s="19">
        <f>IFERROR(F1204*G1204/10000,"")</f>
        <v/>
      </c>
    </row>
    <row r="1205">
      <c r="A1205" t="inlineStr">
        <is>
          <t>2026-10-30</t>
        </is>
      </c>
      <c r="B1205" t="inlineStr">
        <is>
          <t>515150</t>
        </is>
      </c>
      <c r="C1205" t="inlineStr">
        <is>
          <t>一带一路ETF富国</t>
        </is>
      </c>
      <c r="D1205" t="n">
        <v>39870.32</v>
      </c>
      <c r="E1205" t="n">
        <v>39770.32</v>
      </c>
      <c r="F1205" t="n">
        <v>1.465</v>
      </c>
      <c r="G1205" t="n">
        <v>100</v>
      </c>
      <c r="H1205" t="n">
        <v>5.826352</v>
      </c>
      <c r="I1205" t="n">
        <v>5.854191</v>
      </c>
      <c r="J1205" t="n">
        <v>-0.027839</v>
      </c>
      <c r="K1205" s="4">
        <f>IFERROR(J1205/I1205,"")</f>
        <v/>
      </c>
      <c r="L1205" s="4">
        <f>IFERROR((D1205-E1205)/E1205,"")</f>
        <v/>
      </c>
      <c r="M1205" s="19">
        <f>IFERROR(F1205*G1205/10000,"")</f>
        <v/>
      </c>
    </row>
    <row r="1206">
      <c r="A1206" t="inlineStr">
        <is>
          <t>2026-10-30</t>
        </is>
      </c>
      <c r="B1206" t="inlineStr">
        <is>
          <t>515160</t>
        </is>
      </c>
      <c r="C1206" t="inlineStr">
        <is>
          <t>MSCI中国ETF招商</t>
        </is>
      </c>
      <c r="D1206" t="n">
        <v>24395.51</v>
      </c>
      <c r="E1206" t="n">
        <v>24395.51</v>
      </c>
      <c r="F1206" t="n">
        <v>1.413</v>
      </c>
      <c r="G1206" t="n">
        <v>0</v>
      </c>
      <c r="H1206" t="n">
        <v>3.447085</v>
      </c>
      <c r="I1206" t="n">
        <v>3.483678</v>
      </c>
      <c r="J1206" t="n">
        <v>-0.036593</v>
      </c>
      <c r="K1206" s="4">
        <f>IFERROR(J1206/I1206,"")</f>
        <v/>
      </c>
      <c r="L1206" s="4">
        <f>IFERROR((D1206-E1206)/E1206,"")</f>
        <v/>
      </c>
      <c r="M1206" s="19">
        <f>IFERROR(F1206*G1206/10000,"")</f>
        <v/>
      </c>
    </row>
    <row r="1207">
      <c r="A1207" t="inlineStr">
        <is>
          <t>2026-10-30</t>
        </is>
      </c>
      <c r="B1207" t="inlineStr">
        <is>
          <t>515170</t>
        </is>
      </c>
      <c r="C1207" t="inlineStr">
        <is>
          <t>食品饮料ETF华夏</t>
        </is>
      </c>
      <c r="D1207" t="n">
        <v>853525.79</v>
      </c>
      <c r="E1207" t="n">
        <v>856375.79</v>
      </c>
      <c r="F1207" t="n">
        <v>0.458</v>
      </c>
      <c r="G1207" t="n">
        <v>-2850</v>
      </c>
      <c r="H1207" t="n">
        <v>39.222011</v>
      </c>
      <c r="I1207" t="n">
        <v>38.930973</v>
      </c>
      <c r="J1207" t="n">
        <v>0.291038</v>
      </c>
      <c r="K1207" s="4">
        <f>IFERROR(J1207/I1207,"")</f>
        <v/>
      </c>
      <c r="L1207" s="4">
        <f>IFERROR((D1207-E1207)/E1207,"")</f>
        <v/>
      </c>
      <c r="M1207" s="19">
        <f>IFERROR(F1207*G1207/10000,"")</f>
        <v/>
      </c>
    </row>
    <row r="1208">
      <c r="A1208" t="inlineStr">
        <is>
          <t>2026-10-30</t>
        </is>
      </c>
      <c r="B1208" t="inlineStr">
        <is>
          <t>515180</t>
        </is>
      </c>
      <c r="C1208" t="inlineStr">
        <is>
          <t>红利ETF易方达</t>
        </is>
      </c>
      <c r="D1208" t="n">
        <v>1448863.7</v>
      </c>
      <c r="E1208" t="n">
        <v>1453063.7</v>
      </c>
      <c r="F1208" t="n">
        <v>1.373</v>
      </c>
      <c r="G1208" t="n">
        <v>-4200</v>
      </c>
      <c r="H1208" t="n">
        <v>199.505646</v>
      </c>
      <c r="I1208" t="n">
        <v>198.25193</v>
      </c>
      <c r="J1208" t="n">
        <v>1.253716</v>
      </c>
      <c r="K1208" s="4">
        <f>IFERROR(J1208/I1208,"")</f>
        <v/>
      </c>
      <c r="L1208" s="4">
        <f>IFERROR((D1208-E1208)/E1208,"")</f>
        <v/>
      </c>
      <c r="M1208" s="19">
        <f>IFERROR(F1208*G1208/10000,"")</f>
        <v/>
      </c>
    </row>
    <row r="1209">
      <c r="A1209" t="inlineStr">
        <is>
          <t>2026-10-30</t>
        </is>
      </c>
      <c r="B1209" t="inlineStr">
        <is>
          <t>515190</t>
        </is>
      </c>
      <c r="C1209" t="inlineStr">
        <is>
          <t>中证500ETF中银证券</t>
        </is>
      </c>
      <c r="D1209" t="n">
        <v>30146.61</v>
      </c>
      <c r="E1209" t="n">
        <v>30146.61</v>
      </c>
      <c r="F1209" t="n">
        <v>1.365</v>
      </c>
      <c r="G1209" t="n">
        <v>0</v>
      </c>
      <c r="H1209" t="n">
        <v>4.115012</v>
      </c>
      <c r="I1209" t="n">
        <v>4.226554</v>
      </c>
      <c r="J1209" t="n">
        <v>-0.111542</v>
      </c>
      <c r="K1209" s="4">
        <f>IFERROR(J1209/I1209,"")</f>
        <v/>
      </c>
      <c r="L1209" s="4">
        <f>IFERROR((D1209-E1209)/E1209,"")</f>
        <v/>
      </c>
      <c r="M1209" s="19">
        <f>IFERROR(F1209*G1209/10000,"")</f>
        <v/>
      </c>
    </row>
    <row r="1210">
      <c r="A1210" t="inlineStr">
        <is>
          <t>2026-10-30</t>
        </is>
      </c>
      <c r="B1210" t="inlineStr">
        <is>
          <t>515200</t>
        </is>
      </c>
      <c r="C1210" t="inlineStr">
        <is>
          <t>创新100ETF申万菱信</t>
        </is>
      </c>
      <c r="D1210" t="n">
        <v>3894.32</v>
      </c>
      <c r="E1210" t="n">
        <v>3894.32</v>
      </c>
      <c r="F1210" t="n">
        <v>2.002</v>
      </c>
      <c r="G1210" t="n">
        <v>0</v>
      </c>
      <c r="H1210" t="n">
        <v>0.779643</v>
      </c>
      <c r="I1210" t="n">
        <v>0.8037879999999999</v>
      </c>
      <c r="J1210" t="n">
        <v>-0.024145</v>
      </c>
      <c r="K1210" s="4">
        <f>IFERROR(J1210/I1210,"")</f>
        <v/>
      </c>
      <c r="L1210" s="4">
        <f>IFERROR((D1210-E1210)/E1210,"")</f>
        <v/>
      </c>
      <c r="M1210" s="19">
        <f>IFERROR(F1210*G1210/10000,"")</f>
        <v/>
      </c>
    </row>
    <row r="1211">
      <c r="A1211" t="inlineStr">
        <is>
          <t>2026-10-30</t>
        </is>
      </c>
      <c r="B1211" t="inlineStr">
        <is>
          <t>515210</t>
        </is>
      </c>
      <c r="C1211" t="inlineStr">
        <is>
          <t>钢铁ETF国泰</t>
        </is>
      </c>
      <c r="D1211" t="n">
        <v>91972.61</v>
      </c>
      <c r="E1211" t="n">
        <v>93122.61</v>
      </c>
      <c r="F1211" t="n">
        <v>1.051</v>
      </c>
      <c r="G1211" t="n">
        <v>-1150</v>
      </c>
      <c r="H1211" t="n">
        <v>9.787186</v>
      </c>
      <c r="I1211" t="n">
        <v>9.956174000000001</v>
      </c>
      <c r="J1211" t="n">
        <v>-0.168988</v>
      </c>
      <c r="K1211" s="4">
        <f>IFERROR(J1211/I1211,"")</f>
        <v/>
      </c>
      <c r="L1211" s="4">
        <f>IFERROR((D1211-E1211)/E1211,"")</f>
        <v/>
      </c>
      <c r="M1211" s="19">
        <f>IFERROR(F1211*G1211/10000,"")</f>
        <v/>
      </c>
    </row>
    <row r="1212">
      <c r="A1212" t="inlineStr">
        <is>
          <t>2026-10-30</t>
        </is>
      </c>
      <c r="B1212" t="inlineStr">
        <is>
          <t>515220</t>
        </is>
      </c>
      <c r="C1212" t="inlineStr">
        <is>
          <t>煤炭ETF国泰</t>
        </is>
      </c>
      <c r="D1212" t="n">
        <v>698717.6899999999</v>
      </c>
      <c r="E1212" t="n">
        <v>708867.6899999999</v>
      </c>
      <c r="F1212" t="n">
        <v>1.229</v>
      </c>
      <c r="G1212" t="n">
        <v>-10150</v>
      </c>
      <c r="H1212" t="n">
        <v>87.119839</v>
      </c>
      <c r="I1212" t="n">
        <v>86.500044</v>
      </c>
      <c r="J1212" t="n">
        <v>0.619795</v>
      </c>
      <c r="K1212" s="4">
        <f>IFERROR(J1212/I1212,"")</f>
        <v/>
      </c>
      <c r="L1212" s="4">
        <f>IFERROR((D1212-E1212)/E1212,"")</f>
        <v/>
      </c>
      <c r="M1212" s="19">
        <f>IFERROR(F1212*G1212/10000,"")</f>
        <v/>
      </c>
    </row>
    <row r="1213">
      <c r="A1213" t="inlineStr">
        <is>
          <t>2026-10-30</t>
        </is>
      </c>
      <c r="B1213" t="inlineStr">
        <is>
          <t>515230</t>
        </is>
      </c>
      <c r="C1213" t="inlineStr">
        <is>
          <t>软件ETF国泰</t>
        </is>
      </c>
      <c r="D1213" t="n">
        <v>838469.09</v>
      </c>
      <c r="E1213" t="n">
        <v>831869.09</v>
      </c>
      <c r="F1213" t="n">
        <v>0.631</v>
      </c>
      <c r="G1213" t="n">
        <v>6600</v>
      </c>
      <c r="H1213" t="n">
        <v>52.490939</v>
      </c>
      <c r="I1213" t="n">
        <v>54.040261</v>
      </c>
      <c r="J1213" t="n">
        <v>-1.549322</v>
      </c>
      <c r="K1213" s="4">
        <f>IFERROR(J1213/I1213,"")</f>
        <v/>
      </c>
      <c r="L1213" s="4">
        <f>IFERROR((D1213-E1213)/E1213,"")</f>
        <v/>
      </c>
      <c r="M1213" s="19">
        <f>IFERROR(F1213*G1213/10000,"")</f>
        <v/>
      </c>
    </row>
    <row r="1214">
      <c r="A1214" t="inlineStr">
        <is>
          <t>2026-10-30</t>
        </is>
      </c>
      <c r="B1214" t="inlineStr">
        <is>
          <t>515250</t>
        </is>
      </c>
      <c r="C1214" t="inlineStr">
        <is>
          <t>智能汽车ETF富国</t>
        </is>
      </c>
      <c r="D1214" t="n">
        <v>36394.45</v>
      </c>
      <c r="E1214" t="n">
        <v>36694.45</v>
      </c>
      <c r="F1214" t="n">
        <v>0.838</v>
      </c>
      <c r="G1214" t="n">
        <v>-300</v>
      </c>
      <c r="H1214" t="n">
        <v>3.074995</v>
      </c>
      <c r="I1214" t="n">
        <v>2.987219</v>
      </c>
      <c r="J1214" t="n">
        <v>0.08777600000000001</v>
      </c>
      <c r="K1214" s="4">
        <f>IFERROR(J1214/I1214,"")</f>
        <v/>
      </c>
      <c r="L1214" s="4">
        <f>IFERROR((D1214-E1214)/E1214,"")</f>
        <v/>
      </c>
      <c r="M1214" s="19">
        <f>IFERROR(F1214*G1214/10000,"")</f>
        <v/>
      </c>
    </row>
    <row r="1215">
      <c r="A1215" t="inlineStr">
        <is>
          <t>2026-10-30</t>
        </is>
      </c>
      <c r="B1215" t="inlineStr">
        <is>
          <t>515260</t>
        </is>
      </c>
      <c r="C1215" t="inlineStr">
        <is>
          <t>电子ETF华宝</t>
        </is>
      </c>
      <c r="D1215" t="n">
        <v>86256.84</v>
      </c>
      <c r="E1215" t="n">
        <v>85656.84</v>
      </c>
      <c r="F1215" t="n">
        <v>0.626</v>
      </c>
      <c r="G1215" t="n">
        <v>600</v>
      </c>
      <c r="H1215" t="n">
        <v>5.362118</v>
      </c>
      <c r="I1215" t="n">
        <v>5.714797</v>
      </c>
      <c r="J1215" t="n">
        <v>-0.352679</v>
      </c>
      <c r="K1215" s="4">
        <f>IFERROR(J1215/I1215,"")</f>
        <v/>
      </c>
      <c r="L1215" s="4">
        <f>IFERROR((D1215-E1215)/E1215,"")</f>
        <v/>
      </c>
      <c r="M1215" s="19">
        <f>IFERROR(F1215*G1215/10000,"")</f>
        <v/>
      </c>
    </row>
    <row r="1216">
      <c r="A1216" t="inlineStr">
        <is>
          <t>2026-10-30</t>
        </is>
      </c>
      <c r="B1216" t="inlineStr">
        <is>
          <t>515290</t>
        </is>
      </c>
      <c r="C1216" t="inlineStr">
        <is>
          <t>银行ETF天弘</t>
        </is>
      </c>
      <c r="D1216" t="n">
        <v>260927.29</v>
      </c>
      <c r="E1216" t="n">
        <v>262937.29</v>
      </c>
      <c r="F1216" t="n">
        <v>1.597</v>
      </c>
      <c r="G1216" t="n">
        <v>-2010</v>
      </c>
      <c r="H1216" t="n">
        <v>41.991086</v>
      </c>
      <c r="I1216" t="n">
        <v>40.106353</v>
      </c>
      <c r="J1216" t="n">
        <v>1.884733</v>
      </c>
      <c r="K1216" s="4">
        <f>IFERROR(J1216/I1216,"")</f>
        <v/>
      </c>
      <c r="L1216" s="4">
        <f>IFERROR((D1216-E1216)/E1216,"")</f>
        <v/>
      </c>
      <c r="M1216" s="19">
        <f>IFERROR(F1216*G1216/10000,"")</f>
        <v/>
      </c>
    </row>
    <row r="1217">
      <c r="A1217" t="inlineStr">
        <is>
          <t>2026-10-30</t>
        </is>
      </c>
      <c r="B1217" t="inlineStr">
        <is>
          <t>515300</t>
        </is>
      </c>
      <c r="C1217" t="inlineStr">
        <is>
          <t>300红利低波ETF嘉实</t>
        </is>
      </c>
      <c r="D1217" t="n">
        <v>309867.52</v>
      </c>
      <c r="E1217" t="n">
        <v>307317.52</v>
      </c>
      <c r="F1217" t="n">
        <v>1.371</v>
      </c>
      <c r="G1217" t="n">
        <v>2550</v>
      </c>
      <c r="H1217" t="n">
        <v>42.133231</v>
      </c>
      <c r="I1217" t="n">
        <v>41.586825</v>
      </c>
      <c r="J1217" t="n">
        <v>0.5464059999999999</v>
      </c>
      <c r="K1217" s="4">
        <f>IFERROR(J1217/I1217,"")</f>
        <v/>
      </c>
      <c r="L1217" s="4">
        <f>IFERROR((D1217-E1217)/E1217,"")</f>
        <v/>
      </c>
      <c r="M1217" s="19">
        <f>IFERROR(F1217*G1217/10000,"")</f>
        <v/>
      </c>
    </row>
    <row r="1218">
      <c r="A1218" t="inlineStr">
        <is>
          <t>2026-10-30</t>
        </is>
      </c>
      <c r="B1218" t="inlineStr">
        <is>
          <t>515310</t>
        </is>
      </c>
      <c r="C1218" t="inlineStr">
        <is>
          <t>沪深300ETF汇添富</t>
        </is>
      </c>
      <c r="D1218" t="n">
        <v>40911.12</v>
      </c>
      <c r="E1218" t="n">
        <v>40911.12</v>
      </c>
      <c r="F1218" t="n">
        <v>1.225</v>
      </c>
      <c r="G1218" t="n">
        <v>0</v>
      </c>
      <c r="H1218" t="n">
        <v>5.011612</v>
      </c>
      <c r="I1218" t="n">
        <v>5.060706</v>
      </c>
      <c r="J1218" t="n">
        <v>-0.049094</v>
      </c>
      <c r="K1218" s="4">
        <f>IFERROR(J1218/I1218,"")</f>
        <v/>
      </c>
      <c r="L1218" s="4">
        <f>IFERROR((D1218-E1218)/E1218,"")</f>
        <v/>
      </c>
      <c r="M1218" s="19">
        <f>IFERROR(F1218*G1218/10000,"")</f>
        <v/>
      </c>
    </row>
    <row r="1219">
      <c r="A1219" t="inlineStr">
        <is>
          <t>2026-10-30</t>
        </is>
      </c>
      <c r="B1219" t="inlineStr">
        <is>
          <t>515320</t>
        </is>
      </c>
      <c r="C1219" t="inlineStr">
        <is>
          <t>电子50ETF华安</t>
        </is>
      </c>
      <c r="D1219" t="n">
        <v>8830.9</v>
      </c>
      <c r="E1219" t="n">
        <v>8930.9</v>
      </c>
      <c r="F1219" t="n">
        <v>1.131</v>
      </c>
      <c r="G1219" t="n">
        <v>-100</v>
      </c>
      <c r="H1219" t="n">
        <v>1.010085</v>
      </c>
      <c r="I1219" t="n">
        <v>1.089316</v>
      </c>
      <c r="J1219" t="n">
        <v>-0.079231</v>
      </c>
      <c r="K1219" s="4">
        <f>IFERROR(J1219/I1219,"")</f>
        <v/>
      </c>
      <c r="L1219" s="4">
        <f>IFERROR((D1219-E1219)/E1219,"")</f>
        <v/>
      </c>
      <c r="M1219" s="19">
        <f>IFERROR(F1219*G1219/10000,"")</f>
        <v/>
      </c>
    </row>
    <row r="1220">
      <c r="A1220" t="inlineStr">
        <is>
          <t>2026-10-30</t>
        </is>
      </c>
      <c r="B1220" t="inlineStr">
        <is>
          <t>515330</t>
        </is>
      </c>
      <c r="C1220" t="inlineStr">
        <is>
          <t>沪深300ETF天弘</t>
        </is>
      </c>
      <c r="D1220" t="n">
        <v>799470.95</v>
      </c>
      <c r="E1220" t="n">
        <v>799470.95</v>
      </c>
      <c r="F1220" t="n">
        <v>1.184</v>
      </c>
      <c r="G1220" t="n">
        <v>0</v>
      </c>
      <c r="H1220" t="n">
        <v>94.65736</v>
      </c>
      <c r="I1220" t="n">
        <v>95.57262799999999</v>
      </c>
      <c r="J1220" t="n">
        <v>-0.915268</v>
      </c>
      <c r="K1220" s="4">
        <f>IFERROR(J1220/I1220,"")</f>
        <v/>
      </c>
      <c r="L1220" s="4">
        <f>IFERROR((D1220-E1220)/E1220,"")</f>
        <v/>
      </c>
      <c r="M1220" s="19">
        <f>IFERROR(F1220*G1220/10000,"")</f>
        <v/>
      </c>
    </row>
    <row r="1221">
      <c r="A1221" t="inlineStr">
        <is>
          <t>2026-10-30</t>
        </is>
      </c>
      <c r="B1221" t="inlineStr">
        <is>
          <t>515350</t>
        </is>
      </c>
      <c r="C1221" t="inlineStr">
        <is>
          <t>沪深300ETF民生加银</t>
        </is>
      </c>
      <c r="D1221" t="n">
        <v>1169.92</v>
      </c>
      <c r="E1221" t="n">
        <v>1169.92</v>
      </c>
      <c r="F1221" t="n">
        <v>5.523</v>
      </c>
      <c r="G1221" t="n">
        <v>0</v>
      </c>
      <c r="H1221" t="n">
        <v>0.646146</v>
      </c>
      <c r="I1221" t="n">
        <v>0.651645</v>
      </c>
      <c r="J1221" t="n">
        <v>-0.005499</v>
      </c>
      <c r="K1221" s="4">
        <f>IFERROR(J1221/I1221,"")</f>
        <v/>
      </c>
      <c r="L1221" s="4">
        <f>IFERROR((D1221-E1221)/E1221,"")</f>
        <v/>
      </c>
      <c r="M1221" s="19">
        <f>IFERROR(F1221*G1221/10000,"")</f>
        <v/>
      </c>
    </row>
    <row r="1222">
      <c r="A1222" t="inlineStr">
        <is>
          <t>2026-10-30</t>
        </is>
      </c>
      <c r="B1222" t="inlineStr">
        <is>
          <t>515360</t>
        </is>
      </c>
      <c r="C1222" t="inlineStr">
        <is>
          <t>沪深300ETF方正富邦</t>
        </is>
      </c>
      <c r="D1222" t="n">
        <v>3727.93</v>
      </c>
      <c r="E1222" t="n">
        <v>3727.93</v>
      </c>
      <c r="F1222" t="n">
        <v>6.01</v>
      </c>
      <c r="G1222" t="n">
        <v>0</v>
      </c>
      <c r="H1222" t="n">
        <v>2.240488</v>
      </c>
      <c r="I1222" t="n">
        <v>2.259128</v>
      </c>
      <c r="J1222" t="n">
        <v>-0.01864</v>
      </c>
      <c r="K1222" s="4">
        <f>IFERROR(J1222/I1222,"")</f>
        <v/>
      </c>
      <c r="L1222" s="4">
        <f>IFERROR((D1222-E1222)/E1222,"")</f>
        <v/>
      </c>
      <c r="M1222" s="19">
        <f>IFERROR(F1222*G1222/10000,"")</f>
        <v/>
      </c>
    </row>
    <row r="1223">
      <c r="A1223" t="inlineStr">
        <is>
          <t>2026-10-30</t>
        </is>
      </c>
      <c r="B1223" t="inlineStr">
        <is>
          <t>515370</t>
        </is>
      </c>
      <c r="C1223" t="inlineStr">
        <is>
          <t>光伏ETF华夏</t>
        </is>
      </c>
      <c r="D1223" t="n">
        <v>97771.3</v>
      </c>
      <c r="E1223" t="n">
        <v>97971.3</v>
      </c>
      <c r="F1223" t="n">
        <v>0.662</v>
      </c>
      <c r="G1223" t="n">
        <v>-200</v>
      </c>
      <c r="H1223" t="n">
        <v>6.4857</v>
      </c>
      <c r="I1223" t="n">
        <v>6.62286</v>
      </c>
      <c r="J1223" t="n">
        <v>-0.13716</v>
      </c>
      <c r="K1223" s="4">
        <f>IFERROR(J1223/I1223,"")</f>
        <v/>
      </c>
      <c r="L1223" s="4">
        <f>IFERROR((D1223-E1223)/E1223,"")</f>
        <v/>
      </c>
      <c r="M1223" s="19">
        <f>IFERROR(F1223*G1223/10000,"")</f>
        <v/>
      </c>
    </row>
    <row r="1224">
      <c r="A1224" t="inlineStr">
        <is>
          <t>2026-10-30</t>
        </is>
      </c>
      <c r="B1224" t="inlineStr">
        <is>
          <t>515380</t>
        </is>
      </c>
      <c r="C1224" t="inlineStr">
        <is>
          <t>沪深300ETF泰康</t>
        </is>
      </c>
      <c r="D1224" t="n">
        <v>70659.98</v>
      </c>
      <c r="E1224" t="n">
        <v>70659.98</v>
      </c>
      <c r="F1224" t="n">
        <v>4.782</v>
      </c>
      <c r="G1224" t="n">
        <v>0</v>
      </c>
      <c r="H1224" t="n">
        <v>33.789603</v>
      </c>
      <c r="I1224" t="n">
        <v>34.135837</v>
      </c>
      <c r="J1224" t="n">
        <v>-0.346234</v>
      </c>
      <c r="K1224" s="4">
        <f>IFERROR(J1224/I1224,"")</f>
        <v/>
      </c>
      <c r="L1224" s="4">
        <f>IFERROR((D1224-E1224)/E1224,"")</f>
        <v/>
      </c>
      <c r="M1224" s="19">
        <f>IFERROR(F1224*G1224/10000,"")</f>
        <v/>
      </c>
    </row>
    <row r="1225">
      <c r="A1225" t="inlineStr">
        <is>
          <t>2026-10-30</t>
        </is>
      </c>
      <c r="B1225" t="inlineStr">
        <is>
          <t>515390</t>
        </is>
      </c>
      <c r="C1225" t="inlineStr">
        <is>
          <t>沪深300ETF华安</t>
        </is>
      </c>
      <c r="D1225" t="n">
        <v>282668.3</v>
      </c>
      <c r="E1225" t="n">
        <v>283068.3</v>
      </c>
      <c r="F1225" t="n">
        <v>1.2</v>
      </c>
      <c r="G1225" t="n">
        <v>-400</v>
      </c>
      <c r="H1225" t="n">
        <v>33.968196</v>
      </c>
      <c r="I1225" t="n">
        <v>34.259398</v>
      </c>
      <c r="J1225" t="n">
        <v>-0.291202</v>
      </c>
      <c r="K1225" s="4">
        <f>IFERROR(J1225/I1225,"")</f>
        <v/>
      </c>
      <c r="L1225" s="4">
        <f>IFERROR((D1225-E1225)/E1225,"")</f>
        <v/>
      </c>
      <c r="M1225" s="19">
        <f>IFERROR(F1225*G1225/10000,"")</f>
        <v/>
      </c>
    </row>
    <row r="1226">
      <c r="A1226" t="inlineStr">
        <is>
          <t>2026-10-30</t>
        </is>
      </c>
      <c r="B1226" t="inlineStr">
        <is>
          <t>515400</t>
        </is>
      </c>
      <c r="C1226" t="inlineStr">
        <is>
          <t>大数据ETF富国</t>
        </is>
      </c>
      <c r="D1226" t="n">
        <v>160163.14</v>
      </c>
      <c r="E1226" t="n">
        <v>161063.14</v>
      </c>
      <c r="F1226" t="n">
        <v>0.737</v>
      </c>
      <c r="G1226" t="n">
        <v>-900</v>
      </c>
      <c r="H1226" t="n">
        <v>11.870353</v>
      </c>
      <c r="I1226" t="n">
        <v>12.19128</v>
      </c>
      <c r="J1226" t="n">
        <v>-0.320927</v>
      </c>
      <c r="K1226" s="4">
        <f>IFERROR(J1226/I1226,"")</f>
        <v/>
      </c>
      <c r="L1226" s="4">
        <f>IFERROR((D1226-E1226)/E1226,"")</f>
        <v/>
      </c>
      <c r="M1226" s="19">
        <f>IFERROR(F1226*G1226/10000,"")</f>
        <v/>
      </c>
    </row>
    <row r="1227">
      <c r="A1227" t="inlineStr">
        <is>
          <t>2026-10-30</t>
        </is>
      </c>
      <c r="B1227" t="inlineStr">
        <is>
          <t>515450</t>
        </is>
      </c>
      <c r="C1227" t="inlineStr">
        <is>
          <t>红利低波50ETF南方</t>
        </is>
      </c>
      <c r="D1227" t="n">
        <v>1393983.5</v>
      </c>
      <c r="E1227" t="n">
        <v>1390833.5</v>
      </c>
      <c r="F1227" t="n">
        <v>1.462</v>
      </c>
      <c r="G1227" t="n">
        <v>3150</v>
      </c>
      <c r="H1227" t="n">
        <v>203.339858</v>
      </c>
      <c r="I1227" t="n">
        <v>200.234919</v>
      </c>
      <c r="J1227" t="n">
        <v>3.104939</v>
      </c>
      <c r="K1227" s="4">
        <f>IFERROR(J1227/I1227,"")</f>
        <v/>
      </c>
      <c r="L1227" s="4">
        <f>IFERROR((D1227-E1227)/E1227,"")</f>
        <v/>
      </c>
      <c r="M1227" s="19">
        <f>IFERROR(F1227*G1227/10000,"")</f>
        <v/>
      </c>
    </row>
    <row r="1228">
      <c r="A1228" t="inlineStr">
        <is>
          <t>2026-10-30</t>
        </is>
      </c>
      <c r="B1228" t="inlineStr">
        <is>
          <t>515460</t>
        </is>
      </c>
      <c r="C1228" t="inlineStr">
        <is>
          <t>红利质量ETF南方</t>
        </is>
      </c>
      <c r="D1228" t="n">
        <v>27009.1</v>
      </c>
      <c r="E1228" t="n">
        <v>27209.1</v>
      </c>
      <c r="F1228" t="n">
        <v>0.863</v>
      </c>
      <c r="G1228" t="n">
        <v>-200</v>
      </c>
      <c r="H1228" t="n">
        <v>2.348145</v>
      </c>
      <c r="I1228" t="n">
        <v>2.365405</v>
      </c>
      <c r="J1228" t="n">
        <v>-0.01726</v>
      </c>
      <c r="K1228" s="4">
        <f>IFERROR(J1228/I1228,"")</f>
        <v/>
      </c>
      <c r="L1228" s="4">
        <f>IFERROR((D1228-E1228)/E1228,"")</f>
        <v/>
      </c>
      <c r="M1228" s="19">
        <f>IFERROR(F1228*G1228/10000,"")</f>
        <v/>
      </c>
    </row>
    <row r="1229">
      <c r="A1229" t="inlineStr">
        <is>
          <t>2026-10-30</t>
        </is>
      </c>
      <c r="B1229" t="inlineStr">
        <is>
          <t>515530</t>
        </is>
      </c>
      <c r="C1229" t="inlineStr">
        <is>
          <t>中证500ETF泰康</t>
        </is>
      </c>
      <c r="D1229" t="n">
        <v>1384.27</v>
      </c>
      <c r="E1229" t="n">
        <v>1384.27</v>
      </c>
      <c r="F1229" t="n">
        <v>3.577</v>
      </c>
      <c r="G1229" t="n">
        <v>0</v>
      </c>
      <c r="H1229" t="n">
        <v>0.495152</v>
      </c>
      <c r="I1229" t="n">
        <v>0.5083029999999999</v>
      </c>
      <c r="J1229" t="n">
        <v>-0.013151</v>
      </c>
      <c r="K1229" s="4">
        <f>IFERROR(J1229/I1229,"")</f>
        <v/>
      </c>
      <c r="L1229" s="4">
        <f>IFERROR((D1229-E1229)/E1229,"")</f>
        <v/>
      </c>
      <c r="M1229" s="19">
        <f>IFERROR(F1229*G1229/10000,"")</f>
        <v/>
      </c>
    </row>
    <row r="1230">
      <c r="A1230" t="inlineStr">
        <is>
          <t>2026-10-30</t>
        </is>
      </c>
      <c r="B1230" t="inlineStr">
        <is>
          <t>515550</t>
        </is>
      </c>
      <c r="C1230" t="inlineStr">
        <is>
          <t>中证500ETF国联</t>
        </is>
      </c>
      <c r="D1230" t="n">
        <v>2234.57</v>
      </c>
      <c r="E1230" t="n">
        <v>2234.57</v>
      </c>
      <c r="F1230" t="n">
        <v>1.48</v>
      </c>
      <c r="G1230" t="n">
        <v>0</v>
      </c>
      <c r="H1230" t="n">
        <v>0.330716</v>
      </c>
      <c r="I1230" t="n">
        <v>0.336303</v>
      </c>
      <c r="J1230" t="n">
        <v>-0.005587</v>
      </c>
      <c r="K1230" s="4">
        <f>IFERROR(J1230/I1230,"")</f>
        <v/>
      </c>
      <c r="L1230" s="4">
        <f>IFERROR((D1230-E1230)/E1230,"")</f>
        <v/>
      </c>
      <c r="M1230" s="19">
        <f>IFERROR(F1230*G1230/10000,"")</f>
        <v/>
      </c>
    </row>
    <row r="1231">
      <c r="A1231" t="inlineStr">
        <is>
          <t>2026-10-30</t>
        </is>
      </c>
      <c r="B1231" t="inlineStr">
        <is>
          <t>515560</t>
        </is>
      </c>
      <c r="C1231" t="inlineStr">
        <is>
          <t>证券ETF建信</t>
        </is>
      </c>
      <c r="D1231" t="n">
        <v>19088.33</v>
      </c>
      <c r="E1231" t="n">
        <v>19088.33</v>
      </c>
      <c r="F1231" t="n">
        <v>0.894</v>
      </c>
      <c r="G1231" t="n">
        <v>0</v>
      </c>
      <c r="H1231" t="n">
        <v>1.706497</v>
      </c>
      <c r="I1231" t="n">
        <v>1.737038</v>
      </c>
      <c r="J1231" t="n">
        <v>-0.030541</v>
      </c>
      <c r="K1231" s="4">
        <f>IFERROR(J1231/I1231,"")</f>
        <v/>
      </c>
      <c r="L1231" s="4">
        <f>IFERROR((D1231-E1231)/E1231,"")</f>
        <v/>
      </c>
      <c r="M1231" s="19">
        <f>IFERROR(F1231*G1231/10000,"")</f>
        <v/>
      </c>
    </row>
    <row r="1232">
      <c r="A1232" t="inlineStr">
        <is>
          <t>2026-10-30</t>
        </is>
      </c>
      <c r="B1232" t="inlineStr">
        <is>
          <t>515580</t>
        </is>
      </c>
      <c r="C1232" t="inlineStr">
        <is>
          <t>科技100ETF华泰柏瑞</t>
        </is>
      </c>
      <c r="D1232" t="n">
        <v>29803.14</v>
      </c>
      <c r="E1232" t="n">
        <v>29803.14</v>
      </c>
      <c r="F1232" t="n">
        <v>1.178</v>
      </c>
      <c r="G1232" t="n">
        <v>0</v>
      </c>
      <c r="H1232" t="n">
        <v>3.51081</v>
      </c>
      <c r="I1232" t="n">
        <v>3.594259</v>
      </c>
      <c r="J1232" t="n">
        <v>-0.083449</v>
      </c>
      <c r="K1232" s="4">
        <f>IFERROR(J1232/I1232,"")</f>
        <v/>
      </c>
      <c r="L1232" s="4">
        <f>IFERROR((D1232-E1232)/E1232,"")</f>
        <v/>
      </c>
      <c r="M1232" s="19">
        <f>IFERROR(F1232*G1232/10000,"")</f>
        <v/>
      </c>
    </row>
    <row r="1233">
      <c r="A1233" t="inlineStr">
        <is>
          <t>2026-10-30</t>
        </is>
      </c>
      <c r="B1233" t="inlineStr">
        <is>
          <t>515590</t>
        </is>
      </c>
      <c r="C1233" t="inlineStr">
        <is>
          <t>500等权ETF前海开源</t>
        </is>
      </c>
      <c r="D1233" t="n">
        <v>3611.37</v>
      </c>
      <c r="E1233" t="n">
        <v>3611.37</v>
      </c>
      <c r="F1233" t="n">
        <v>1.673</v>
      </c>
      <c r="G1233" t="n">
        <v>0</v>
      </c>
      <c r="H1233" t="n">
        <v>0.604182</v>
      </c>
      <c r="I1233" t="n">
        <v>0.618988</v>
      </c>
      <c r="J1233" t="n">
        <v>-0.014806</v>
      </c>
      <c r="K1233" s="4">
        <f>IFERROR(J1233/I1233,"")</f>
        <v/>
      </c>
      <c r="L1233" s="4">
        <f>IFERROR((D1233-E1233)/E1233,"")</f>
        <v/>
      </c>
      <c r="M1233" s="19">
        <f>IFERROR(F1233*G1233/10000,"")</f>
        <v/>
      </c>
    </row>
    <row r="1234">
      <c r="A1234" t="inlineStr">
        <is>
          <t>2026-10-30</t>
        </is>
      </c>
      <c r="B1234" t="inlineStr">
        <is>
          <t>515600</t>
        </is>
      </c>
      <c r="C1234" t="inlineStr">
        <is>
          <t>央企创新ETF广发</t>
        </is>
      </c>
      <c r="D1234" t="n">
        <v>103379.74</v>
      </c>
      <c r="E1234" t="n">
        <v>103379.74</v>
      </c>
      <c r="F1234" t="n">
        <v>1.627</v>
      </c>
      <c r="G1234" t="n">
        <v>0</v>
      </c>
      <c r="H1234" t="n">
        <v>16.819884</v>
      </c>
      <c r="I1234" t="n">
        <v>16.784414</v>
      </c>
      <c r="J1234" t="n">
        <v>0.03547</v>
      </c>
      <c r="K1234" s="4">
        <f>IFERROR(J1234/I1234,"")</f>
        <v/>
      </c>
      <c r="L1234" s="4">
        <f>IFERROR((D1234-E1234)/E1234,"")</f>
        <v/>
      </c>
      <c r="M1234" s="19">
        <f>IFERROR(F1234*G1234/10000,"")</f>
        <v/>
      </c>
    </row>
    <row r="1235">
      <c r="A1235" t="inlineStr">
        <is>
          <t>2026-10-30</t>
        </is>
      </c>
      <c r="B1235" t="inlineStr">
        <is>
          <t>515630</t>
        </is>
      </c>
      <c r="C1235" t="inlineStr">
        <is>
          <t>证券保险ETF鹏华</t>
        </is>
      </c>
      <c r="D1235" t="n">
        <v>92721.77</v>
      </c>
      <c r="E1235" t="n">
        <v>92771.77</v>
      </c>
      <c r="F1235" t="n">
        <v>1.162</v>
      </c>
      <c r="G1235" t="n">
        <v>-50</v>
      </c>
      <c r="H1235" t="n">
        <v>10.78008</v>
      </c>
      <c r="I1235" t="n">
        <v>10.8343</v>
      </c>
      <c r="J1235" t="n">
        <v>-0.05422</v>
      </c>
      <c r="K1235" s="4">
        <f>IFERROR(J1235/I1235,"")</f>
        <v/>
      </c>
      <c r="L1235" s="4">
        <f>IFERROR((D1235-E1235)/E1235,"")</f>
        <v/>
      </c>
      <c r="M1235" s="19">
        <f>IFERROR(F1235*G1235/10000,"")</f>
        <v/>
      </c>
    </row>
    <row r="1236">
      <c r="A1236" t="inlineStr">
        <is>
          <t>2026-10-30</t>
        </is>
      </c>
      <c r="B1236" t="inlineStr">
        <is>
          <t>515640</t>
        </is>
      </c>
      <c r="C1236" t="inlineStr">
        <is>
          <t>家电ETF华夏</t>
        </is>
      </c>
      <c r="D1236" t="n">
        <v>2755</v>
      </c>
      <c r="E1236" t="n">
        <v>2755</v>
      </c>
      <c r="F1236" t="n">
        <v>0.887</v>
      </c>
      <c r="G1236" t="n">
        <v>0</v>
      </c>
      <c r="H1236" t="n">
        <v>0.244369</v>
      </c>
      <c r="I1236" t="n">
        <v>0.247124</v>
      </c>
      <c r="J1236" t="n">
        <v>-0.002755</v>
      </c>
      <c r="K1236" s="4">
        <f>IFERROR(J1236/I1236,"")</f>
        <v/>
      </c>
      <c r="L1236" s="4">
        <f>IFERROR((D1236-E1236)/E1236,"")</f>
        <v/>
      </c>
      <c r="M1236" s="19">
        <f>IFERROR(F1236*G1236/10000,"")</f>
        <v/>
      </c>
    </row>
    <row r="1237">
      <c r="A1237" t="inlineStr">
        <is>
          <t>2026-10-30</t>
        </is>
      </c>
      <c r="B1237" t="inlineStr">
        <is>
          <t>515650</t>
        </is>
      </c>
      <c r="C1237" t="inlineStr">
        <is>
          <t>消费50ETF富国</t>
        </is>
      </c>
      <c r="D1237" t="n">
        <v>344118.4</v>
      </c>
      <c r="E1237" t="n">
        <v>346918.4</v>
      </c>
      <c r="F1237" t="n">
        <v>1.07</v>
      </c>
      <c r="G1237" t="n">
        <v>-2800</v>
      </c>
      <c r="H1237" t="n">
        <v>37.120269</v>
      </c>
      <c r="I1237" t="n">
        <v>36.542435</v>
      </c>
      <c r="J1237" t="n">
        <v>0.577834</v>
      </c>
      <c r="K1237" s="4">
        <f>IFERROR(J1237/I1237,"")</f>
        <v/>
      </c>
      <c r="L1237" s="4">
        <f>IFERROR((D1237-E1237)/E1237,"")</f>
        <v/>
      </c>
      <c r="M1237" s="19">
        <f>IFERROR(F1237*G1237/10000,"")</f>
        <v/>
      </c>
    </row>
    <row r="1238">
      <c r="A1238" t="inlineStr">
        <is>
          <t>2026-10-30</t>
        </is>
      </c>
      <c r="B1238" t="inlineStr">
        <is>
          <t>515660</t>
        </is>
      </c>
      <c r="C1238" t="inlineStr">
        <is>
          <t>沪深300ETF国联安</t>
        </is>
      </c>
      <c r="D1238" t="n">
        <v>59289.42</v>
      </c>
      <c r="E1238" t="n">
        <v>58839.42</v>
      </c>
      <c r="F1238" t="n">
        <v>5.154</v>
      </c>
      <c r="G1238" t="n">
        <v>450</v>
      </c>
      <c r="H1238" t="n">
        <v>30.325835</v>
      </c>
      <c r="I1238" t="n">
        <v>26.155526</v>
      </c>
      <c r="J1238" t="n">
        <v>4.170309</v>
      </c>
      <c r="K1238" s="4">
        <f>IFERROR(J1238/I1238,"")</f>
        <v/>
      </c>
      <c r="L1238" s="4">
        <f>IFERROR((D1238-E1238)/E1238,"")</f>
        <v/>
      </c>
      <c r="M1238" s="19">
        <f>IFERROR(F1238*G1238/10000,"")</f>
        <v/>
      </c>
    </row>
    <row r="1239">
      <c r="A1239" t="inlineStr">
        <is>
          <t>2026-10-30</t>
        </is>
      </c>
      <c r="B1239" t="inlineStr">
        <is>
          <t>515680</t>
        </is>
      </c>
      <c r="C1239" t="inlineStr">
        <is>
          <t>央企创新ETF嘉实</t>
        </is>
      </c>
      <c r="D1239" t="n">
        <v>109326.47</v>
      </c>
      <c r="E1239" t="n">
        <v>109326.47</v>
      </c>
      <c r="F1239" t="n">
        <v>1.631</v>
      </c>
      <c r="G1239" t="n">
        <v>0</v>
      </c>
      <c r="H1239" t="n">
        <v>17.831147</v>
      </c>
      <c r="I1239" t="n">
        <v>17.809282</v>
      </c>
      <c r="J1239" t="n">
        <v>0.021865</v>
      </c>
      <c r="K1239" s="4">
        <f>IFERROR(J1239/I1239,"")</f>
        <v/>
      </c>
      <c r="L1239" s="4">
        <f>IFERROR((D1239-E1239)/E1239,"")</f>
        <v/>
      </c>
      <c r="M1239" s="19">
        <f>IFERROR(F1239*G1239/10000,"")</f>
        <v/>
      </c>
    </row>
    <row r="1240">
      <c r="A1240" t="inlineStr">
        <is>
          <t>2026-10-30</t>
        </is>
      </c>
      <c r="B1240" t="inlineStr">
        <is>
          <t>515700</t>
        </is>
      </c>
      <c r="C1240" t="inlineStr">
        <is>
          <t>新能源车ETF平安</t>
        </is>
      </c>
      <c r="D1240" t="n">
        <v>59151.02</v>
      </c>
      <c r="E1240" t="n">
        <v>58651.02</v>
      </c>
      <c r="F1240" t="n">
        <v>1.733</v>
      </c>
      <c r="G1240" t="n">
        <v>500</v>
      </c>
      <c r="H1240" t="n">
        <v>10.164222</v>
      </c>
      <c r="I1240" t="n">
        <v>10.404691</v>
      </c>
      <c r="J1240" t="n">
        <v>-0.240469</v>
      </c>
      <c r="K1240" s="4">
        <f>IFERROR(J1240/I1240,"")</f>
        <v/>
      </c>
      <c r="L1240" s="4">
        <f>IFERROR((D1240-E1240)/E1240,"")</f>
        <v/>
      </c>
      <c r="M1240" s="19">
        <f>IFERROR(F1240*G1240/10000,"")</f>
        <v/>
      </c>
    </row>
    <row r="1241">
      <c r="A1241" t="inlineStr">
        <is>
          <t>2026-10-30</t>
        </is>
      </c>
      <c r="B1241" t="inlineStr">
        <is>
          <t>515710</t>
        </is>
      </c>
      <c r="C1241" t="inlineStr">
        <is>
          <t>食品饮料ETF华宝</t>
        </is>
      </c>
      <c r="D1241" t="n">
        <v>228259.98</v>
      </c>
      <c r="E1241" t="n">
        <v>228409.98</v>
      </c>
      <c r="F1241" t="n">
        <v>0.49</v>
      </c>
      <c r="G1241" t="n">
        <v>-150</v>
      </c>
      <c r="H1241" t="n">
        <v>11.192089</v>
      </c>
      <c r="I1241" t="n">
        <v>11.116261</v>
      </c>
      <c r="J1241" t="n">
        <v>0.07582800000000001</v>
      </c>
      <c r="K1241" s="4">
        <f>IFERROR(J1241/I1241,"")</f>
        <v/>
      </c>
      <c r="L1241" s="4">
        <f>IFERROR((D1241-E1241)/E1241,"")</f>
        <v/>
      </c>
      <c r="M1241" s="19">
        <f>IFERROR(F1241*G1241/10000,"")</f>
        <v/>
      </c>
    </row>
    <row r="1242">
      <c r="A1242" t="inlineStr">
        <is>
          <t>2026-10-30</t>
        </is>
      </c>
      <c r="B1242" t="inlineStr">
        <is>
          <t>515720</t>
        </is>
      </c>
      <c r="C1242" t="inlineStr">
        <is>
          <t>金融科技ETF富国</t>
        </is>
      </c>
      <c r="D1242" t="n">
        <v>52361.1</v>
      </c>
      <c r="E1242" t="n">
        <v>52061.1</v>
      </c>
      <c r="F1242" t="n">
        <v>0.622</v>
      </c>
      <c r="G1242" t="n">
        <v>300</v>
      </c>
      <c r="H1242" t="n">
        <v>3.2382</v>
      </c>
      <c r="I1242" t="n">
        <v>3.313924</v>
      </c>
      <c r="J1242" t="n">
        <v>-0.075724</v>
      </c>
      <c r="K1242" s="4">
        <f>IFERROR(J1242/I1242,"")</f>
        <v/>
      </c>
      <c r="L1242" s="4">
        <f>IFERROR((D1242-E1242)/E1242,"")</f>
        <v/>
      </c>
      <c r="M1242" s="19">
        <f>IFERROR(F1242*G1242/10000,"")</f>
        <v/>
      </c>
    </row>
    <row r="1243">
      <c r="A1243" t="inlineStr">
        <is>
          <t>2026-10-30</t>
        </is>
      </c>
      <c r="B1243" t="inlineStr">
        <is>
          <t>515730</t>
        </is>
      </c>
      <c r="C1243" t="inlineStr">
        <is>
          <t>家居家电ETF永赢</t>
        </is>
      </c>
      <c r="D1243" t="n">
        <v>4189.2</v>
      </c>
      <c r="E1243" t="n">
        <v>4189.2</v>
      </c>
      <c r="F1243" t="n">
        <v>0.769</v>
      </c>
      <c r="G1243" t="n">
        <v>0</v>
      </c>
      <c r="H1243" t="n">
        <v>0.322149</v>
      </c>
      <c r="I1243" t="n">
        <v>0.325501</v>
      </c>
      <c r="J1243" t="n">
        <v>-0.003352</v>
      </c>
      <c r="K1243" s="4">
        <f>IFERROR(J1243/I1243,"")</f>
        <v/>
      </c>
      <c r="L1243" s="4">
        <f>IFERROR((D1243-E1243)/E1243,"")</f>
        <v/>
      </c>
      <c r="M1243" s="19">
        <f>IFERROR(F1243*G1243/10000,"")</f>
        <v/>
      </c>
    </row>
    <row r="1244">
      <c r="A1244" t="inlineStr">
        <is>
          <t>2026-10-30</t>
        </is>
      </c>
      <c r="B1244" t="inlineStr">
        <is>
          <t>515750</t>
        </is>
      </c>
      <c r="C1244" t="inlineStr">
        <is>
          <t>科技50ETF富国</t>
        </is>
      </c>
      <c r="D1244" t="n">
        <v>26514.05</v>
      </c>
      <c r="E1244" t="n">
        <v>26514.05</v>
      </c>
      <c r="F1244" t="n">
        <v>1.76</v>
      </c>
      <c r="G1244" t="n">
        <v>0</v>
      </c>
      <c r="H1244" t="n">
        <v>4.666474</v>
      </c>
      <c r="I1244" t="n">
        <v>4.77302</v>
      </c>
      <c r="J1244" t="n">
        <v>-0.106546</v>
      </c>
      <c r="K1244" s="4">
        <f>IFERROR(J1244/I1244,"")</f>
        <v/>
      </c>
      <c r="L1244" s="4">
        <f>IFERROR((D1244-E1244)/E1244,"")</f>
        <v/>
      </c>
      <c r="M1244" s="19">
        <f>IFERROR(F1244*G1244/10000,"")</f>
        <v/>
      </c>
    </row>
    <row r="1245">
      <c r="A1245" t="inlineStr">
        <is>
          <t>2026-10-30</t>
        </is>
      </c>
      <c r="B1245" t="inlineStr">
        <is>
          <t>515760</t>
        </is>
      </c>
      <c r="C1245" t="inlineStr">
        <is>
          <t>浙江国资ETF华夏</t>
        </is>
      </c>
      <c r="D1245" t="n">
        <v>9488.809999999999</v>
      </c>
      <c r="E1245" t="n">
        <v>9488.809999999999</v>
      </c>
      <c r="F1245" t="n">
        <v>1.297</v>
      </c>
      <c r="G1245" t="n">
        <v>0</v>
      </c>
      <c r="H1245" t="n">
        <v>1.230698</v>
      </c>
      <c r="I1245" t="n">
        <v>1.239238</v>
      </c>
      <c r="J1245" t="n">
        <v>-0.008540000000000001</v>
      </c>
      <c r="K1245" s="4">
        <f>IFERROR(J1245/I1245,"")</f>
        <v/>
      </c>
      <c r="L1245" s="4">
        <f>IFERROR((D1245-E1245)/E1245,"")</f>
        <v/>
      </c>
      <c r="M1245" s="19">
        <f>IFERROR(F1245*G1245/10000,"")</f>
        <v/>
      </c>
    </row>
    <row r="1246">
      <c r="A1246" t="inlineStr">
        <is>
          <t>2026-10-30</t>
        </is>
      </c>
      <c r="B1246" t="inlineStr">
        <is>
          <t>515770</t>
        </is>
      </c>
      <c r="C1246" t="inlineStr">
        <is>
          <t>MSCI中国A股ETF摩根</t>
        </is>
      </c>
      <c r="D1246" t="n">
        <v>4272.73</v>
      </c>
      <c r="E1246" t="n">
        <v>4272.73</v>
      </c>
      <c r="F1246" t="n">
        <v>1.221</v>
      </c>
      <c r="G1246" t="n">
        <v>0</v>
      </c>
      <c r="H1246" t="n">
        <v>0.521701</v>
      </c>
      <c r="I1246" t="n">
        <v>0.525973</v>
      </c>
      <c r="J1246" t="n">
        <v>-0.004272</v>
      </c>
      <c r="K1246" s="4">
        <f>IFERROR(J1246/I1246,"")</f>
        <v/>
      </c>
      <c r="L1246" s="4">
        <f>IFERROR((D1246-E1246)/E1246,"")</f>
        <v/>
      </c>
      <c r="M1246" s="19">
        <f>IFERROR(F1246*G1246/10000,"")</f>
        <v/>
      </c>
    </row>
    <row r="1247">
      <c r="A1247" t="inlineStr">
        <is>
          <t>2026-10-30</t>
        </is>
      </c>
      <c r="B1247" t="inlineStr">
        <is>
          <t>515790</t>
        </is>
      </c>
      <c r="C1247" t="inlineStr">
        <is>
          <t>光伏ETF华泰柏瑞</t>
        </is>
      </c>
      <c r="D1247" t="n">
        <v>569749.4</v>
      </c>
      <c r="E1247" t="n">
        <v>573549.4</v>
      </c>
      <c r="F1247" t="n">
        <v>0.6909999999999999</v>
      </c>
      <c r="G1247" t="n">
        <v>-3800</v>
      </c>
      <c r="H1247" t="n">
        <v>39.632264</v>
      </c>
      <c r="I1247" t="n">
        <v>40.264283</v>
      </c>
      <c r="J1247" t="n">
        <v>-0.632019</v>
      </c>
      <c r="K1247" s="4">
        <f>IFERROR(J1247/I1247,"")</f>
        <v/>
      </c>
      <c r="L1247" s="4">
        <f>IFERROR((D1247-E1247)/E1247,"")</f>
        <v/>
      </c>
      <c r="M1247" s="19">
        <f>IFERROR(F1247*G1247/10000,"")</f>
        <v/>
      </c>
    </row>
    <row r="1248">
      <c r="A1248" t="inlineStr">
        <is>
          <t>2026-10-30</t>
        </is>
      </c>
      <c r="B1248" t="inlineStr">
        <is>
          <t>515800</t>
        </is>
      </c>
      <c r="C1248" t="inlineStr">
        <is>
          <t>中证800ETF汇添富</t>
        </is>
      </c>
      <c r="D1248" t="n">
        <v>392593.72</v>
      </c>
      <c r="E1248" t="n">
        <v>391693.72</v>
      </c>
      <c r="F1248" t="n">
        <v>1.115</v>
      </c>
      <c r="G1248" t="n">
        <v>900</v>
      </c>
      <c r="H1248" t="n">
        <v>43.67385</v>
      </c>
      <c r="I1248" t="n">
        <v>44.225943</v>
      </c>
      <c r="J1248" t="n">
        <v>-0.5520929999999999</v>
      </c>
      <c r="K1248" s="4">
        <f>IFERROR(J1248/I1248,"")</f>
        <v/>
      </c>
      <c r="L1248" s="4">
        <f>IFERROR((D1248-E1248)/E1248,"")</f>
        <v/>
      </c>
      <c r="M1248" s="19">
        <f>IFERROR(F1248*G1248/10000,"")</f>
        <v/>
      </c>
    </row>
    <row r="1249">
      <c r="A1249" t="inlineStr">
        <is>
          <t>2026-10-30</t>
        </is>
      </c>
      <c r="B1249" t="inlineStr">
        <is>
          <t>515810</t>
        </is>
      </c>
      <c r="C1249" t="inlineStr">
        <is>
          <t>中证800ETF易方达</t>
        </is>
      </c>
      <c r="D1249" t="n">
        <v>37790.88</v>
      </c>
      <c r="E1249" t="n">
        <v>37790.88</v>
      </c>
      <c r="F1249" t="n">
        <v>1.494</v>
      </c>
      <c r="G1249" t="n">
        <v>0</v>
      </c>
      <c r="H1249" t="n">
        <v>5.645958</v>
      </c>
      <c r="I1249" t="n">
        <v>5.532542</v>
      </c>
      <c r="J1249" t="n">
        <v>0.113416</v>
      </c>
      <c r="K1249" s="4">
        <f>IFERROR(J1249/I1249,"")</f>
        <v/>
      </c>
      <c r="L1249" s="4">
        <f>IFERROR((D1249-E1249)/E1249,"")</f>
        <v/>
      </c>
      <c r="M1249" s="19">
        <f>IFERROR(F1249*G1249/10000,"")</f>
        <v/>
      </c>
    </row>
    <row r="1250">
      <c r="A1250" t="inlineStr">
        <is>
          <t>2026-10-30</t>
        </is>
      </c>
      <c r="B1250" t="inlineStr">
        <is>
          <t>515850</t>
        </is>
      </c>
      <c r="C1250" t="inlineStr">
        <is>
          <t>证券ETF富国</t>
        </is>
      </c>
      <c r="D1250" t="n">
        <v>50279.1</v>
      </c>
      <c r="E1250" t="n">
        <v>49829.1</v>
      </c>
      <c r="F1250" t="n">
        <v>1.218</v>
      </c>
      <c r="G1250" t="n">
        <v>450</v>
      </c>
      <c r="H1250" t="n">
        <v>6.069184</v>
      </c>
      <c r="I1250" t="n">
        <v>6.173825</v>
      </c>
      <c r="J1250" t="n">
        <v>-0.104641</v>
      </c>
      <c r="K1250" s="4">
        <f>IFERROR(J1250/I1250,"")</f>
        <v/>
      </c>
      <c r="L1250" s="4">
        <f>IFERROR((D1250-E1250)/E1250,"")</f>
        <v/>
      </c>
      <c r="M1250" s="19">
        <f>IFERROR(F1250*G1250/10000,"")</f>
        <v/>
      </c>
    </row>
    <row r="1251">
      <c r="A1251" t="inlineStr">
        <is>
          <t>2026-10-30</t>
        </is>
      </c>
      <c r="B1251" t="inlineStr">
        <is>
          <t>515860</t>
        </is>
      </c>
      <c r="C1251" t="inlineStr">
        <is>
          <t>科技ETF嘉实</t>
        </is>
      </c>
      <c r="D1251" t="n">
        <v>10887.89</v>
      </c>
      <c r="E1251" t="n">
        <v>10887.89</v>
      </c>
      <c r="F1251" t="n">
        <v>1.712</v>
      </c>
      <c r="G1251" t="n">
        <v>0</v>
      </c>
      <c r="H1251" t="n">
        <v>1.864007</v>
      </c>
      <c r="I1251" t="n">
        <v>1.919536</v>
      </c>
      <c r="J1251" t="n">
        <v>-0.055529</v>
      </c>
      <c r="K1251" s="4">
        <f>IFERROR(J1251/I1251,"")</f>
        <v/>
      </c>
      <c r="L1251" s="4">
        <f>IFERROR((D1251-E1251)/E1251,"")</f>
        <v/>
      </c>
      <c r="M1251" s="19">
        <f>IFERROR(F1251*G1251/10000,"")</f>
        <v/>
      </c>
    </row>
    <row r="1252">
      <c r="A1252" t="inlineStr">
        <is>
          <t>2026-10-30</t>
        </is>
      </c>
      <c r="B1252" t="inlineStr">
        <is>
          <t>515880</t>
        </is>
      </c>
      <c r="C1252" t="inlineStr">
        <is>
          <t>通信ETF国泰</t>
        </is>
      </c>
      <c r="D1252" t="n">
        <v>6365777.4</v>
      </c>
      <c r="E1252" t="n">
        <v>6167777.4</v>
      </c>
      <c r="F1252" t="n">
        <v>0.463</v>
      </c>
      <c r="G1252" t="n">
        <v>198000</v>
      </c>
      <c r="H1252" t="n">
        <v>285.568093</v>
      </c>
      <c r="I1252" t="n">
        <v>316.285263</v>
      </c>
      <c r="J1252" t="n">
        <v>-30.71717</v>
      </c>
      <c r="K1252" s="4">
        <f>IFERROR(J1252/I1252,"")</f>
        <v/>
      </c>
      <c r="L1252" s="4">
        <f>IFERROR((D1252-E1252)/E1252,"")</f>
        <v/>
      </c>
      <c r="M1252" s="19">
        <f>IFERROR(F1252*G1252/10000,"")</f>
        <v/>
      </c>
    </row>
    <row r="1253">
      <c r="A1253" t="inlineStr">
        <is>
          <t>2026-10-30</t>
        </is>
      </c>
      <c r="B1253" t="inlineStr">
        <is>
          <t>515890</t>
        </is>
      </c>
      <c r="C1253" t="inlineStr">
        <is>
          <t>红利ETF博时</t>
        </is>
      </c>
      <c r="D1253" t="n">
        <v>38944.39</v>
      </c>
      <c r="E1253" t="n">
        <v>38944.39</v>
      </c>
      <c r="F1253" t="n">
        <v>1.478</v>
      </c>
      <c r="G1253" t="n">
        <v>0</v>
      </c>
      <c r="H1253" t="n">
        <v>5.755981</v>
      </c>
      <c r="I1253" t="n">
        <v>5.724825</v>
      </c>
      <c r="J1253" t="n">
        <v>0.031156</v>
      </c>
      <c r="K1253" s="4">
        <f>IFERROR(J1253/I1253,"")</f>
        <v/>
      </c>
      <c r="L1253" s="4">
        <f>IFERROR((D1253-E1253)/E1253,"")</f>
        <v/>
      </c>
      <c r="M1253" s="19">
        <f>IFERROR(F1253*G1253/10000,"")</f>
        <v/>
      </c>
    </row>
    <row r="1254">
      <c r="A1254" t="inlineStr">
        <is>
          <t>2026-10-30</t>
        </is>
      </c>
      <c r="B1254" t="inlineStr">
        <is>
          <t>515900</t>
        </is>
      </c>
      <c r="C1254" t="inlineStr">
        <is>
          <t>央企创新ETF博时</t>
        </is>
      </c>
      <c r="D1254" t="n">
        <v>222124.65</v>
      </c>
      <c r="E1254" t="n">
        <v>222124.65</v>
      </c>
      <c r="F1254" t="n">
        <v>1.603</v>
      </c>
      <c r="G1254" t="n">
        <v>0</v>
      </c>
      <c r="H1254" t="n">
        <v>35.606582</v>
      </c>
      <c r="I1254" t="n">
        <v>35.517732</v>
      </c>
      <c r="J1254" t="n">
        <v>0.08885</v>
      </c>
      <c r="K1254" s="4">
        <f>IFERROR(J1254/I1254,"")</f>
        <v/>
      </c>
      <c r="L1254" s="4">
        <f>IFERROR((D1254-E1254)/E1254,"")</f>
        <v/>
      </c>
      <c r="M1254" s="19">
        <f>IFERROR(F1254*G1254/10000,"")</f>
        <v/>
      </c>
    </row>
    <row r="1255">
      <c r="A1255" t="inlineStr">
        <is>
          <t>2026-10-30</t>
        </is>
      </c>
      <c r="B1255" t="inlineStr">
        <is>
          <t>515910</t>
        </is>
      </c>
      <c r="C1255" t="inlineStr">
        <is>
          <t>质量ETF中金</t>
        </is>
      </c>
      <c r="D1255" t="n">
        <v>22450.7</v>
      </c>
      <c r="E1255" t="n">
        <v>22450.7</v>
      </c>
      <c r="F1255" t="n">
        <v>0.586</v>
      </c>
      <c r="G1255" t="n">
        <v>0</v>
      </c>
      <c r="H1255" t="n">
        <v>1.315611</v>
      </c>
      <c r="I1255" t="n">
        <v>1.342552</v>
      </c>
      <c r="J1255" t="n">
        <v>-0.026941</v>
      </c>
      <c r="K1255" s="4">
        <f>IFERROR(J1255/I1255,"")</f>
        <v/>
      </c>
      <c r="L1255" s="4">
        <f>IFERROR((D1255-E1255)/E1255,"")</f>
        <v/>
      </c>
      <c r="M1255" s="19">
        <f>IFERROR(F1255*G1255/10000,"")</f>
        <v/>
      </c>
    </row>
    <row r="1256">
      <c r="A1256" t="inlineStr">
        <is>
          <t>2026-10-30</t>
        </is>
      </c>
      <c r="B1256" t="inlineStr">
        <is>
          <t>515920</t>
        </is>
      </c>
      <c r="C1256" t="inlineStr">
        <is>
          <t>智能消费ETF博时</t>
        </is>
      </c>
      <c r="D1256" t="n">
        <v>5990.57</v>
      </c>
      <c r="E1256" t="n">
        <v>5990.57</v>
      </c>
      <c r="F1256" t="n">
        <v>0.997</v>
      </c>
      <c r="G1256" t="n">
        <v>0</v>
      </c>
      <c r="H1256" t="n">
        <v>0.59726</v>
      </c>
      <c r="I1256" t="n">
        <v>0.618826</v>
      </c>
      <c r="J1256" t="n">
        <v>-0.021566</v>
      </c>
      <c r="K1256" s="4">
        <f>IFERROR(J1256/I1256,"")</f>
        <v/>
      </c>
      <c r="L1256" s="4">
        <f>IFERROR((D1256-E1256)/E1256,"")</f>
        <v/>
      </c>
      <c r="M1256" s="19">
        <f>IFERROR(F1256*G1256/10000,"")</f>
        <v/>
      </c>
    </row>
    <row r="1257">
      <c r="A1257" t="inlineStr">
        <is>
          <t>2026-10-30</t>
        </is>
      </c>
      <c r="B1257" t="inlineStr">
        <is>
          <t>515950</t>
        </is>
      </c>
      <c r="C1257" t="inlineStr">
        <is>
          <t>医药50ETF富国</t>
        </is>
      </c>
      <c r="D1257" t="n">
        <v>51920.06</v>
      </c>
      <c r="E1257" t="n">
        <v>51920.06</v>
      </c>
      <c r="F1257" t="n">
        <v>0.93</v>
      </c>
      <c r="G1257" t="n">
        <v>0</v>
      </c>
      <c r="H1257" t="n">
        <v>4.828566</v>
      </c>
      <c r="I1257" t="n">
        <v>4.802606</v>
      </c>
      <c r="J1257" t="n">
        <v>0.02596</v>
      </c>
      <c r="K1257" s="4">
        <f>IFERROR(J1257/I1257,"")</f>
        <v/>
      </c>
      <c r="L1257" s="4">
        <f>IFERROR((D1257-E1257)/E1257,"")</f>
        <v/>
      </c>
      <c r="M1257" s="19">
        <f>IFERROR(F1257*G1257/10000,"")</f>
        <v/>
      </c>
    </row>
    <row r="1258">
      <c r="A1258" t="inlineStr">
        <is>
          <t>2026-10-30</t>
        </is>
      </c>
      <c r="B1258" t="inlineStr">
        <is>
          <t>515960</t>
        </is>
      </c>
      <c r="C1258" t="inlineStr">
        <is>
          <t>医药ETF嘉实</t>
        </is>
      </c>
      <c r="D1258" t="n">
        <v>23899.19</v>
      </c>
      <c r="E1258" t="n">
        <v>23999.19</v>
      </c>
      <c r="F1258" t="n">
        <v>0.79</v>
      </c>
      <c r="G1258" t="n">
        <v>-100</v>
      </c>
      <c r="H1258" t="n">
        <v>1.895936</v>
      </c>
      <c r="I1258" t="n">
        <v>1.910336</v>
      </c>
      <c r="J1258" t="n">
        <v>-0.0144</v>
      </c>
      <c r="K1258" s="4">
        <f>IFERROR(J1258/I1258,"")</f>
        <v/>
      </c>
      <c r="L1258" s="4">
        <f>IFERROR((D1258-E1258)/E1258,"")</f>
        <v/>
      </c>
      <c r="M1258" s="19">
        <f>IFERROR(F1258*G1258/10000,"")</f>
        <v/>
      </c>
    </row>
    <row r="1259">
      <c r="A1259" t="inlineStr">
        <is>
          <t>2026-10-30</t>
        </is>
      </c>
      <c r="B1259" t="inlineStr">
        <is>
          <t>515970</t>
        </is>
      </c>
      <c r="C1259" t="inlineStr">
        <is>
          <t>工程机械ETF华夏</t>
        </is>
      </c>
      <c r="D1259" t="n">
        <v>42008.8</v>
      </c>
      <c r="E1259" t="n">
        <v>42908.8</v>
      </c>
      <c r="F1259" t="n">
        <v>0.747</v>
      </c>
      <c r="G1259" t="n">
        <v>-900</v>
      </c>
      <c r="H1259" t="n">
        <v>3.205287</v>
      </c>
      <c r="I1259" t="n">
        <v>3.112568</v>
      </c>
      <c r="J1259" t="n">
        <v>0.092719</v>
      </c>
      <c r="K1259" s="4">
        <f>IFERROR(J1259/I1259,"")</f>
        <v/>
      </c>
      <c r="L1259" s="4">
        <f>IFERROR((D1259-E1259)/E1259,"")</f>
        <v/>
      </c>
      <c r="M1259" s="19">
        <f>IFERROR(F1259*G1259/10000,"")</f>
        <v/>
      </c>
    </row>
    <row r="1260">
      <c r="A1260" t="inlineStr">
        <is>
          <t>2026-10-30</t>
        </is>
      </c>
      <c r="B1260" t="inlineStr">
        <is>
          <t>515980</t>
        </is>
      </c>
      <c r="C1260" t="inlineStr">
        <is>
          <t>人工智能ETF华富</t>
        </is>
      </c>
      <c r="D1260" t="n">
        <v>634412.9</v>
      </c>
      <c r="E1260" t="n">
        <v>636212.9</v>
      </c>
      <c r="F1260" t="n">
        <v>0.8080000000000001</v>
      </c>
      <c r="G1260" t="n">
        <v>-1800</v>
      </c>
      <c r="H1260" t="n">
        <v>51.406002</v>
      </c>
      <c r="I1260" t="n">
        <v>53.595191</v>
      </c>
      <c r="J1260" t="n">
        <v>-2.189189</v>
      </c>
      <c r="K1260" s="4">
        <f>IFERROR(J1260/I1260,"")</f>
        <v/>
      </c>
      <c r="L1260" s="4">
        <f>IFERROR((D1260-E1260)/E1260,"")</f>
        <v/>
      </c>
      <c r="M1260" s="19">
        <f>IFERROR(F1260*G1260/10000,"")</f>
        <v/>
      </c>
    </row>
    <row r="1261">
      <c r="A1261" t="inlineStr">
        <is>
          <t>2026-10-30</t>
        </is>
      </c>
      <c r="B1261" t="inlineStr">
        <is>
          <t>515990</t>
        </is>
      </c>
      <c r="C1261" t="inlineStr">
        <is>
          <t>一带一路ETF汇添富</t>
        </is>
      </c>
      <c r="D1261" t="n">
        <v>5135.02</v>
      </c>
      <c r="E1261" t="n">
        <v>5135.02</v>
      </c>
      <c r="F1261" t="n">
        <v>1.432</v>
      </c>
      <c r="G1261" t="n">
        <v>0</v>
      </c>
      <c r="H1261" t="n">
        <v>0.735334</v>
      </c>
      <c r="I1261" t="n">
        <v>0.738415</v>
      </c>
      <c r="J1261" t="n">
        <v>-0.003081</v>
      </c>
      <c r="K1261" s="4">
        <f>IFERROR(J1261/I1261,"")</f>
        <v/>
      </c>
      <c r="L1261" s="4">
        <f>IFERROR((D1261-E1261)/E1261,"")</f>
        <v/>
      </c>
      <c r="M1261" s="19">
        <f>IFERROR(F1261*G1261/10000,"")</f>
        <v/>
      </c>
    </row>
    <row r="1262">
      <c r="A1262" t="inlineStr">
        <is>
          <t>2026-10-30</t>
        </is>
      </c>
      <c r="B1262" t="inlineStr">
        <is>
          <t>516000</t>
        </is>
      </c>
      <c r="C1262" t="inlineStr">
        <is>
          <t>大数据ETF华夏</t>
        </is>
      </c>
      <c r="D1262" t="n">
        <v>42385.5</v>
      </c>
      <c r="E1262" t="n">
        <v>42385.5</v>
      </c>
      <c r="F1262" t="n">
        <v>0.8139999999999999</v>
      </c>
      <c r="G1262" t="n">
        <v>0</v>
      </c>
      <c r="H1262" t="n">
        <v>3.45018</v>
      </c>
      <c r="I1262" t="n">
        <v>3.560439</v>
      </c>
      <c r="J1262" t="n">
        <v>-0.110259</v>
      </c>
      <c r="K1262" s="4">
        <f>IFERROR(J1262/I1262,"")</f>
        <v/>
      </c>
      <c r="L1262" s="4">
        <f>IFERROR((D1262-E1262)/E1262,"")</f>
        <v/>
      </c>
      <c r="M1262" s="19">
        <f>IFERROR(F1262*G1262/10000,"")</f>
        <v/>
      </c>
    </row>
    <row r="1263">
      <c r="A1263" t="inlineStr">
        <is>
          <t>2026-10-30</t>
        </is>
      </c>
      <c r="B1263" t="inlineStr">
        <is>
          <t>516010</t>
        </is>
      </c>
      <c r="C1263" t="inlineStr">
        <is>
          <t>游戏ETF国泰</t>
        </is>
      </c>
      <c r="D1263" t="n">
        <v>240269.3</v>
      </c>
      <c r="E1263" t="n">
        <v>240669.3</v>
      </c>
      <c r="F1263" t="n">
        <v>1.002</v>
      </c>
      <c r="G1263" t="n">
        <v>-400</v>
      </c>
      <c r="H1263" t="n">
        <v>24.115064</v>
      </c>
      <c r="I1263" t="n">
        <v>24.235399</v>
      </c>
      <c r="J1263" t="n">
        <v>-0.120335</v>
      </c>
      <c r="K1263" s="4">
        <f>IFERROR(J1263/I1263,"")</f>
        <v/>
      </c>
      <c r="L1263" s="4">
        <f>IFERROR((D1263-E1263)/E1263,"")</f>
        <v/>
      </c>
      <c r="M1263" s="19">
        <f>IFERROR(F1263*G1263/10000,"")</f>
        <v/>
      </c>
    </row>
    <row r="1264">
      <c r="A1264" t="inlineStr">
        <is>
          <t>2026-10-30</t>
        </is>
      </c>
      <c r="B1264" t="inlineStr">
        <is>
          <t>516020</t>
        </is>
      </c>
      <c r="C1264" t="inlineStr">
        <is>
          <t>化工ETF华宝</t>
        </is>
      </c>
      <c r="D1264" t="n">
        <v>325032.62</v>
      </c>
      <c r="E1264" t="n">
        <v>325532.62</v>
      </c>
      <c r="F1264" t="n">
        <v>0.723</v>
      </c>
      <c r="G1264" t="n">
        <v>-500</v>
      </c>
      <c r="H1264" t="n">
        <v>23.536009</v>
      </c>
      <c r="I1264" t="n">
        <v>23.865588</v>
      </c>
      <c r="J1264" t="n">
        <v>-0.329579</v>
      </c>
      <c r="K1264" s="4">
        <f>IFERROR(J1264/I1264,"")</f>
        <v/>
      </c>
      <c r="L1264" s="4">
        <f>IFERROR((D1264-E1264)/E1264,"")</f>
        <v/>
      </c>
      <c r="M1264" s="19">
        <f>IFERROR(F1264*G1264/10000,"")</f>
        <v/>
      </c>
    </row>
    <row r="1265">
      <c r="A1265" t="inlineStr">
        <is>
          <t>2026-10-30</t>
        </is>
      </c>
      <c r="B1265" t="inlineStr">
        <is>
          <t>516050</t>
        </is>
      </c>
      <c r="C1265" t="inlineStr">
        <is>
          <t>科技龙头ETF工银</t>
        </is>
      </c>
      <c r="D1265" t="n">
        <v>16422.8</v>
      </c>
      <c r="E1265" t="n">
        <v>16422.8</v>
      </c>
      <c r="F1265" t="n">
        <v>1.045</v>
      </c>
      <c r="G1265" t="n">
        <v>0</v>
      </c>
      <c r="H1265" t="n">
        <v>1.716183</v>
      </c>
      <c r="I1265" t="n">
        <v>1.820813</v>
      </c>
      <c r="J1265" t="n">
        <v>-0.10463</v>
      </c>
      <c r="K1265" s="4">
        <f>IFERROR(J1265/I1265,"")</f>
        <v/>
      </c>
      <c r="L1265" s="4">
        <f>IFERROR((D1265-E1265)/E1265,"")</f>
        <v/>
      </c>
      <c r="M1265" s="19">
        <f>IFERROR(F1265*G1265/10000,"")</f>
        <v/>
      </c>
    </row>
    <row r="1266">
      <c r="A1266" t="inlineStr">
        <is>
          <t>2026-10-30</t>
        </is>
      </c>
      <c r="B1266" t="inlineStr">
        <is>
          <t>516060</t>
        </is>
      </c>
      <c r="C1266" t="inlineStr">
        <is>
          <t>创新药ETF工银</t>
        </is>
      </c>
      <c r="D1266" t="n">
        <v>28123.74</v>
      </c>
      <c r="E1266" t="n">
        <v>28123.74</v>
      </c>
      <c r="F1266" t="n">
        <v>0.551</v>
      </c>
      <c r="G1266" t="n">
        <v>0</v>
      </c>
      <c r="H1266" t="n">
        <v>1.549618</v>
      </c>
      <c r="I1266" t="n">
        <v>1.566492</v>
      </c>
      <c r="J1266" t="n">
        <v>-0.016874</v>
      </c>
      <c r="K1266" s="4">
        <f>IFERROR(J1266/I1266,"")</f>
        <v/>
      </c>
      <c r="L1266" s="4">
        <f>IFERROR((D1266-E1266)/E1266,"")</f>
        <v/>
      </c>
      <c r="M1266" s="19">
        <f>IFERROR(F1266*G1266/10000,"")</f>
        <v/>
      </c>
    </row>
    <row r="1267">
      <c r="A1267" t="inlineStr">
        <is>
          <t>2026-10-30</t>
        </is>
      </c>
      <c r="B1267" t="inlineStr">
        <is>
          <t>516070</t>
        </is>
      </c>
      <c r="C1267" t="inlineStr">
        <is>
          <t>低碳ETF易方达</t>
        </is>
      </c>
      <c r="D1267" t="n">
        <v>30464.6</v>
      </c>
      <c r="E1267" t="n">
        <v>30364.6</v>
      </c>
      <c r="F1267" t="n">
        <v>0.49</v>
      </c>
      <c r="G1267" t="n">
        <v>100</v>
      </c>
      <c r="H1267" t="n">
        <v>1.487865</v>
      </c>
      <c r="I1267" t="n">
        <v>1.485992</v>
      </c>
      <c r="J1267" t="n">
        <v>0.001873</v>
      </c>
      <c r="K1267" s="4">
        <f>IFERROR(J1267/I1267,"")</f>
        <v/>
      </c>
      <c r="L1267" s="4">
        <f>IFERROR((D1267-E1267)/E1267,"")</f>
        <v/>
      </c>
      <c r="M1267" s="19">
        <f>IFERROR(F1267*G1267/10000,"")</f>
        <v/>
      </c>
    </row>
    <row r="1268">
      <c r="A1268" t="inlineStr">
        <is>
          <t>2026-10-30</t>
        </is>
      </c>
      <c r="B1268" t="inlineStr">
        <is>
          <t>516080</t>
        </is>
      </c>
      <c r="C1268" t="inlineStr">
        <is>
          <t>创新药ETF易方达</t>
        </is>
      </c>
      <c r="D1268" t="n">
        <v>487455.48</v>
      </c>
      <c r="E1268" t="n">
        <v>485655.48</v>
      </c>
      <c r="F1268" t="n">
        <v>0.628</v>
      </c>
      <c r="G1268" t="n">
        <v>1800</v>
      </c>
      <c r="H1268" t="n">
        <v>30.499164</v>
      </c>
      <c r="I1268" t="n">
        <v>30.727157</v>
      </c>
      <c r="J1268" t="n">
        <v>-0.227993</v>
      </c>
      <c r="K1268" s="4">
        <f>IFERROR(J1268/I1268,"")</f>
        <v/>
      </c>
      <c r="L1268" s="4">
        <f>IFERROR((D1268-E1268)/E1268,"")</f>
        <v/>
      </c>
      <c r="M1268" s="19">
        <f>IFERROR(F1268*G1268/10000,"")</f>
        <v/>
      </c>
    </row>
    <row r="1269">
      <c r="A1269" t="inlineStr">
        <is>
          <t>2026-10-30</t>
        </is>
      </c>
      <c r="B1269" t="inlineStr">
        <is>
          <t>516090</t>
        </is>
      </c>
      <c r="C1269" t="inlineStr">
        <is>
          <t>新能源ETF易方达</t>
        </is>
      </c>
      <c r="D1269" t="n">
        <v>180684.48</v>
      </c>
      <c r="E1269" t="n">
        <v>179684.48</v>
      </c>
      <c r="F1269" t="n">
        <v>0.387</v>
      </c>
      <c r="G1269" t="n">
        <v>1000</v>
      </c>
      <c r="H1269" t="n">
        <v>6.953789</v>
      </c>
      <c r="I1269" t="n">
        <v>7.043631</v>
      </c>
      <c r="J1269" t="n">
        <v>-0.08984200000000001</v>
      </c>
      <c r="K1269" s="4">
        <f>IFERROR(J1269/I1269,"")</f>
        <v/>
      </c>
      <c r="L1269" s="4">
        <f>IFERROR((D1269-E1269)/E1269,"")</f>
        <v/>
      </c>
      <c r="M1269" s="19">
        <f>IFERROR(F1269*G1269/10000,"")</f>
        <v/>
      </c>
    </row>
    <row r="1270">
      <c r="A1270" t="inlineStr">
        <is>
          <t>2026-10-30</t>
        </is>
      </c>
      <c r="B1270" t="inlineStr">
        <is>
          <t>516100</t>
        </is>
      </c>
      <c r="C1270" t="inlineStr">
        <is>
          <t>金融科技ETF华夏</t>
        </is>
      </c>
      <c r="D1270" t="n">
        <v>117075.97</v>
      </c>
      <c r="E1270" t="n">
        <v>117175.97</v>
      </c>
      <c r="F1270" t="n">
        <v>0.928</v>
      </c>
      <c r="G1270" t="n">
        <v>-100</v>
      </c>
      <c r="H1270" t="n">
        <v>10.87393</v>
      </c>
      <c r="I1270" t="n">
        <v>11.095884</v>
      </c>
      <c r="J1270" t="n">
        <v>-0.221954</v>
      </c>
      <c r="K1270" s="4">
        <f>IFERROR(J1270/I1270,"")</f>
        <v/>
      </c>
      <c r="L1270" s="4">
        <f>IFERROR((D1270-E1270)/E1270,"")</f>
        <v/>
      </c>
      <c r="M1270" s="19">
        <f>IFERROR(F1270*G1270/10000,"")</f>
        <v/>
      </c>
    </row>
    <row r="1271">
      <c r="A1271" t="inlineStr">
        <is>
          <t>2026-10-30</t>
        </is>
      </c>
      <c r="B1271" t="inlineStr">
        <is>
          <t>516110</t>
        </is>
      </c>
      <c r="C1271" t="inlineStr">
        <is>
          <t>汽车ETF国泰</t>
        </is>
      </c>
      <c r="D1271" t="n">
        <v>29362.31</v>
      </c>
      <c r="E1271" t="n">
        <v>29262.31</v>
      </c>
      <c r="F1271" t="n">
        <v>1.049</v>
      </c>
      <c r="G1271" t="n">
        <v>100</v>
      </c>
      <c r="H1271" t="n">
        <v>3.069617</v>
      </c>
      <c r="I1271" t="n">
        <v>3.023423</v>
      </c>
      <c r="J1271" t="n">
        <v>0.046194</v>
      </c>
      <c r="K1271" s="4">
        <f>IFERROR(J1271/I1271,"")</f>
        <v/>
      </c>
      <c r="L1271" s="4">
        <f>IFERROR((D1271-E1271)/E1271,"")</f>
        <v/>
      </c>
      <c r="M1271" s="19">
        <f>IFERROR(F1271*G1271/10000,"")</f>
        <v/>
      </c>
    </row>
    <row r="1272">
      <c r="A1272" t="inlineStr">
        <is>
          <t>2026-10-30</t>
        </is>
      </c>
      <c r="B1272" t="inlineStr">
        <is>
          <t>516120</t>
        </is>
      </c>
      <c r="C1272" t="inlineStr">
        <is>
          <t>化工ETF富国</t>
        </is>
      </c>
      <c r="D1272" t="n">
        <v>444608.2</v>
      </c>
      <c r="E1272" t="n">
        <v>445658.2</v>
      </c>
      <c r="F1272" t="n">
        <v>0.741</v>
      </c>
      <c r="G1272" t="n">
        <v>-1050</v>
      </c>
      <c r="H1272" t="n">
        <v>33.023273</v>
      </c>
      <c r="I1272" t="n">
        <v>33.435615</v>
      </c>
      <c r="J1272" t="n">
        <v>-0.412342</v>
      </c>
      <c r="K1272" s="4">
        <f>IFERROR(J1272/I1272,"")</f>
        <v/>
      </c>
      <c r="L1272" s="4">
        <f>IFERROR((D1272-E1272)/E1272,"")</f>
        <v/>
      </c>
      <c r="M1272" s="19">
        <f>IFERROR(F1272*G1272/10000,"")</f>
        <v/>
      </c>
    </row>
    <row r="1273">
      <c r="A1273" t="inlineStr">
        <is>
          <t>2026-10-30</t>
        </is>
      </c>
      <c r="B1273" t="inlineStr">
        <is>
          <t>516130</t>
        </is>
      </c>
      <c r="C1273" t="inlineStr">
        <is>
          <t>消费龙头ETF华宝</t>
        </is>
      </c>
      <c r="D1273" t="n">
        <v>155789</v>
      </c>
      <c r="E1273" t="n">
        <v>155789</v>
      </c>
      <c r="F1273" t="n">
        <v>0.6820000000000001</v>
      </c>
      <c r="G1273" t="n">
        <v>0</v>
      </c>
      <c r="H1273" t="n">
        <v>10.62481</v>
      </c>
      <c r="I1273" t="n">
        <v>10.529258</v>
      </c>
      <c r="J1273" t="n">
        <v>0.095552</v>
      </c>
      <c r="K1273" s="4">
        <f>IFERROR(J1273/I1273,"")</f>
        <v/>
      </c>
      <c r="L1273" s="4">
        <f>IFERROR((D1273-E1273)/E1273,"")</f>
        <v/>
      </c>
      <c r="M1273" s="19">
        <f>IFERROR(F1273*G1273/10000,"")</f>
        <v/>
      </c>
    </row>
    <row r="1274">
      <c r="A1274" t="inlineStr">
        <is>
          <t>2026-10-30</t>
        </is>
      </c>
      <c r="B1274" t="inlineStr">
        <is>
          <t>516150</t>
        </is>
      </c>
      <c r="C1274" t="inlineStr">
        <is>
          <t>稀土ETF嘉实</t>
        </is>
      </c>
      <c r="D1274" t="n">
        <v>360057.7</v>
      </c>
      <c r="E1274" t="n">
        <v>361757.7</v>
      </c>
      <c r="F1274" t="n">
        <v>1.422</v>
      </c>
      <c r="G1274" t="n">
        <v>-1700</v>
      </c>
      <c r="H1274" t="n">
        <v>51.441945</v>
      </c>
      <c r="I1274" t="n">
        <v>52.670624</v>
      </c>
      <c r="J1274" t="n">
        <v>-1.228679</v>
      </c>
      <c r="K1274" s="4">
        <f>IFERROR(J1274/I1274,"")</f>
        <v/>
      </c>
      <c r="L1274" s="4">
        <f>IFERROR((D1274-E1274)/E1274,"")</f>
        <v/>
      </c>
      <c r="M1274" s="19">
        <f>IFERROR(F1274*G1274/10000,"")</f>
        <v/>
      </c>
    </row>
    <row r="1275">
      <c r="A1275" t="inlineStr">
        <is>
          <t>2026-10-30</t>
        </is>
      </c>
      <c r="B1275" t="inlineStr">
        <is>
          <t>516160</t>
        </is>
      </c>
      <c r="C1275" t="inlineStr">
        <is>
          <t>新能源ETF南方</t>
        </is>
      </c>
      <c r="D1275" t="n">
        <v>142214.2</v>
      </c>
      <c r="E1275" t="n">
        <v>142514.2</v>
      </c>
      <c r="F1275" t="n">
        <v>1.938</v>
      </c>
      <c r="G1275" t="n">
        <v>-300</v>
      </c>
      <c r="H1275" t="n">
        <v>27.619252</v>
      </c>
      <c r="I1275" t="n">
        <v>28.14324</v>
      </c>
      <c r="J1275" t="n">
        <v>-0.523988</v>
      </c>
      <c r="K1275" s="4">
        <f>IFERROR(J1275/I1275,"")</f>
        <v/>
      </c>
      <c r="L1275" s="4">
        <f>IFERROR((D1275-E1275)/E1275,"")</f>
        <v/>
      </c>
      <c r="M1275" s="19">
        <f>IFERROR(F1275*G1275/10000,"")</f>
        <v/>
      </c>
    </row>
    <row r="1276">
      <c r="A1276" t="inlineStr">
        <is>
          <t>2026-10-30</t>
        </is>
      </c>
      <c r="B1276" t="inlineStr">
        <is>
          <t>516180</t>
        </is>
      </c>
      <c r="C1276" t="inlineStr">
        <is>
          <t>光伏ETF平安</t>
        </is>
      </c>
      <c r="D1276" t="n">
        <v>14598.7</v>
      </c>
      <c r="E1276" t="n">
        <v>15598.7</v>
      </c>
      <c r="F1276" t="n">
        <v>0.573</v>
      </c>
      <c r="G1276" t="n">
        <v>-1000</v>
      </c>
      <c r="H1276" t="n">
        <v>0.893806</v>
      </c>
      <c r="I1276" t="n">
        <v>0.907844</v>
      </c>
      <c r="J1276" t="n">
        <v>-0.014038</v>
      </c>
      <c r="K1276" s="4">
        <f>IFERROR(J1276/I1276,"")</f>
        <v/>
      </c>
      <c r="L1276" s="4">
        <f>IFERROR((D1276-E1276)/E1276,"")</f>
        <v/>
      </c>
      <c r="M1276" s="19">
        <f>IFERROR(F1276*G1276/10000,"")</f>
        <v/>
      </c>
    </row>
    <row r="1277">
      <c r="A1277" t="inlineStr">
        <is>
          <t>2026-10-30</t>
        </is>
      </c>
      <c r="B1277" t="inlineStr">
        <is>
          <t>516190</t>
        </is>
      </c>
      <c r="C1277" t="inlineStr">
        <is>
          <t>传媒ETF华夏</t>
        </is>
      </c>
      <c r="D1277" t="n">
        <v>11381.85</v>
      </c>
      <c r="E1277" t="n">
        <v>11481.85</v>
      </c>
      <c r="F1277" t="n">
        <v>0.9409999999999999</v>
      </c>
      <c r="G1277" t="n">
        <v>-100</v>
      </c>
      <c r="H1277" t="n">
        <v>1.080443</v>
      </c>
      <c r="I1277" t="n">
        <v>1.098814</v>
      </c>
      <c r="J1277" t="n">
        <v>-0.018371</v>
      </c>
      <c r="K1277" s="4">
        <f>IFERROR(J1277/I1277,"")</f>
        <v/>
      </c>
      <c r="L1277" s="4">
        <f>IFERROR((D1277-E1277)/E1277,"")</f>
        <v/>
      </c>
      <c r="M1277" s="19">
        <f>IFERROR(F1277*G1277/10000,"")</f>
        <v/>
      </c>
    </row>
    <row r="1278">
      <c r="A1278" t="inlineStr">
        <is>
          <t>2026-10-30</t>
        </is>
      </c>
      <c r="B1278" t="inlineStr">
        <is>
          <t>516200</t>
        </is>
      </c>
      <c r="C1278" t="inlineStr">
        <is>
          <t>证券ETF华安</t>
        </is>
      </c>
      <c r="D1278" t="n">
        <v>44560.4</v>
      </c>
      <c r="E1278" t="n">
        <v>44560.4</v>
      </c>
      <c r="F1278" t="n">
        <v>0.931</v>
      </c>
      <c r="G1278" t="n">
        <v>0</v>
      </c>
      <c r="H1278" t="n">
        <v>4.148573</v>
      </c>
      <c r="I1278" t="n">
        <v>4.228782</v>
      </c>
      <c r="J1278" t="n">
        <v>-0.080209</v>
      </c>
      <c r="K1278" s="4">
        <f>IFERROR(J1278/I1278,"")</f>
        <v/>
      </c>
      <c r="L1278" s="4">
        <f>IFERROR((D1278-E1278)/E1278,"")</f>
        <v/>
      </c>
      <c r="M1278" s="19">
        <f>IFERROR(F1278*G1278/10000,"")</f>
        <v/>
      </c>
    </row>
    <row r="1279">
      <c r="A1279" t="inlineStr">
        <is>
          <t>2026-10-30</t>
        </is>
      </c>
      <c r="B1279" t="inlineStr">
        <is>
          <t>516210</t>
        </is>
      </c>
      <c r="C1279" t="inlineStr">
        <is>
          <t>银行ETF华安</t>
        </is>
      </c>
      <c r="D1279" t="n">
        <v>6853.1</v>
      </c>
      <c r="E1279" t="n">
        <v>6823.1</v>
      </c>
      <c r="F1279" t="n">
        <v>1.513</v>
      </c>
      <c r="G1279" t="n">
        <v>30</v>
      </c>
      <c r="H1279" t="n">
        <v>1.032335</v>
      </c>
      <c r="I1279" t="n">
        <v>1.012548</v>
      </c>
      <c r="J1279" t="n">
        <v>0.019787</v>
      </c>
      <c r="K1279" s="4">
        <f>IFERROR(J1279/I1279,"")</f>
        <v/>
      </c>
      <c r="L1279" s="4">
        <f>IFERROR((D1279-E1279)/E1279,"")</f>
        <v/>
      </c>
      <c r="M1279" s="19">
        <f>IFERROR(F1279*G1279/10000,"")</f>
        <v/>
      </c>
    </row>
    <row r="1280">
      <c r="A1280" t="inlineStr">
        <is>
          <t>2026-10-30</t>
        </is>
      </c>
      <c r="B1280" t="inlineStr">
        <is>
          <t>516220</t>
        </is>
      </c>
      <c r="C1280" t="inlineStr">
        <is>
          <t>化工ETF国泰</t>
        </is>
      </c>
      <c r="D1280" t="n">
        <v>25417</v>
      </c>
      <c r="E1280" t="n">
        <v>25517</v>
      </c>
      <c r="F1280" t="n">
        <v>0.761</v>
      </c>
      <c r="G1280" t="n">
        <v>-100</v>
      </c>
      <c r="H1280" t="n">
        <v>1.941844</v>
      </c>
      <c r="I1280" t="n">
        <v>1.975071</v>
      </c>
      <c r="J1280" t="n">
        <v>-0.033227</v>
      </c>
      <c r="K1280" s="4">
        <f>IFERROR(J1280/I1280,"")</f>
        <v/>
      </c>
      <c r="L1280" s="4">
        <f>IFERROR((D1280-E1280)/E1280,"")</f>
        <v/>
      </c>
      <c r="M1280" s="19">
        <f>IFERROR(F1280*G1280/10000,"")</f>
        <v/>
      </c>
    </row>
    <row r="1281">
      <c r="A1281" t="inlineStr">
        <is>
          <t>2026-10-30</t>
        </is>
      </c>
      <c r="B1281" t="inlineStr">
        <is>
          <t>516230</t>
        </is>
      </c>
      <c r="C1281" t="inlineStr">
        <is>
          <t>光伏ETF招商</t>
        </is>
      </c>
      <c r="D1281" t="n">
        <v>75492.10000000001</v>
      </c>
      <c r="E1281" t="n">
        <v>75492.10000000001</v>
      </c>
      <c r="F1281" t="n">
        <v>0.641</v>
      </c>
      <c r="G1281" t="n">
        <v>0</v>
      </c>
      <c r="H1281" t="n">
        <v>4.839044</v>
      </c>
      <c r="I1281" t="n">
        <v>4.906987</v>
      </c>
      <c r="J1281" t="n">
        <v>-0.067943</v>
      </c>
      <c r="K1281" s="4">
        <f>IFERROR(J1281/I1281,"")</f>
        <v/>
      </c>
      <c r="L1281" s="4">
        <f>IFERROR((D1281-E1281)/E1281,"")</f>
        <v/>
      </c>
      <c r="M1281" s="19">
        <f>IFERROR(F1281*G1281/10000,"")</f>
        <v/>
      </c>
    </row>
    <row r="1282">
      <c r="A1282" t="inlineStr">
        <is>
          <t>2026-10-30</t>
        </is>
      </c>
      <c r="B1282" t="inlineStr">
        <is>
          <t>516250</t>
        </is>
      </c>
      <c r="C1282" t="inlineStr">
        <is>
          <t>工程机械ETF富国</t>
        </is>
      </c>
      <c r="D1282" t="n">
        <v>6387.8</v>
      </c>
      <c r="E1282" t="n">
        <v>6087.8</v>
      </c>
      <c r="F1282" t="n">
        <v>0.833</v>
      </c>
      <c r="G1282" t="n">
        <v>300</v>
      </c>
      <c r="H1282" t="n">
        <v>0.507114</v>
      </c>
      <c r="I1282" t="n">
        <v>0.513202</v>
      </c>
      <c r="J1282" t="n">
        <v>-0.006088</v>
      </c>
      <c r="K1282" s="4">
        <f>IFERROR(J1282/I1282,"")</f>
        <v/>
      </c>
      <c r="L1282" s="4">
        <f>IFERROR((D1282-E1282)/E1282,"")</f>
        <v/>
      </c>
      <c r="M1282" s="19">
        <f>IFERROR(F1282*G1282/10000,"")</f>
        <v/>
      </c>
    </row>
    <row r="1283">
      <c r="A1283" t="inlineStr">
        <is>
          <t>2026-10-30</t>
        </is>
      </c>
      <c r="B1283" t="inlineStr">
        <is>
          <t>516260</t>
        </is>
      </c>
      <c r="C1283" t="inlineStr">
        <is>
          <t>物联网ETF华夏</t>
        </is>
      </c>
      <c r="D1283" t="n">
        <v>4988.26</v>
      </c>
      <c r="E1283" t="n">
        <v>5388.26</v>
      </c>
      <c r="F1283" t="n">
        <v>1.12</v>
      </c>
      <c r="G1283" t="n">
        <v>-400</v>
      </c>
      <c r="H1283" t="n">
        <v>0.603486</v>
      </c>
      <c r="I1283" t="n">
        <v>0.551608</v>
      </c>
      <c r="J1283" t="n">
        <v>0.051878</v>
      </c>
      <c r="K1283" s="4">
        <f>IFERROR(J1283/I1283,"")</f>
        <v/>
      </c>
      <c r="L1283" s="4">
        <f>IFERROR((D1283-E1283)/E1283,"")</f>
        <v/>
      </c>
      <c r="M1283" s="19">
        <f>IFERROR(F1283*G1283/10000,"")</f>
        <v/>
      </c>
    </row>
    <row r="1284">
      <c r="A1284" t="inlineStr">
        <is>
          <t>2026-10-30</t>
        </is>
      </c>
      <c r="B1284" t="inlineStr">
        <is>
          <t>516270</t>
        </is>
      </c>
      <c r="C1284" t="inlineStr">
        <is>
          <t>新能源ETF华安</t>
        </is>
      </c>
      <c r="D1284" t="n">
        <v>35840.9</v>
      </c>
      <c r="E1284" t="n">
        <v>35990.9</v>
      </c>
      <c r="F1284" t="n">
        <v>0.448</v>
      </c>
      <c r="G1284" t="n">
        <v>-150</v>
      </c>
      <c r="H1284" t="n">
        <v>1.612392</v>
      </c>
      <c r="I1284" t="n">
        <v>1.626341</v>
      </c>
      <c r="J1284" t="n">
        <v>-0.013949</v>
      </c>
      <c r="K1284" s="4">
        <f>IFERROR(J1284/I1284,"")</f>
        <v/>
      </c>
      <c r="L1284" s="4">
        <f>IFERROR((D1284-E1284)/E1284,"")</f>
        <v/>
      </c>
      <c r="M1284" s="19">
        <f>IFERROR(F1284*G1284/10000,"")</f>
        <v/>
      </c>
    </row>
    <row r="1285">
      <c r="A1285" t="inlineStr">
        <is>
          <t>2026-10-30</t>
        </is>
      </c>
      <c r="B1285" t="inlineStr">
        <is>
          <t>516290</t>
        </is>
      </c>
      <c r="C1285" t="inlineStr">
        <is>
          <t>光伏ETF汇添富</t>
        </is>
      </c>
      <c r="D1285" t="n">
        <v>75519.69</v>
      </c>
      <c r="E1285" t="n">
        <v>75719.69</v>
      </c>
      <c r="F1285" t="n">
        <v>0.429</v>
      </c>
      <c r="G1285" t="n">
        <v>-200</v>
      </c>
      <c r="H1285" t="n">
        <v>3.248375</v>
      </c>
      <c r="I1285" t="n">
        <v>3.292659</v>
      </c>
      <c r="J1285" t="n">
        <v>-0.044284</v>
      </c>
      <c r="K1285" s="4">
        <f>IFERROR(J1285/I1285,"")</f>
        <v/>
      </c>
      <c r="L1285" s="4">
        <f>IFERROR((D1285-E1285)/E1285,"")</f>
        <v/>
      </c>
      <c r="M1285" s="19">
        <f>IFERROR(F1285*G1285/10000,"")</f>
        <v/>
      </c>
    </row>
    <row r="1286">
      <c r="A1286" t="inlineStr">
        <is>
          <t>2026-10-30</t>
        </is>
      </c>
      <c r="B1286" t="inlineStr">
        <is>
          <t>516300</t>
        </is>
      </c>
      <c r="C1286" t="inlineStr">
        <is>
          <t>中证1000ETF华泰柏瑞</t>
        </is>
      </c>
      <c r="D1286" t="n">
        <v>5101.26</v>
      </c>
      <c r="E1286" t="n">
        <v>5301.26</v>
      </c>
      <c r="F1286" t="n">
        <v>2.701</v>
      </c>
      <c r="G1286" t="n">
        <v>-200</v>
      </c>
      <c r="H1286" t="n">
        <v>1.43187</v>
      </c>
      <c r="I1286" t="n">
        <v>1.421721</v>
      </c>
      <c r="J1286" t="n">
        <v>0.010149</v>
      </c>
      <c r="K1286" s="4">
        <f>IFERROR(J1286/I1286,"")</f>
        <v/>
      </c>
      <c r="L1286" s="4">
        <f>IFERROR((D1286-E1286)/E1286,"")</f>
        <v/>
      </c>
      <c r="M1286" s="19">
        <f>IFERROR(F1286*G1286/10000,"")</f>
        <v/>
      </c>
    </row>
    <row r="1287">
      <c r="A1287" t="inlineStr">
        <is>
          <t>2026-10-30</t>
        </is>
      </c>
      <c r="B1287" t="inlineStr">
        <is>
          <t>516310</t>
        </is>
      </c>
      <c r="C1287" t="inlineStr">
        <is>
          <t>银行ETF易方达</t>
        </is>
      </c>
      <c r="D1287" t="n">
        <v>237655.85</v>
      </c>
      <c r="E1287" t="n">
        <v>236125.85</v>
      </c>
      <c r="F1287" t="n">
        <v>1.472</v>
      </c>
      <c r="G1287" t="n">
        <v>1530</v>
      </c>
      <c r="H1287" t="n">
        <v>34.757725</v>
      </c>
      <c r="I1287" t="n">
        <v>31.70964</v>
      </c>
      <c r="J1287" t="n">
        <v>3.048085</v>
      </c>
      <c r="K1287" s="4">
        <f>IFERROR(J1287/I1287,"")</f>
        <v/>
      </c>
      <c r="L1287" s="4">
        <f>IFERROR((D1287-E1287)/E1287,"")</f>
        <v/>
      </c>
      <c r="M1287" s="19">
        <f>IFERROR(F1287*G1287/10000,"")</f>
        <v/>
      </c>
    </row>
    <row r="1288">
      <c r="A1288" t="inlineStr">
        <is>
          <t>2026-10-30</t>
        </is>
      </c>
      <c r="B1288" t="inlineStr">
        <is>
          <t>516320</t>
        </is>
      </c>
      <c r="C1288" t="inlineStr">
        <is>
          <t>高端装备ETF华夏</t>
        </is>
      </c>
      <c r="D1288" t="n">
        <v>9458.93</v>
      </c>
      <c r="E1288" t="n">
        <v>9458.93</v>
      </c>
      <c r="F1288" t="n">
        <v>0.764</v>
      </c>
      <c r="G1288" t="n">
        <v>0</v>
      </c>
      <c r="H1288" t="n">
        <v>0.722662</v>
      </c>
      <c r="I1288" t="n">
        <v>0.729284</v>
      </c>
      <c r="J1288" t="n">
        <v>-0.006622</v>
      </c>
      <c r="K1288" s="4">
        <f>IFERROR(J1288/I1288,"")</f>
        <v/>
      </c>
      <c r="L1288" s="4">
        <f>IFERROR((D1288-E1288)/E1288,"")</f>
        <v/>
      </c>
      <c r="M1288" s="19">
        <f>IFERROR(F1288*G1288/10000,"")</f>
        <v/>
      </c>
    </row>
    <row r="1289">
      <c r="A1289" t="inlineStr">
        <is>
          <t>2026-10-30</t>
        </is>
      </c>
      <c r="B1289" t="inlineStr">
        <is>
          <t>516330</t>
        </is>
      </c>
      <c r="C1289" t="inlineStr">
        <is>
          <t>物联网ETF华泰柏瑞</t>
        </is>
      </c>
      <c r="D1289" t="n">
        <v>847.13</v>
      </c>
      <c r="E1289" t="n">
        <v>847.13</v>
      </c>
      <c r="F1289" t="n">
        <v>1.303</v>
      </c>
      <c r="G1289" t="n">
        <v>0</v>
      </c>
      <c r="H1289" t="n">
        <v>0.110381</v>
      </c>
      <c r="I1289" t="n">
        <v>0.113092</v>
      </c>
      <c r="J1289" t="n">
        <v>-0.002711</v>
      </c>
      <c r="K1289" s="4">
        <f>IFERROR(J1289/I1289,"")</f>
        <v/>
      </c>
      <c r="L1289" s="4">
        <f>IFERROR((D1289-E1289)/E1289,"")</f>
        <v/>
      </c>
      <c r="M1289" s="19">
        <f>IFERROR(F1289*G1289/10000,"")</f>
        <v/>
      </c>
    </row>
    <row r="1290">
      <c r="A1290" t="inlineStr">
        <is>
          <t>2026-10-30</t>
        </is>
      </c>
      <c r="B1290" t="inlineStr">
        <is>
          <t>516350</t>
        </is>
      </c>
      <c r="C1290" t="inlineStr">
        <is>
          <t>芯片ETF易方达</t>
        </is>
      </c>
      <c r="D1290" t="n">
        <v>140641.53</v>
      </c>
      <c r="E1290" t="n">
        <v>139641.53</v>
      </c>
      <c r="F1290" t="n">
        <v>1.201</v>
      </c>
      <c r="G1290" t="n">
        <v>1000</v>
      </c>
      <c r="H1290" t="n">
        <v>16.770948</v>
      </c>
      <c r="I1290" t="n">
        <v>17.942954</v>
      </c>
      <c r="J1290" t="n">
        <v>-1.172006</v>
      </c>
      <c r="K1290" s="4">
        <f>IFERROR(J1290/I1290,"")</f>
        <v/>
      </c>
      <c r="L1290" s="4">
        <f>IFERROR((D1290-E1290)/E1290,"")</f>
        <v/>
      </c>
      <c r="M1290" s="19">
        <f>IFERROR(F1290*G1290/10000,"")</f>
        <v/>
      </c>
    </row>
    <row r="1291">
      <c r="A1291" t="inlineStr">
        <is>
          <t>2026-10-30</t>
        </is>
      </c>
      <c r="B1291" t="inlineStr">
        <is>
          <t>516360</t>
        </is>
      </c>
      <c r="C1291" t="inlineStr">
        <is>
          <t>新材料ETF华宝</t>
        </is>
      </c>
      <c r="D1291" t="n">
        <v>6155.18</v>
      </c>
      <c r="E1291" t="n">
        <v>6255.18</v>
      </c>
      <c r="F1291" t="n">
        <v>0.792</v>
      </c>
      <c r="G1291" t="n">
        <v>-100</v>
      </c>
      <c r="H1291" t="n">
        <v>0.49541</v>
      </c>
      <c r="I1291" t="n">
        <v>0.507921</v>
      </c>
      <c r="J1291" t="n">
        <v>-0.012511</v>
      </c>
      <c r="K1291" s="4">
        <f>IFERROR(J1291/I1291,"")</f>
        <v/>
      </c>
      <c r="L1291" s="4">
        <f>IFERROR((D1291-E1291)/E1291,"")</f>
        <v/>
      </c>
      <c r="M1291" s="19">
        <f>IFERROR(F1291*G1291/10000,"")</f>
        <v/>
      </c>
    </row>
    <row r="1292">
      <c r="A1292" t="inlineStr">
        <is>
          <t>2026-10-30</t>
        </is>
      </c>
      <c r="B1292" t="inlineStr">
        <is>
          <t>516370</t>
        </is>
      </c>
      <c r="C1292" t="inlineStr">
        <is>
          <t>电力ETF汇添富</t>
        </is>
      </c>
      <c r="D1292" t="n">
        <v>24340.8</v>
      </c>
      <c r="E1292" t="n">
        <v>24640.8</v>
      </c>
      <c r="F1292" t="n">
        <v>0.911</v>
      </c>
      <c r="G1292" t="n">
        <v>-300</v>
      </c>
      <c r="H1292" t="n">
        <v>2.244777</v>
      </c>
      <c r="I1292" t="n">
        <v>2.225064</v>
      </c>
      <c r="J1292" t="n">
        <v>0.019713</v>
      </c>
      <c r="K1292" s="4">
        <f>IFERROR(J1292/I1292,"")</f>
        <v/>
      </c>
      <c r="L1292" s="4">
        <f>IFERROR((D1292-E1292)/E1292,"")</f>
        <v/>
      </c>
      <c r="M1292" s="19">
        <f>IFERROR(F1292*G1292/10000,"")</f>
        <v/>
      </c>
    </row>
    <row r="1293">
      <c r="A1293" t="inlineStr">
        <is>
          <t>2026-10-30</t>
        </is>
      </c>
      <c r="B1293" t="inlineStr">
        <is>
          <t>516380</t>
        </is>
      </c>
      <c r="C1293" t="inlineStr">
        <is>
          <t>智能电动车ETF华宝</t>
        </is>
      </c>
      <c r="D1293" t="n">
        <v>8944.93</v>
      </c>
      <c r="E1293" t="n">
        <v>8944.93</v>
      </c>
      <c r="F1293" t="n">
        <v>0.711</v>
      </c>
      <c r="G1293" t="n">
        <v>0</v>
      </c>
      <c r="H1293" t="n">
        <v>0.635984</v>
      </c>
      <c r="I1293" t="n">
        <v>0.650296</v>
      </c>
      <c r="J1293" t="n">
        <v>-0.014312</v>
      </c>
      <c r="K1293" s="4">
        <f>IFERROR(J1293/I1293,"")</f>
        <v/>
      </c>
      <c r="L1293" s="4">
        <f>IFERROR((D1293-E1293)/E1293,"")</f>
        <v/>
      </c>
      <c r="M1293" s="19">
        <f>IFERROR(F1293*G1293/10000,"")</f>
        <v/>
      </c>
    </row>
    <row r="1294">
      <c r="A1294" t="inlineStr">
        <is>
          <t>2026-10-30</t>
        </is>
      </c>
      <c r="B1294" t="inlineStr">
        <is>
          <t>516390</t>
        </is>
      </c>
      <c r="C1294" t="inlineStr">
        <is>
          <t>新能源车ETF汇添富</t>
        </is>
      </c>
      <c r="D1294" t="n">
        <v>18426.1</v>
      </c>
      <c r="E1294" t="n">
        <v>18426.1</v>
      </c>
      <c r="F1294" t="n">
        <v>0.6870000000000001</v>
      </c>
      <c r="G1294" t="n">
        <v>0</v>
      </c>
      <c r="H1294" t="n">
        <v>1.265873</v>
      </c>
      <c r="I1294" t="n">
        <v>1.316445</v>
      </c>
      <c r="J1294" t="n">
        <v>-0.050572</v>
      </c>
      <c r="K1294" s="4">
        <f>IFERROR(J1294/I1294,"")</f>
        <v/>
      </c>
      <c r="L1294" s="4">
        <f>IFERROR((D1294-E1294)/E1294,"")</f>
        <v/>
      </c>
      <c r="M1294" s="19">
        <f>IFERROR(F1294*G1294/10000,"")</f>
        <v/>
      </c>
    </row>
    <row r="1295">
      <c r="A1295" t="inlineStr">
        <is>
          <t>2026-10-30</t>
        </is>
      </c>
      <c r="B1295" t="inlineStr">
        <is>
          <t>516460</t>
        </is>
      </c>
      <c r="C1295" t="inlineStr">
        <is>
          <t>现金流ETF800鹏华</t>
        </is>
      </c>
      <c r="D1295" t="n">
        <v>41369.3</v>
      </c>
      <c r="E1295" t="n">
        <v>41369.3</v>
      </c>
      <c r="F1295" t="n">
        <v>1.206</v>
      </c>
      <c r="G1295" t="n">
        <v>0</v>
      </c>
      <c r="H1295" t="n">
        <v>4.989138</v>
      </c>
      <c r="I1295" t="n">
        <v>4.97259</v>
      </c>
      <c r="J1295" t="n">
        <v>0.016548</v>
      </c>
      <c r="K1295" s="4">
        <f>IFERROR(J1295/I1295,"")</f>
        <v/>
      </c>
      <c r="L1295" s="4">
        <f>IFERROR((D1295-E1295)/E1295,"")</f>
        <v/>
      </c>
      <c r="M1295" s="19">
        <f>IFERROR(F1295*G1295/10000,"")</f>
        <v/>
      </c>
    </row>
    <row r="1296">
      <c r="A1296" t="inlineStr">
        <is>
          <t>2026-10-30</t>
        </is>
      </c>
      <c r="B1296" t="inlineStr">
        <is>
          <t>516500</t>
        </is>
      </c>
      <c r="C1296" t="inlineStr">
        <is>
          <t>生物科技ETF华夏</t>
        </is>
      </c>
      <c r="D1296" t="n">
        <v>20293.72</v>
      </c>
      <c r="E1296" t="n">
        <v>20193.72</v>
      </c>
      <c r="F1296" t="n">
        <v>0.602</v>
      </c>
      <c r="G1296" t="n">
        <v>100</v>
      </c>
      <c r="H1296" t="n">
        <v>1.215662</v>
      </c>
      <c r="I1296" t="n">
        <v>1.217679</v>
      </c>
      <c r="J1296" t="n">
        <v>-0.002017</v>
      </c>
      <c r="K1296" s="4">
        <f>IFERROR(J1296/I1296,"")</f>
        <v/>
      </c>
      <c r="L1296" s="4">
        <f>IFERROR((D1296-E1296)/E1296,"")</f>
        <v/>
      </c>
      <c r="M1296" s="19">
        <f>IFERROR(F1296*G1296/10000,"")</f>
        <v/>
      </c>
    </row>
    <row r="1297">
      <c r="A1297" t="inlineStr">
        <is>
          <t>2026-10-30</t>
        </is>
      </c>
      <c r="B1297" t="inlineStr">
        <is>
          <t>516510</t>
        </is>
      </c>
      <c r="C1297" t="inlineStr">
        <is>
          <t>云计算ETF易方达</t>
        </is>
      </c>
      <c r="D1297" t="n">
        <v>183389</v>
      </c>
      <c r="E1297" t="n">
        <v>184089</v>
      </c>
      <c r="F1297" t="n">
        <v>1.398</v>
      </c>
      <c r="G1297" t="n">
        <v>-700</v>
      </c>
      <c r="H1297" t="n">
        <v>25.735642</v>
      </c>
      <c r="I1297" t="n">
        <v>26.880047</v>
      </c>
      <c r="J1297" t="n">
        <v>-1.144405</v>
      </c>
      <c r="K1297" s="4">
        <f>IFERROR(J1297/I1297,"")</f>
        <v/>
      </c>
      <c r="L1297" s="4">
        <f>IFERROR((D1297-E1297)/E1297,"")</f>
        <v/>
      </c>
      <c r="M1297" s="19">
        <f>IFERROR(F1297*G1297/10000,"")</f>
        <v/>
      </c>
    </row>
    <row r="1298">
      <c r="A1298" t="inlineStr">
        <is>
          <t>2026-10-30</t>
        </is>
      </c>
      <c r="B1298" t="inlineStr">
        <is>
          <t>516520</t>
        </is>
      </c>
      <c r="C1298" t="inlineStr">
        <is>
          <t>智能驾驶ETF华泰柏瑞</t>
        </is>
      </c>
      <c r="D1298" t="n">
        <v>73976.55</v>
      </c>
      <c r="E1298" t="n">
        <v>76776.55</v>
      </c>
      <c r="F1298" t="n">
        <v>0.945</v>
      </c>
      <c r="G1298" t="n">
        <v>-2800</v>
      </c>
      <c r="H1298" t="n">
        <v>7.255384</v>
      </c>
      <c r="I1298" t="n">
        <v>7.122511</v>
      </c>
      <c r="J1298" t="n">
        <v>0.132873</v>
      </c>
      <c r="K1298" s="4">
        <f>IFERROR(J1298/I1298,"")</f>
        <v/>
      </c>
      <c r="L1298" s="4">
        <f>IFERROR((D1298-E1298)/E1298,"")</f>
        <v/>
      </c>
      <c r="M1298" s="19">
        <f>IFERROR(F1298*G1298/10000,"")</f>
        <v/>
      </c>
    </row>
    <row r="1299">
      <c r="A1299" t="inlineStr">
        <is>
          <t>2026-10-30</t>
        </is>
      </c>
      <c r="B1299" t="inlineStr">
        <is>
          <t>516530</t>
        </is>
      </c>
      <c r="C1299" t="inlineStr">
        <is>
          <t>物流ETF银华</t>
        </is>
      </c>
      <c r="D1299" t="n">
        <v>1780.23</v>
      </c>
      <c r="E1299" t="n">
        <v>1780.23</v>
      </c>
      <c r="F1299" t="n">
        <v>0.983</v>
      </c>
      <c r="G1299" t="n">
        <v>0</v>
      </c>
      <c r="H1299" t="n">
        <v>0.174997</v>
      </c>
      <c r="I1299" t="n">
        <v>0.174819</v>
      </c>
      <c r="J1299" t="n">
        <v>0.000178</v>
      </c>
      <c r="K1299" s="4">
        <f>IFERROR(J1299/I1299,"")</f>
        <v/>
      </c>
      <c r="L1299" s="4">
        <f>IFERROR((D1299-E1299)/E1299,"")</f>
        <v/>
      </c>
      <c r="M1299" s="19">
        <f>IFERROR(F1299*G1299/10000,"")</f>
        <v/>
      </c>
    </row>
    <row r="1300">
      <c r="A1300" t="inlineStr">
        <is>
          <t>2026-10-30</t>
        </is>
      </c>
      <c r="B1300" t="inlineStr">
        <is>
          <t>516550</t>
        </is>
      </c>
      <c r="C1300" t="inlineStr">
        <is>
          <t>农业ETF嘉实</t>
        </is>
      </c>
      <c r="D1300" t="n">
        <v>19941.44</v>
      </c>
      <c r="E1300" t="n">
        <v>20141.44</v>
      </c>
      <c r="F1300" t="n">
        <v>0.654</v>
      </c>
      <c r="G1300" t="n">
        <v>-200</v>
      </c>
      <c r="H1300" t="n">
        <v>1.31725</v>
      </c>
      <c r="I1300" t="n">
        <v>1.465598</v>
      </c>
      <c r="J1300" t="n">
        <v>-0.148348</v>
      </c>
      <c r="K1300" s="4">
        <f>IFERROR(J1300/I1300,"")</f>
        <v/>
      </c>
      <c r="L1300" s="4">
        <f>IFERROR((D1300-E1300)/E1300,"")</f>
        <v/>
      </c>
      <c r="M1300" s="19">
        <f>IFERROR(F1300*G1300/10000,"")</f>
        <v/>
      </c>
    </row>
    <row r="1301">
      <c r="A1301" t="inlineStr">
        <is>
          <t>2026-10-30</t>
        </is>
      </c>
      <c r="B1301" t="inlineStr">
        <is>
          <t>516560</t>
        </is>
      </c>
      <c r="C1301" t="inlineStr">
        <is>
          <t>养老ETF华宝</t>
        </is>
      </c>
      <c r="D1301" t="n">
        <v>21425.8</v>
      </c>
      <c r="E1301" t="n">
        <v>21425.8</v>
      </c>
      <c r="F1301" t="n">
        <v>0.736</v>
      </c>
      <c r="G1301" t="n">
        <v>0</v>
      </c>
      <c r="H1301" t="n">
        <v>1.576939</v>
      </c>
      <c r="I1301" t="n">
        <v>1.579081</v>
      </c>
      <c r="J1301" t="n">
        <v>-0.002142</v>
      </c>
      <c r="K1301" s="4">
        <f>IFERROR(J1301/I1301,"")</f>
        <v/>
      </c>
      <c r="L1301" s="4">
        <f>IFERROR((D1301-E1301)/E1301,"")</f>
        <v/>
      </c>
      <c r="M1301" s="19">
        <f>IFERROR(F1301*G1301/10000,"")</f>
        <v/>
      </c>
    </row>
    <row r="1302">
      <c r="A1302" t="inlineStr">
        <is>
          <t>2026-10-30</t>
        </is>
      </c>
      <c r="B1302" t="inlineStr">
        <is>
          <t>516570</t>
        </is>
      </c>
      <c r="C1302" t="inlineStr">
        <is>
          <t>石化ETF易方达</t>
        </is>
      </c>
      <c r="D1302" t="n">
        <v>103835.76</v>
      </c>
      <c r="E1302" t="n">
        <v>103935.76</v>
      </c>
      <c r="F1302" t="n">
        <v>0.948</v>
      </c>
      <c r="G1302" t="n">
        <v>-100</v>
      </c>
      <c r="H1302" t="n">
        <v>9.853109999999999</v>
      </c>
      <c r="I1302" t="n">
        <v>9.831379</v>
      </c>
      <c r="J1302" t="n">
        <v>0.021731</v>
      </c>
      <c r="K1302" s="4">
        <f>IFERROR(J1302/I1302,"")</f>
        <v/>
      </c>
      <c r="L1302" s="4">
        <f>IFERROR((D1302-E1302)/E1302,"")</f>
        <v/>
      </c>
      <c r="M1302" s="19">
        <f>IFERROR(F1302*G1302/10000,"")</f>
        <v/>
      </c>
    </row>
    <row r="1303">
      <c r="A1303" t="inlineStr">
        <is>
          <t>2026-10-30</t>
        </is>
      </c>
      <c r="B1303" t="inlineStr">
        <is>
          <t>516580</t>
        </is>
      </c>
      <c r="C1303" t="inlineStr">
        <is>
          <t>新能源ETF博时</t>
        </is>
      </c>
      <c r="D1303" t="n">
        <v>15512.41</v>
      </c>
      <c r="E1303" t="n">
        <v>15512.41</v>
      </c>
      <c r="F1303" t="n">
        <v>0.457</v>
      </c>
      <c r="G1303" t="n">
        <v>0</v>
      </c>
      <c r="H1303" t="n">
        <v>0.708917</v>
      </c>
      <c r="I1303" t="n">
        <v>0.715136</v>
      </c>
      <c r="J1303" t="n">
        <v>-0.006219</v>
      </c>
      <c r="K1303" s="4">
        <f>IFERROR(J1303/I1303,"")</f>
        <v/>
      </c>
      <c r="L1303" s="4">
        <f>IFERROR((D1303-E1303)/E1303,"")</f>
        <v/>
      </c>
      <c r="M1303" s="19">
        <f>IFERROR(F1303*G1303/10000,"")</f>
        <v/>
      </c>
    </row>
    <row r="1304">
      <c r="A1304" t="inlineStr">
        <is>
          <t>2026-10-30</t>
        </is>
      </c>
      <c r="B1304" t="inlineStr">
        <is>
          <t>516590</t>
        </is>
      </c>
      <c r="C1304" t="inlineStr">
        <is>
          <t>智能汽车ETF易方达</t>
        </is>
      </c>
      <c r="D1304" t="n">
        <v>5201.5</v>
      </c>
      <c r="E1304" t="n">
        <v>5201.5</v>
      </c>
      <c r="F1304" t="n">
        <v>0.897</v>
      </c>
      <c r="G1304" t="n">
        <v>0</v>
      </c>
      <c r="H1304" t="n">
        <v>0.466575</v>
      </c>
      <c r="I1304" t="n">
        <v>0.475937</v>
      </c>
      <c r="J1304" t="n">
        <v>-0.009362000000000001</v>
      </c>
      <c r="K1304" s="4">
        <f>IFERROR(J1304/I1304,"")</f>
        <v/>
      </c>
      <c r="L1304" s="4">
        <f>IFERROR((D1304-E1304)/E1304,"")</f>
        <v/>
      </c>
      <c r="M1304" s="19">
        <f>IFERROR(F1304*G1304/10000,"")</f>
        <v/>
      </c>
    </row>
    <row r="1305">
      <c r="A1305" t="inlineStr">
        <is>
          <t>2026-10-30</t>
        </is>
      </c>
      <c r="B1305" t="inlineStr">
        <is>
          <t>516600</t>
        </is>
      </c>
      <c r="C1305" t="inlineStr">
        <is>
          <t>消费服务ETF工银</t>
        </is>
      </c>
      <c r="D1305" t="n">
        <v>11033.21</v>
      </c>
      <c r="E1305" t="n">
        <v>11033.21</v>
      </c>
      <c r="F1305" t="n">
        <v>0.593</v>
      </c>
      <c r="G1305" t="n">
        <v>0</v>
      </c>
      <c r="H1305" t="n">
        <v>0.654269</v>
      </c>
      <c r="I1305" t="n">
        <v>0.6520629999999999</v>
      </c>
      <c r="J1305" t="n">
        <v>0.002206</v>
      </c>
      <c r="K1305" s="4">
        <f>IFERROR(J1305/I1305,"")</f>
        <v/>
      </c>
      <c r="L1305" s="4">
        <f>IFERROR((D1305-E1305)/E1305,"")</f>
        <v/>
      </c>
      <c r="M1305" s="19">
        <f>IFERROR(F1305*G1305/10000,"")</f>
        <v/>
      </c>
    </row>
    <row r="1306">
      <c r="A1306" t="inlineStr">
        <is>
          <t>2026-10-30</t>
        </is>
      </c>
      <c r="B1306" t="inlineStr">
        <is>
          <t>516610</t>
        </is>
      </c>
      <c r="C1306" t="inlineStr">
        <is>
          <t>医疗设备ETF大成</t>
        </is>
      </c>
      <c r="D1306" t="n">
        <v>22397.48</v>
      </c>
      <c r="E1306" t="n">
        <v>22497.48</v>
      </c>
      <c r="F1306" t="n">
        <v>0.422</v>
      </c>
      <c r="G1306" t="n">
        <v>-100</v>
      </c>
      <c r="H1306" t="n">
        <v>0.949394</v>
      </c>
      <c r="I1306" t="n">
        <v>0.9583930000000001</v>
      </c>
      <c r="J1306" t="n">
        <v>-0.008999</v>
      </c>
      <c r="K1306" s="4">
        <f>IFERROR(J1306/I1306,"")</f>
        <v/>
      </c>
      <c r="L1306" s="4">
        <f>IFERROR((D1306-E1306)/E1306,"")</f>
        <v/>
      </c>
      <c r="M1306" s="19">
        <f>IFERROR(F1306*G1306/10000,"")</f>
        <v/>
      </c>
    </row>
    <row r="1307">
      <c r="A1307" t="inlineStr">
        <is>
          <t>2026-10-30</t>
        </is>
      </c>
      <c r="B1307" t="inlineStr">
        <is>
          <t>516620</t>
        </is>
      </c>
      <c r="C1307" t="inlineStr">
        <is>
          <t>影视ETF国泰</t>
        </is>
      </c>
      <c r="D1307" t="n">
        <v>29926.75</v>
      </c>
      <c r="E1307" t="n">
        <v>30276.75</v>
      </c>
      <c r="F1307" t="n">
        <v>0.898</v>
      </c>
      <c r="G1307" t="n">
        <v>-350</v>
      </c>
      <c r="H1307" t="n">
        <v>2.718853</v>
      </c>
      <c r="I1307" t="n">
        <v>2.668011</v>
      </c>
      <c r="J1307" t="n">
        <v>0.050842</v>
      </c>
      <c r="K1307" s="4">
        <f>IFERROR(J1307/I1307,"")</f>
        <v/>
      </c>
      <c r="L1307" s="4">
        <f>IFERROR((D1307-E1307)/E1307,"")</f>
        <v/>
      </c>
      <c r="M1307" s="19">
        <f>IFERROR(F1307*G1307/10000,"")</f>
        <v/>
      </c>
    </row>
    <row r="1308">
      <c r="A1308" t="inlineStr">
        <is>
          <t>2026-10-30</t>
        </is>
      </c>
      <c r="B1308" t="inlineStr">
        <is>
          <t>516630</t>
        </is>
      </c>
      <c r="C1308" t="inlineStr">
        <is>
          <t>云计算ETF华夏</t>
        </is>
      </c>
      <c r="D1308" t="n">
        <v>41215.6</v>
      </c>
      <c r="E1308" t="n">
        <v>41115.6</v>
      </c>
      <c r="F1308" t="n">
        <v>1.37</v>
      </c>
      <c r="G1308" t="n">
        <v>100</v>
      </c>
      <c r="H1308" t="n">
        <v>5.632837</v>
      </c>
      <c r="I1308" t="n">
        <v>5.848825</v>
      </c>
      <c r="J1308" t="n">
        <v>-0.215988</v>
      </c>
      <c r="K1308" s="4">
        <f>IFERROR(J1308/I1308,"")</f>
        <v/>
      </c>
      <c r="L1308" s="4">
        <f>IFERROR((D1308-E1308)/E1308,"")</f>
        <v/>
      </c>
      <c r="M1308" s="19">
        <f>IFERROR(F1308*G1308/10000,"")</f>
        <v/>
      </c>
    </row>
    <row r="1309">
      <c r="A1309" t="inlineStr">
        <is>
          <t>2026-10-30</t>
        </is>
      </c>
      <c r="B1309" t="inlineStr">
        <is>
          <t>516640</t>
        </is>
      </c>
      <c r="C1309" t="inlineStr">
        <is>
          <t>芯片ETF富国</t>
        </is>
      </c>
      <c r="D1309" t="n">
        <v>139848.28</v>
      </c>
      <c r="E1309" t="n">
        <v>138648.28</v>
      </c>
      <c r="F1309" t="n">
        <v>1.06</v>
      </c>
      <c r="G1309" t="n">
        <v>1200</v>
      </c>
      <c r="H1309" t="n">
        <v>14.696717</v>
      </c>
      <c r="I1309" t="n">
        <v>15.645938</v>
      </c>
      <c r="J1309" t="n">
        <v>-0.949221</v>
      </c>
      <c r="K1309" s="4">
        <f>IFERROR(J1309/I1309,"")</f>
        <v/>
      </c>
      <c r="L1309" s="4">
        <f>IFERROR((D1309-E1309)/E1309,"")</f>
        <v/>
      </c>
      <c r="M1309" s="19">
        <f>IFERROR(F1309*G1309/10000,"")</f>
        <v/>
      </c>
    </row>
    <row r="1310">
      <c r="A1310" t="inlineStr">
        <is>
          <t>2026-10-30</t>
        </is>
      </c>
      <c r="B1310" t="inlineStr">
        <is>
          <t>516650</t>
        </is>
      </c>
      <c r="C1310" t="inlineStr">
        <is>
          <t>有色金属ETF华夏</t>
        </is>
      </c>
      <c r="D1310" t="n">
        <v>509446.48</v>
      </c>
      <c r="E1310" t="n">
        <v>511146.48</v>
      </c>
      <c r="F1310" t="n">
        <v>1.462</v>
      </c>
      <c r="G1310" t="n">
        <v>-1700</v>
      </c>
      <c r="H1310" t="n">
        <v>74.729615</v>
      </c>
      <c r="I1310" t="n">
        <v>76.26691599999999</v>
      </c>
      <c r="J1310" t="n">
        <v>-1.537301</v>
      </c>
      <c r="K1310" s="4">
        <f>IFERROR(J1310/I1310,"")</f>
        <v/>
      </c>
      <c r="L1310" s="4">
        <f>IFERROR((D1310-E1310)/E1310,"")</f>
        <v/>
      </c>
      <c r="M1310" s="19">
        <f>IFERROR(F1310*G1310/10000,"")</f>
        <v/>
      </c>
    </row>
    <row r="1311">
      <c r="A1311" t="inlineStr">
        <is>
          <t>2026-10-30</t>
        </is>
      </c>
      <c r="B1311" t="inlineStr">
        <is>
          <t>516660</t>
        </is>
      </c>
      <c r="C1311" t="inlineStr">
        <is>
          <t>新能源车ETF华安</t>
        </is>
      </c>
      <c r="D1311" t="n">
        <v>16168.9</v>
      </c>
      <c r="E1311" t="n">
        <v>16168.9</v>
      </c>
      <c r="F1311" t="n">
        <v>0.783</v>
      </c>
      <c r="G1311" t="n">
        <v>0</v>
      </c>
      <c r="H1311" t="n">
        <v>1.266025</v>
      </c>
      <c r="I1311" t="n">
        <v>1.296746</v>
      </c>
      <c r="J1311" t="n">
        <v>-0.030721</v>
      </c>
      <c r="K1311" s="4">
        <f>IFERROR(J1311/I1311,"")</f>
        <v/>
      </c>
      <c r="L1311" s="4">
        <f>IFERROR((D1311-E1311)/E1311,"")</f>
        <v/>
      </c>
      <c r="M1311" s="19">
        <f>IFERROR(F1311*G1311/10000,"")</f>
        <v/>
      </c>
    </row>
    <row r="1312">
      <c r="A1312" t="inlineStr">
        <is>
          <t>2026-10-30</t>
        </is>
      </c>
      <c r="B1312" t="inlineStr">
        <is>
          <t>516670</t>
        </is>
      </c>
      <c r="C1312" t="inlineStr">
        <is>
          <t>畜牧养殖ETF招商</t>
        </is>
      </c>
      <c r="D1312" t="n">
        <v>364926.63</v>
      </c>
      <c r="E1312" t="n">
        <v>364826.63</v>
      </c>
      <c r="F1312" t="n">
        <v>0.582</v>
      </c>
      <c r="G1312" t="n">
        <v>100</v>
      </c>
      <c r="H1312" t="n">
        <v>21.23291</v>
      </c>
      <c r="I1312" t="n">
        <v>21.022127</v>
      </c>
      <c r="J1312" t="n">
        <v>0.210783</v>
      </c>
      <c r="K1312" s="4">
        <f>IFERROR(J1312/I1312,"")</f>
        <v/>
      </c>
      <c r="L1312" s="4">
        <f>IFERROR((D1312-E1312)/E1312,"")</f>
        <v/>
      </c>
      <c r="M1312" s="19">
        <f>IFERROR(F1312*G1312/10000,"")</f>
        <v/>
      </c>
    </row>
    <row r="1313">
      <c r="A1313" t="inlineStr">
        <is>
          <t>2026-10-30</t>
        </is>
      </c>
      <c r="B1313" t="inlineStr">
        <is>
          <t>516700</t>
        </is>
      </c>
      <c r="C1313" t="inlineStr">
        <is>
          <t>大数据ETF华宝</t>
        </is>
      </c>
      <c r="D1313" t="n">
        <v>16812.2</v>
      </c>
      <c r="E1313" t="n">
        <v>16812.2</v>
      </c>
      <c r="F1313" t="n">
        <v>0.768</v>
      </c>
      <c r="G1313" t="n">
        <v>0</v>
      </c>
      <c r="H1313" t="n">
        <v>1.291177</v>
      </c>
      <c r="I1313" t="n">
        <v>1.330919</v>
      </c>
      <c r="J1313" t="n">
        <v>-0.039742</v>
      </c>
      <c r="K1313" s="4">
        <f>IFERROR(J1313/I1313,"")</f>
        <v/>
      </c>
      <c r="L1313" s="4">
        <f>IFERROR((D1313-E1313)/E1313,"")</f>
        <v/>
      </c>
      <c r="M1313" s="19">
        <f>IFERROR(F1313*G1313/10000,"")</f>
        <v/>
      </c>
    </row>
    <row r="1314">
      <c r="A1314" t="inlineStr">
        <is>
          <t>2026-10-30</t>
        </is>
      </c>
      <c r="B1314" t="inlineStr">
        <is>
          <t>516710</t>
        </is>
      </c>
      <c r="C1314" t="inlineStr">
        <is>
          <t>新材料ETF华夏</t>
        </is>
      </c>
      <c r="D1314" t="n">
        <v>7627.2</v>
      </c>
      <c r="E1314" t="n">
        <v>7627.2</v>
      </c>
      <c r="F1314" t="n">
        <v>0.576</v>
      </c>
      <c r="G1314" t="n">
        <v>0</v>
      </c>
      <c r="H1314" t="n">
        <v>0.439327</v>
      </c>
      <c r="I1314" t="n">
        <v>0.464153</v>
      </c>
      <c r="J1314" t="n">
        <v>-0.024826</v>
      </c>
      <c r="K1314" s="4">
        <f>IFERROR(J1314/I1314,"")</f>
        <v/>
      </c>
      <c r="L1314" s="4">
        <f>IFERROR((D1314-E1314)/E1314,"")</f>
        <v/>
      </c>
      <c r="M1314" s="19">
        <f>IFERROR(F1314*G1314/10000,"")</f>
        <v/>
      </c>
    </row>
    <row r="1315">
      <c r="A1315" t="inlineStr">
        <is>
          <t>2026-10-30</t>
        </is>
      </c>
      <c r="B1315" t="inlineStr">
        <is>
          <t>516720</t>
        </is>
      </c>
      <c r="C1315" t="inlineStr">
        <is>
          <t>ESGETF浦银</t>
        </is>
      </c>
      <c r="D1315" t="n">
        <v>783.78</v>
      </c>
      <c r="E1315" t="n">
        <v>783.78</v>
      </c>
      <c r="F1315" t="n">
        <v>1.027</v>
      </c>
      <c r="G1315" t="n">
        <v>0</v>
      </c>
      <c r="H1315" t="n">
        <v>0.080494</v>
      </c>
      <c r="I1315" t="n">
        <v>0.080494</v>
      </c>
      <c r="J1315" t="n">
        <v>0</v>
      </c>
      <c r="K1315" s="4">
        <f>IFERROR(J1315/I1315,"")</f>
        <v/>
      </c>
      <c r="L1315" s="4">
        <f>IFERROR((D1315-E1315)/E1315,"")</f>
        <v/>
      </c>
      <c r="M1315" s="19">
        <f>IFERROR(F1315*G1315/10000,"")</f>
        <v/>
      </c>
    </row>
    <row r="1316">
      <c r="A1316" t="inlineStr">
        <is>
          <t>2026-10-30</t>
        </is>
      </c>
      <c r="B1316" t="inlineStr">
        <is>
          <t>516730</t>
        </is>
      </c>
      <c r="C1316" t="inlineStr">
        <is>
          <t>证券ETF浦银</t>
        </is>
      </c>
      <c r="D1316" t="n">
        <v>20738.08</v>
      </c>
      <c r="E1316" t="n">
        <v>20738.08</v>
      </c>
      <c r="F1316" t="n">
        <v>0.888</v>
      </c>
      <c r="G1316" t="n">
        <v>0</v>
      </c>
      <c r="H1316" t="n">
        <v>1.841541</v>
      </c>
      <c r="I1316" t="n">
        <v>1.868501</v>
      </c>
      <c r="J1316" t="n">
        <v>-0.02696</v>
      </c>
      <c r="K1316" s="4">
        <f>IFERROR(J1316/I1316,"")</f>
        <v/>
      </c>
      <c r="L1316" s="4">
        <f>IFERROR((D1316-E1316)/E1316,"")</f>
        <v/>
      </c>
      <c r="M1316" s="19">
        <f>IFERROR(F1316*G1316/10000,"")</f>
        <v/>
      </c>
    </row>
    <row r="1317">
      <c r="A1317" t="inlineStr">
        <is>
          <t>2026-10-30</t>
        </is>
      </c>
      <c r="B1317" t="inlineStr">
        <is>
          <t>516750</t>
        </is>
      </c>
      <c r="C1317" t="inlineStr">
        <is>
          <t>建材ETF富国</t>
        </is>
      </c>
      <c r="D1317" t="n">
        <v>13166.73</v>
      </c>
      <c r="E1317" t="n">
        <v>13166.73</v>
      </c>
      <c r="F1317" t="n">
        <v>0.539</v>
      </c>
      <c r="G1317" t="n">
        <v>0</v>
      </c>
      <c r="H1317" t="n">
        <v>0.709687</v>
      </c>
      <c r="I1317" t="n">
        <v>0.720108</v>
      </c>
      <c r="J1317" t="n">
        <v>-0.010421</v>
      </c>
      <c r="K1317" s="4">
        <f>IFERROR(J1317/I1317,"")</f>
        <v/>
      </c>
      <c r="L1317" s="4">
        <f>IFERROR((D1317-E1317)/E1317,"")</f>
        <v/>
      </c>
      <c r="M1317" s="19">
        <f>IFERROR(F1317*G1317/10000,"")</f>
        <v/>
      </c>
    </row>
    <row r="1318">
      <c r="A1318" t="inlineStr">
        <is>
          <t>2026-10-30</t>
        </is>
      </c>
      <c r="B1318" t="inlineStr">
        <is>
          <t>516760</t>
        </is>
      </c>
      <c r="C1318" t="inlineStr">
        <is>
          <t>养殖ETF平安</t>
        </is>
      </c>
      <c r="D1318" t="n">
        <v>29121.51</v>
      </c>
      <c r="E1318" t="n">
        <v>29121.51</v>
      </c>
      <c r="F1318" t="n">
        <v>0.556</v>
      </c>
      <c r="G1318" t="n">
        <v>0</v>
      </c>
      <c r="H1318" t="n">
        <v>1.619156</v>
      </c>
      <c r="I1318" t="n">
        <v>1.610928</v>
      </c>
      <c r="J1318" t="n">
        <v>0.008227999999999999</v>
      </c>
      <c r="K1318" s="4">
        <f>IFERROR(J1318/I1318,"")</f>
        <v/>
      </c>
      <c r="L1318" s="4">
        <f>IFERROR((D1318-E1318)/E1318,"")</f>
        <v/>
      </c>
      <c r="M1318" s="19">
        <f>IFERROR(F1318*G1318/10000,"")</f>
        <v/>
      </c>
    </row>
    <row r="1319">
      <c r="A1319" t="inlineStr">
        <is>
          <t>2026-10-30</t>
        </is>
      </c>
      <c r="B1319" t="inlineStr">
        <is>
          <t>516770</t>
        </is>
      </c>
      <c r="C1319" t="inlineStr">
        <is>
          <t>游戏ETF华泰柏瑞</t>
        </is>
      </c>
      <c r="D1319" t="n">
        <v>25304.8</v>
      </c>
      <c r="E1319" t="n">
        <v>25304.8</v>
      </c>
      <c r="F1319" t="n">
        <v>1.066</v>
      </c>
      <c r="G1319" t="n">
        <v>0</v>
      </c>
      <c r="H1319" t="n">
        <v>2.697492</v>
      </c>
      <c r="I1319" t="n">
        <v>2.707614</v>
      </c>
      <c r="J1319" t="n">
        <v>-0.010122</v>
      </c>
      <c r="K1319" s="4">
        <f>IFERROR(J1319/I1319,"")</f>
        <v/>
      </c>
      <c r="L1319" s="4">
        <f>IFERROR((D1319-E1319)/E1319,"")</f>
        <v/>
      </c>
      <c r="M1319" s="19">
        <f>IFERROR(F1319*G1319/10000,"")</f>
        <v/>
      </c>
    </row>
    <row r="1320">
      <c r="A1320" t="inlineStr">
        <is>
          <t>2026-10-30</t>
        </is>
      </c>
      <c r="B1320" t="inlineStr">
        <is>
          <t>516780</t>
        </is>
      </c>
      <c r="C1320" t="inlineStr">
        <is>
          <t>稀土ETF华泰柏瑞</t>
        </is>
      </c>
      <c r="D1320" t="n">
        <v>222609.97</v>
      </c>
      <c r="E1320" t="n">
        <v>223709.97</v>
      </c>
      <c r="F1320" t="n">
        <v>0.699</v>
      </c>
      <c r="G1320" t="n">
        <v>-1100</v>
      </c>
      <c r="H1320" t="n">
        <v>15.637327</v>
      </c>
      <c r="I1320" t="n">
        <v>16.046274</v>
      </c>
      <c r="J1320" t="n">
        <v>-0.408947</v>
      </c>
      <c r="K1320" s="4">
        <f>IFERROR(J1320/I1320,"")</f>
        <v/>
      </c>
      <c r="L1320" s="4">
        <f>IFERROR((D1320-E1320)/E1320,"")</f>
        <v/>
      </c>
      <c r="M1320" s="19">
        <f>IFERROR(F1320*G1320/10000,"")</f>
        <v/>
      </c>
    </row>
    <row r="1321">
      <c r="A1321" t="inlineStr">
        <is>
          <t>2026-10-30</t>
        </is>
      </c>
      <c r="B1321" t="inlineStr">
        <is>
          <t>516790</t>
        </is>
      </c>
      <c r="C1321" t="inlineStr">
        <is>
          <t>医疗ETF华泰柏瑞</t>
        </is>
      </c>
      <c r="D1321" t="n">
        <v>17098.22</v>
      </c>
      <c r="E1321" t="n">
        <v>17098.22</v>
      </c>
      <c r="F1321" t="n">
        <v>0.51</v>
      </c>
      <c r="G1321" t="n">
        <v>0</v>
      </c>
      <c r="H1321" t="n">
        <v>0.872009</v>
      </c>
      <c r="I1321" t="n">
        <v>0.868773</v>
      </c>
      <c r="J1321" t="n">
        <v>0.003236</v>
      </c>
      <c r="K1321" s="4">
        <f>IFERROR(J1321/I1321,"")</f>
        <v/>
      </c>
      <c r="L1321" s="4">
        <f>IFERROR((D1321-E1321)/E1321,"")</f>
        <v/>
      </c>
      <c r="M1321" s="19">
        <f>IFERROR(F1321*G1321/10000,"")</f>
        <v/>
      </c>
    </row>
    <row r="1322">
      <c r="A1322" t="inlineStr">
        <is>
          <t>2026-10-30</t>
        </is>
      </c>
      <c r="B1322" t="inlineStr">
        <is>
          <t>516800</t>
        </is>
      </c>
      <c r="C1322" t="inlineStr">
        <is>
          <t>智能制造ETF华宝</t>
        </is>
      </c>
      <c r="D1322" t="n">
        <v>19830.8</v>
      </c>
      <c r="E1322" t="n">
        <v>18630.8</v>
      </c>
      <c r="F1322" t="n">
        <v>0.761</v>
      </c>
      <c r="G1322" t="n">
        <v>1200</v>
      </c>
      <c r="H1322" t="n">
        <v>1.417804</v>
      </c>
      <c r="I1322" t="n">
        <v>1.483012</v>
      </c>
      <c r="J1322" t="n">
        <v>-0.065208</v>
      </c>
      <c r="K1322" s="4">
        <f>IFERROR(J1322/I1322,"")</f>
        <v/>
      </c>
      <c r="L1322" s="4">
        <f>IFERROR((D1322-E1322)/E1322,"")</f>
        <v/>
      </c>
      <c r="M1322" s="19">
        <f>IFERROR(F1322*G1322/10000,"")</f>
        <v/>
      </c>
    </row>
    <row r="1323">
      <c r="A1323" t="inlineStr">
        <is>
          <t>2026-10-30</t>
        </is>
      </c>
      <c r="B1323" t="inlineStr">
        <is>
          <t>516810</t>
        </is>
      </c>
      <c r="C1323" t="inlineStr">
        <is>
          <t>农业ETF华夏</t>
        </is>
      </c>
      <c r="D1323" t="n">
        <v>52047.89</v>
      </c>
      <c r="E1323" t="n">
        <v>52547.89</v>
      </c>
      <c r="F1323" t="n">
        <v>0.718</v>
      </c>
      <c r="G1323" t="n">
        <v>-500</v>
      </c>
      <c r="H1323" t="n">
        <v>3.772939</v>
      </c>
      <c r="I1323" t="n">
        <v>3.767684</v>
      </c>
      <c r="J1323" t="n">
        <v>0.005255</v>
      </c>
      <c r="K1323" s="4">
        <f>IFERROR(J1323/I1323,"")</f>
        <v/>
      </c>
      <c r="L1323" s="4">
        <f>IFERROR((D1323-E1323)/E1323,"")</f>
        <v/>
      </c>
      <c r="M1323" s="19">
        <f>IFERROR(F1323*G1323/10000,"")</f>
        <v/>
      </c>
    </row>
    <row r="1324">
      <c r="A1324" t="inlineStr">
        <is>
          <t>2026-10-30</t>
        </is>
      </c>
      <c r="B1324" t="inlineStr">
        <is>
          <t>516820</t>
        </is>
      </c>
      <c r="C1324" t="inlineStr">
        <is>
          <t>医疗创新ETF平安</t>
        </is>
      </c>
      <c r="D1324" t="n">
        <v>456241.52</v>
      </c>
      <c r="E1324" t="n">
        <v>458541.52</v>
      </c>
      <c r="F1324" t="n">
        <v>0.34</v>
      </c>
      <c r="G1324" t="n">
        <v>-2300</v>
      </c>
      <c r="H1324" t="n">
        <v>15.590412</v>
      </c>
      <c r="I1324" t="n">
        <v>15.469978</v>
      </c>
      <c r="J1324" t="n">
        <v>0.120434</v>
      </c>
      <c r="K1324" s="4">
        <f>IFERROR(J1324/I1324,"")</f>
        <v/>
      </c>
      <c r="L1324" s="4">
        <f>IFERROR((D1324-E1324)/E1324,"")</f>
        <v/>
      </c>
      <c r="M1324" s="19">
        <f>IFERROR(F1324*G1324/10000,"")</f>
        <v/>
      </c>
    </row>
    <row r="1325">
      <c r="A1325" t="inlineStr">
        <is>
          <t>2026-10-30</t>
        </is>
      </c>
      <c r="B1325" t="inlineStr">
        <is>
          <t>516830</t>
        </is>
      </c>
      <c r="C1325" t="inlineStr">
        <is>
          <t>沪深300ESGETF富国</t>
        </is>
      </c>
      <c r="D1325" t="n">
        <v>8967.690000000001</v>
      </c>
      <c r="E1325" t="n">
        <v>8967.690000000001</v>
      </c>
      <c r="F1325" t="n">
        <v>0.925</v>
      </c>
      <c r="G1325" t="n">
        <v>0</v>
      </c>
      <c r="H1325" t="n">
        <v>0.829511</v>
      </c>
      <c r="I1325" t="n">
        <v>0.834892</v>
      </c>
      <c r="J1325" t="n">
        <v>-0.005381</v>
      </c>
      <c r="K1325" s="4">
        <f>IFERROR(J1325/I1325,"")</f>
        <v/>
      </c>
      <c r="L1325" s="4">
        <f>IFERROR((D1325-E1325)/E1325,"")</f>
        <v/>
      </c>
      <c r="M1325" s="19">
        <f>IFERROR(F1325*G1325/10000,"")</f>
        <v/>
      </c>
    </row>
    <row r="1326">
      <c r="A1326" t="inlineStr">
        <is>
          <t>2026-10-30</t>
        </is>
      </c>
      <c r="B1326" t="inlineStr">
        <is>
          <t>516840</t>
        </is>
      </c>
      <c r="C1326" t="inlineStr">
        <is>
          <t>汽车ETF南方</t>
        </is>
      </c>
      <c r="D1326" t="n">
        <v>13927.7</v>
      </c>
      <c r="E1326" t="n">
        <v>13927.7</v>
      </c>
      <c r="F1326" t="n">
        <v>0.6889999999999999</v>
      </c>
      <c r="G1326" t="n">
        <v>0</v>
      </c>
      <c r="H1326" t="n">
        <v>0.959619</v>
      </c>
      <c r="I1326" t="n">
        <v>0.973546</v>
      </c>
      <c r="J1326" t="n">
        <v>-0.013927</v>
      </c>
      <c r="K1326" s="4">
        <f>IFERROR(J1326/I1326,"")</f>
        <v/>
      </c>
      <c r="L1326" s="4">
        <f>IFERROR((D1326-E1326)/E1326,"")</f>
        <v/>
      </c>
      <c r="M1326" s="19">
        <f>IFERROR(F1326*G1326/10000,"")</f>
        <v/>
      </c>
    </row>
    <row r="1327">
      <c r="A1327" t="inlineStr">
        <is>
          <t>2026-10-30</t>
        </is>
      </c>
      <c r="B1327" t="inlineStr">
        <is>
          <t>516850</t>
        </is>
      </c>
      <c r="C1327" t="inlineStr">
        <is>
          <t>新能源ETF华夏</t>
        </is>
      </c>
      <c r="D1327" t="n">
        <v>14523.7</v>
      </c>
      <c r="E1327" t="n">
        <v>14523.7</v>
      </c>
      <c r="F1327" t="n">
        <v>0.715</v>
      </c>
      <c r="G1327" t="n">
        <v>0</v>
      </c>
      <c r="H1327" t="n">
        <v>1.038445</v>
      </c>
      <c r="I1327" t="n">
        <v>1.052968</v>
      </c>
      <c r="J1327" t="n">
        <v>-0.014523</v>
      </c>
      <c r="K1327" s="4">
        <f>IFERROR(J1327/I1327,"")</f>
        <v/>
      </c>
      <c r="L1327" s="4">
        <f>IFERROR((D1327-E1327)/E1327,"")</f>
        <v/>
      </c>
      <c r="M1327" s="19">
        <f>IFERROR(F1327*G1327/10000,"")</f>
        <v/>
      </c>
    </row>
    <row r="1328">
      <c r="A1328" t="inlineStr">
        <is>
          <t>2026-10-30</t>
        </is>
      </c>
      <c r="B1328" t="inlineStr">
        <is>
          <t>516860</t>
        </is>
      </c>
      <c r="C1328" t="inlineStr">
        <is>
          <t>金融科技ETF博时</t>
        </is>
      </c>
      <c r="D1328" t="n">
        <v>120452.2</v>
      </c>
      <c r="E1328" t="n">
        <v>120252.2</v>
      </c>
      <c r="F1328" t="n">
        <v>0.954</v>
      </c>
      <c r="G1328" t="n">
        <v>200</v>
      </c>
      <c r="H1328" t="n">
        <v>11.47206</v>
      </c>
      <c r="I1328" t="n">
        <v>11.765116</v>
      </c>
      <c r="J1328" t="n">
        <v>-0.293056</v>
      </c>
      <c r="K1328" s="4">
        <f>IFERROR(J1328/I1328,"")</f>
        <v/>
      </c>
      <c r="L1328" s="4">
        <f>IFERROR((D1328-E1328)/E1328,"")</f>
        <v/>
      </c>
      <c r="M1328" s="19">
        <f>IFERROR(F1328*G1328/10000,"")</f>
        <v/>
      </c>
    </row>
    <row r="1329">
      <c r="A1329" t="inlineStr">
        <is>
          <t>2026-10-30</t>
        </is>
      </c>
      <c r="B1329" t="inlineStr">
        <is>
          <t>516880</t>
        </is>
      </c>
      <c r="C1329" t="inlineStr">
        <is>
          <t>光伏ETF银华</t>
        </is>
      </c>
      <c r="D1329" t="n">
        <v>88994.41</v>
      </c>
      <c r="E1329" t="n">
        <v>89394.41</v>
      </c>
      <c r="F1329" t="n">
        <v>0.59</v>
      </c>
      <c r="G1329" t="n">
        <v>-400</v>
      </c>
      <c r="H1329" t="n">
        <v>5.27427</v>
      </c>
      <c r="I1329" t="n">
        <v>5.372604</v>
      </c>
      <c r="J1329" t="n">
        <v>-0.098334</v>
      </c>
      <c r="K1329" s="4">
        <f>IFERROR(J1329/I1329,"")</f>
        <v/>
      </c>
      <c r="L1329" s="4">
        <f>IFERROR((D1329-E1329)/E1329,"")</f>
        <v/>
      </c>
      <c r="M1329" s="19">
        <f>IFERROR(F1329*G1329/10000,"")</f>
        <v/>
      </c>
    </row>
    <row r="1330">
      <c r="A1330" t="inlineStr">
        <is>
          <t>2026-10-30</t>
        </is>
      </c>
      <c r="B1330" t="inlineStr">
        <is>
          <t>516890</t>
        </is>
      </c>
      <c r="C1330" t="inlineStr">
        <is>
          <t>新材料ETF平安</t>
        </is>
      </c>
      <c r="D1330" t="n">
        <v>3631.14</v>
      </c>
      <c r="E1330" t="n">
        <v>3631.14</v>
      </c>
      <c r="F1330" t="n">
        <v>0.601</v>
      </c>
      <c r="G1330" t="n">
        <v>0</v>
      </c>
      <c r="H1330" t="n">
        <v>0.218232</v>
      </c>
      <c r="I1330" t="n">
        <v>0.223678</v>
      </c>
      <c r="J1330" t="n">
        <v>-0.005446</v>
      </c>
      <c r="K1330" s="4">
        <f>IFERROR(J1330/I1330,"")</f>
        <v/>
      </c>
      <c r="L1330" s="4">
        <f>IFERROR((D1330-E1330)/E1330,"")</f>
        <v/>
      </c>
      <c r="M1330" s="19">
        <f>IFERROR(F1330*G1330/10000,"")</f>
        <v/>
      </c>
    </row>
    <row r="1331">
      <c r="A1331" t="inlineStr">
        <is>
          <t>2026-10-30</t>
        </is>
      </c>
      <c r="B1331" t="inlineStr">
        <is>
          <t>516900</t>
        </is>
      </c>
      <c r="C1331" t="inlineStr">
        <is>
          <t>食品饮料ETF华安</t>
        </is>
      </c>
      <c r="D1331" t="n">
        <v>27422.9</v>
      </c>
      <c r="E1331" t="n">
        <v>27572.9</v>
      </c>
      <c r="F1331" t="n">
        <v>0.487</v>
      </c>
      <c r="G1331" t="n">
        <v>-150</v>
      </c>
      <c r="H1331" t="n">
        <v>1.3428</v>
      </c>
      <c r="I1331" t="n">
        <v>1.329014</v>
      </c>
      <c r="J1331" t="n">
        <v>0.013786</v>
      </c>
      <c r="K1331" s="4">
        <f>IFERROR(J1331/I1331,"")</f>
        <v/>
      </c>
      <c r="L1331" s="4">
        <f>IFERROR((D1331-E1331)/E1331,"")</f>
        <v/>
      </c>
      <c r="M1331" s="19">
        <f>IFERROR(F1331*G1331/10000,"")</f>
        <v/>
      </c>
    </row>
    <row r="1332">
      <c r="A1332" t="inlineStr">
        <is>
          <t>2026-10-30</t>
        </is>
      </c>
      <c r="B1332" t="inlineStr">
        <is>
          <t>516910</t>
        </is>
      </c>
      <c r="C1332" t="inlineStr">
        <is>
          <t>物流ETF富国</t>
        </is>
      </c>
      <c r="D1332" t="n">
        <v>6414.18</v>
      </c>
      <c r="E1332" t="n">
        <v>6464.18</v>
      </c>
      <c r="F1332" t="n">
        <v>1.143</v>
      </c>
      <c r="G1332" t="n">
        <v>-50</v>
      </c>
      <c r="H1332" t="n">
        <v>0.738856</v>
      </c>
      <c r="I1332" t="n">
        <v>0.720448</v>
      </c>
      <c r="J1332" t="n">
        <v>0.018408</v>
      </c>
      <c r="K1332" s="4">
        <f>IFERROR(J1332/I1332,"")</f>
        <v/>
      </c>
      <c r="L1332" s="4">
        <f>IFERROR((D1332-E1332)/E1332,"")</f>
        <v/>
      </c>
      <c r="M1332" s="19">
        <f>IFERROR(F1332*G1332/10000,"")</f>
        <v/>
      </c>
    </row>
    <row r="1333">
      <c r="A1333" t="inlineStr">
        <is>
          <t>2026-10-30</t>
        </is>
      </c>
      <c r="B1333" t="inlineStr">
        <is>
          <t>516920</t>
        </is>
      </c>
      <c r="C1333" t="inlineStr">
        <is>
          <t>芯片ETF汇添富</t>
        </is>
      </c>
      <c r="D1333" t="n">
        <v>52446.3</v>
      </c>
      <c r="E1333" t="n">
        <v>51946.3</v>
      </c>
      <c r="F1333" t="n">
        <v>1.028</v>
      </c>
      <c r="G1333" t="n">
        <v>500</v>
      </c>
      <c r="H1333" t="n">
        <v>5.34008</v>
      </c>
      <c r="I1333" t="n">
        <v>5.669445</v>
      </c>
      <c r="J1333" t="n">
        <v>-0.329365</v>
      </c>
      <c r="K1333" s="4">
        <f>IFERROR(J1333/I1333,"")</f>
        <v/>
      </c>
      <c r="L1333" s="4">
        <f>IFERROR((D1333-E1333)/E1333,"")</f>
        <v/>
      </c>
      <c r="M1333" s="19">
        <f>IFERROR(F1333*G1333/10000,"")</f>
        <v/>
      </c>
    </row>
    <row r="1334">
      <c r="A1334" t="inlineStr">
        <is>
          <t>2026-10-30</t>
        </is>
      </c>
      <c r="B1334" t="inlineStr">
        <is>
          <t>516930</t>
        </is>
      </c>
      <c r="C1334" t="inlineStr">
        <is>
          <t>生物科技ETF民生加银</t>
        </is>
      </c>
      <c r="D1334" t="n">
        <v>10913.96</v>
      </c>
      <c r="E1334" t="n">
        <v>10913.96</v>
      </c>
      <c r="F1334" t="n">
        <v>0.467</v>
      </c>
      <c r="G1334" t="n">
        <v>0</v>
      </c>
      <c r="H1334" t="n">
        <v>0.509682</v>
      </c>
      <c r="I1334" t="n">
        <v>0.514047</v>
      </c>
      <c r="J1334" t="n">
        <v>-0.004365</v>
      </c>
      <c r="K1334" s="4">
        <f>IFERROR(J1334/I1334,"")</f>
        <v/>
      </c>
      <c r="L1334" s="4">
        <f>IFERROR((D1334-E1334)/E1334,"")</f>
        <v/>
      </c>
      <c r="M1334" s="19">
        <f>IFERROR(F1334*G1334/10000,"")</f>
        <v/>
      </c>
    </row>
    <row r="1335">
      <c r="A1335" t="inlineStr">
        <is>
          <t>2026-10-30</t>
        </is>
      </c>
      <c r="B1335" t="inlineStr">
        <is>
          <t>516950</t>
        </is>
      </c>
      <c r="C1335" t="inlineStr">
        <is>
          <t>基建ETF银华</t>
        </is>
      </c>
      <c r="D1335" t="n">
        <v>10982.1</v>
      </c>
      <c r="E1335" t="n">
        <v>10982.1</v>
      </c>
      <c r="F1335" t="n">
        <v>0.96</v>
      </c>
      <c r="G1335" t="n">
        <v>0</v>
      </c>
      <c r="H1335" t="n">
        <v>1.054282</v>
      </c>
      <c r="I1335" t="n">
        <v>1.059773</v>
      </c>
      <c r="J1335" t="n">
        <v>-0.005491</v>
      </c>
      <c r="K1335" s="4">
        <f>IFERROR(J1335/I1335,"")</f>
        <v/>
      </c>
      <c r="L1335" s="4">
        <f>IFERROR((D1335-E1335)/E1335,"")</f>
        <v/>
      </c>
      <c r="M1335" s="19">
        <f>IFERROR(F1335*G1335/10000,"")</f>
        <v/>
      </c>
    </row>
    <row r="1336">
      <c r="A1336" t="inlineStr">
        <is>
          <t>2026-10-30</t>
        </is>
      </c>
      <c r="B1336" t="inlineStr">
        <is>
          <t>516960</t>
        </is>
      </c>
      <c r="C1336" t="inlineStr">
        <is>
          <t>机械ETF国泰</t>
        </is>
      </c>
      <c r="D1336" t="n">
        <v>1805.11</v>
      </c>
      <c r="E1336" t="n">
        <v>1805.11</v>
      </c>
      <c r="F1336" t="n">
        <v>0.714</v>
      </c>
      <c r="G1336" t="n">
        <v>0</v>
      </c>
      <c r="H1336" t="n">
        <v>0.128885</v>
      </c>
      <c r="I1336" t="n">
        <v>0.137359</v>
      </c>
      <c r="J1336" t="n">
        <v>-0.008474000000000001</v>
      </c>
      <c r="K1336" s="4">
        <f>IFERROR(J1336/I1336,"")</f>
        <v/>
      </c>
      <c r="L1336" s="4">
        <f>IFERROR((D1336-E1336)/E1336,"")</f>
        <v/>
      </c>
      <c r="M1336" s="19">
        <f>IFERROR(F1336*G1336/10000,"")</f>
        <v/>
      </c>
    </row>
    <row r="1337">
      <c r="A1337" t="inlineStr">
        <is>
          <t>2026-10-30</t>
        </is>
      </c>
      <c r="B1337" t="inlineStr">
        <is>
          <t>516970</t>
        </is>
      </c>
      <c r="C1337" t="inlineStr">
        <is>
          <t>基建ETF广发</t>
        </is>
      </c>
      <c r="D1337" t="n">
        <v>113254.25</v>
      </c>
      <c r="E1337" t="n">
        <v>112954.25</v>
      </c>
      <c r="F1337" t="n">
        <v>1</v>
      </c>
      <c r="G1337" t="n">
        <v>300</v>
      </c>
      <c r="H1337" t="n">
        <v>11.295425</v>
      </c>
      <c r="I1337" t="n">
        <v>11.375709</v>
      </c>
      <c r="J1337" t="n">
        <v>-0.08028399999999999</v>
      </c>
      <c r="K1337" s="4">
        <f>IFERROR(J1337/I1337,"")</f>
        <v/>
      </c>
      <c r="L1337" s="4">
        <f>IFERROR((D1337-E1337)/E1337,"")</f>
        <v/>
      </c>
      <c r="M1337" s="19">
        <f>IFERROR(F1337*G1337/10000,"")</f>
        <v/>
      </c>
    </row>
    <row r="1338">
      <c r="A1338" t="inlineStr">
        <is>
          <t>2026-10-30</t>
        </is>
      </c>
      <c r="B1338" t="inlineStr">
        <is>
          <t>516980</t>
        </is>
      </c>
      <c r="C1338" t="inlineStr">
        <is>
          <t>证券先锋ETF华富</t>
        </is>
      </c>
      <c r="D1338" t="n">
        <v>5451.6</v>
      </c>
      <c r="E1338" t="n">
        <v>5451.6</v>
      </c>
      <c r="F1338" t="n">
        <v>0.961</v>
      </c>
      <c r="G1338" t="n">
        <v>0</v>
      </c>
      <c r="H1338" t="n">
        <v>0.523899</v>
      </c>
      <c r="I1338" t="n">
        <v>0.533166</v>
      </c>
      <c r="J1338" t="n">
        <v>-0.009266999999999999</v>
      </c>
      <c r="K1338" s="4">
        <f>IFERROR(J1338/I1338,"")</f>
        <v/>
      </c>
      <c r="L1338" s="4">
        <f>IFERROR((D1338-E1338)/E1338,"")</f>
        <v/>
      </c>
      <c r="M1338" s="19">
        <f>IFERROR(F1338*G1338/10000,"")</f>
        <v/>
      </c>
    </row>
    <row r="1339">
      <c r="A1339" t="inlineStr">
        <is>
          <t>2026-10-30</t>
        </is>
      </c>
      <c r="B1339" t="inlineStr">
        <is>
          <t>517000</t>
        </is>
      </c>
      <c r="C1339" t="inlineStr">
        <is>
          <t>沪港深500ETF银华</t>
        </is>
      </c>
      <c r="D1339" t="n">
        <v>12779.3</v>
      </c>
      <c r="E1339" t="n">
        <v>12779.3</v>
      </c>
      <c r="F1339" t="n">
        <v>0.893</v>
      </c>
      <c r="G1339" t="n">
        <v>0</v>
      </c>
      <c r="H1339" t="n">
        <v>1.141191</v>
      </c>
      <c r="I1339" t="n">
        <v>1.145025</v>
      </c>
      <c r="J1339" t="n">
        <v>-0.003834</v>
      </c>
      <c r="K1339" s="4">
        <f>IFERROR(J1339/I1339,"")</f>
        <v/>
      </c>
      <c r="L1339" s="4">
        <f>IFERROR((D1339-E1339)/E1339,"")</f>
        <v/>
      </c>
      <c r="M1339" s="19">
        <f>IFERROR(F1339*G1339/10000,"")</f>
        <v/>
      </c>
    </row>
    <row r="1340">
      <c r="A1340" t="inlineStr">
        <is>
          <t>2026-10-30</t>
        </is>
      </c>
      <c r="B1340" t="inlineStr">
        <is>
          <t>517010</t>
        </is>
      </c>
      <c r="C1340" t="inlineStr">
        <is>
          <t>沪港深500ETF易方达</t>
        </is>
      </c>
      <c r="D1340" t="n">
        <v>7214.42</v>
      </c>
      <c r="E1340" t="n">
        <v>7214.42</v>
      </c>
      <c r="F1340" t="n">
        <v>0.992</v>
      </c>
      <c r="G1340" t="n">
        <v>0</v>
      </c>
      <c r="H1340" t="n">
        <v>0.71567</v>
      </c>
      <c r="I1340" t="n">
        <v>0.722885</v>
      </c>
      <c r="J1340" t="n">
        <v>-0.007215</v>
      </c>
      <c r="K1340" s="4">
        <f>IFERROR(J1340/I1340,"")</f>
        <v/>
      </c>
      <c r="L1340" s="4">
        <f>IFERROR((D1340-E1340)/E1340,"")</f>
        <v/>
      </c>
      <c r="M1340" s="19">
        <f>IFERROR(F1340*G1340/10000,"")</f>
        <v/>
      </c>
    </row>
    <row r="1341">
      <c r="A1341" t="inlineStr">
        <is>
          <t>2026-10-30</t>
        </is>
      </c>
      <c r="B1341" t="inlineStr">
        <is>
          <t>517030</t>
        </is>
      </c>
      <c r="C1341" t="inlineStr">
        <is>
          <t>沪港深300ETF易方达</t>
        </is>
      </c>
      <c r="D1341" t="n">
        <v>8404.030000000001</v>
      </c>
      <c r="E1341" t="n">
        <v>8404.030000000001</v>
      </c>
      <c r="F1341" t="n">
        <v>1.013</v>
      </c>
      <c r="G1341" t="n">
        <v>0</v>
      </c>
      <c r="H1341" t="n">
        <v>0.851328</v>
      </c>
      <c r="I1341" t="n">
        <v>0.85553</v>
      </c>
      <c r="J1341" t="n">
        <v>-0.004202</v>
      </c>
      <c r="K1341" s="4">
        <f>IFERROR(J1341/I1341,"")</f>
        <v/>
      </c>
      <c r="L1341" s="4">
        <f>IFERROR((D1341-E1341)/E1341,"")</f>
        <v/>
      </c>
      <c r="M1341" s="19">
        <f>IFERROR(F1341*G1341/10000,"")</f>
        <v/>
      </c>
    </row>
    <row r="1342">
      <c r="A1342" t="inlineStr">
        <is>
          <t>2026-10-30</t>
        </is>
      </c>
      <c r="B1342" t="inlineStr">
        <is>
          <t>517050</t>
        </is>
      </c>
      <c r="C1342" t="inlineStr">
        <is>
          <t>互联网ETF华泰柏瑞</t>
        </is>
      </c>
      <c r="D1342" t="n">
        <v>34960.5</v>
      </c>
      <c r="E1342" t="n">
        <v>34960.5</v>
      </c>
      <c r="F1342" t="n">
        <v>0.586</v>
      </c>
      <c r="G1342" t="n">
        <v>0</v>
      </c>
      <c r="H1342" t="n">
        <v>2.048685</v>
      </c>
      <c r="I1342" t="n">
        <v>2.08015</v>
      </c>
      <c r="J1342" t="n">
        <v>-0.031465</v>
      </c>
      <c r="K1342" s="4">
        <f>IFERROR(J1342/I1342,"")</f>
        <v/>
      </c>
      <c r="L1342" s="4">
        <f>IFERROR((D1342-E1342)/E1342,"")</f>
        <v/>
      </c>
      <c r="M1342" s="19">
        <f>IFERROR(F1342*G1342/10000,"")</f>
        <v/>
      </c>
    </row>
    <row r="1343">
      <c r="A1343" t="inlineStr">
        <is>
          <t>2026-10-30</t>
        </is>
      </c>
      <c r="B1343" t="inlineStr">
        <is>
          <t>517080</t>
        </is>
      </c>
      <c r="C1343" t="inlineStr">
        <is>
          <t>沪港深500ETF汇添富</t>
        </is>
      </c>
      <c r="D1343" t="n">
        <v>17716.6</v>
      </c>
      <c r="E1343" t="n">
        <v>17316.6</v>
      </c>
      <c r="F1343" t="n">
        <v>0.886</v>
      </c>
      <c r="G1343" t="n">
        <v>400</v>
      </c>
      <c r="H1343" t="n">
        <v>1.534251</v>
      </c>
      <c r="I1343" t="n">
        <v>1.551567</v>
      </c>
      <c r="J1343" t="n">
        <v>-0.017316</v>
      </c>
      <c r="K1343" s="4">
        <f>IFERROR(J1343/I1343,"")</f>
        <v/>
      </c>
      <c r="L1343" s="4">
        <f>IFERROR((D1343-E1343)/E1343,"")</f>
        <v/>
      </c>
      <c r="M1343" s="19">
        <f>IFERROR(F1343*G1343/10000,"")</f>
        <v/>
      </c>
    </row>
    <row r="1344">
      <c r="A1344" t="inlineStr">
        <is>
          <t>2026-10-30</t>
        </is>
      </c>
      <c r="B1344" t="inlineStr">
        <is>
          <t>517090</t>
        </is>
      </c>
      <c r="C1344" t="inlineStr">
        <is>
          <t>央企共赢ETF国泰</t>
        </is>
      </c>
      <c r="D1344" t="n">
        <v>8307.5</v>
      </c>
      <c r="E1344" t="n">
        <v>8407.5</v>
      </c>
      <c r="F1344" t="n">
        <v>1.678</v>
      </c>
      <c r="G1344" t="n">
        <v>-100</v>
      </c>
      <c r="H1344" t="n">
        <v>1.410778</v>
      </c>
      <c r="I1344" t="n">
        <v>1.379875</v>
      </c>
      <c r="J1344" t="n">
        <v>0.030903</v>
      </c>
      <c r="K1344" s="4">
        <f>IFERROR(J1344/I1344,"")</f>
        <v/>
      </c>
      <c r="L1344" s="4">
        <f>IFERROR((D1344-E1344)/E1344,"")</f>
        <v/>
      </c>
      <c r="M1344" s="19">
        <f>IFERROR(F1344*G1344/10000,"")</f>
        <v/>
      </c>
    </row>
    <row r="1345">
      <c r="A1345" t="inlineStr">
        <is>
          <t>2026-10-30</t>
        </is>
      </c>
      <c r="B1345" t="inlineStr">
        <is>
          <t>517100</t>
        </is>
      </c>
      <c r="C1345" t="inlineStr">
        <is>
          <t>沪港深500ETF富国</t>
        </is>
      </c>
      <c r="D1345" t="n">
        <v>14360.21</v>
      </c>
      <c r="E1345" t="n">
        <v>14360.21</v>
      </c>
      <c r="F1345" t="n">
        <v>0.9</v>
      </c>
      <c r="G1345" t="n">
        <v>0</v>
      </c>
      <c r="H1345" t="n">
        <v>1.292419</v>
      </c>
      <c r="I1345" t="n">
        <v>1.299599</v>
      </c>
      <c r="J1345" t="n">
        <v>-0.00718</v>
      </c>
      <c r="K1345" s="4">
        <f>IFERROR(J1345/I1345,"")</f>
        <v/>
      </c>
      <c r="L1345" s="4">
        <f>IFERROR((D1345-E1345)/E1345,"")</f>
        <v/>
      </c>
      <c r="M1345" s="19">
        <f>IFERROR(F1345*G1345/10000,"")</f>
        <v/>
      </c>
    </row>
    <row r="1346">
      <c r="A1346" t="inlineStr">
        <is>
          <t>2026-10-30</t>
        </is>
      </c>
      <c r="B1346" t="inlineStr">
        <is>
          <t>517110</t>
        </is>
      </c>
      <c r="C1346" t="inlineStr">
        <is>
          <t>创新药ETF国泰</t>
        </is>
      </c>
      <c r="D1346" t="n">
        <v>120809.85</v>
      </c>
      <c r="E1346" t="n">
        <v>122309.85</v>
      </c>
      <c r="F1346" t="n">
        <v>0.729</v>
      </c>
      <c r="G1346" t="n">
        <v>-1500</v>
      </c>
      <c r="H1346" t="n">
        <v>8.916388</v>
      </c>
      <c r="I1346" t="n">
        <v>8.99933</v>
      </c>
      <c r="J1346" t="n">
        <v>-0.082942</v>
      </c>
      <c r="K1346" s="4">
        <f>IFERROR(J1346/I1346,"")</f>
        <v/>
      </c>
      <c r="L1346" s="4">
        <f>IFERROR((D1346-E1346)/E1346,"")</f>
        <v/>
      </c>
      <c r="M1346" s="19">
        <f>IFERROR(F1346*G1346/10000,"")</f>
        <v/>
      </c>
    </row>
    <row r="1347">
      <c r="A1347" t="inlineStr">
        <is>
          <t>2026-10-30</t>
        </is>
      </c>
      <c r="B1347" t="inlineStr">
        <is>
          <t>517120</t>
        </is>
      </c>
      <c r="C1347" t="inlineStr">
        <is>
          <t>创新药ETF华泰柏瑞</t>
        </is>
      </c>
      <c r="D1347" t="n">
        <v>50496.64</v>
      </c>
      <c r="E1347" t="n">
        <v>49496.64</v>
      </c>
      <c r="F1347" t="n">
        <v>0.709</v>
      </c>
      <c r="G1347" t="n">
        <v>1000</v>
      </c>
      <c r="H1347" t="n">
        <v>3.509311</v>
      </c>
      <c r="I1347" t="n">
        <v>3.433891</v>
      </c>
      <c r="J1347" t="n">
        <v>0.07542</v>
      </c>
      <c r="K1347" s="4">
        <f>IFERROR(J1347/I1347,"")</f>
        <v/>
      </c>
      <c r="L1347" s="4">
        <f>IFERROR((D1347-E1347)/E1347,"")</f>
        <v/>
      </c>
      <c r="M1347" s="19">
        <f>IFERROR(F1347*G1347/10000,"")</f>
        <v/>
      </c>
    </row>
    <row r="1348">
      <c r="A1348" t="inlineStr">
        <is>
          <t>2026-10-30</t>
        </is>
      </c>
      <c r="B1348" t="inlineStr">
        <is>
          <t>517130</t>
        </is>
      </c>
      <c r="C1348" t="inlineStr">
        <is>
          <t>云计算ETF嘉实</t>
        </is>
      </c>
      <c r="D1348" t="n">
        <v>18865.4</v>
      </c>
      <c r="E1348" t="n">
        <v>18865.4</v>
      </c>
      <c r="F1348" t="n">
        <v>0.768</v>
      </c>
      <c r="G1348" t="n">
        <v>0</v>
      </c>
      <c r="H1348" t="n">
        <v>1.448863</v>
      </c>
      <c r="I1348" t="n">
        <v>1.509232</v>
      </c>
      <c r="J1348" t="n">
        <v>-0.060369</v>
      </c>
      <c r="K1348" s="4">
        <f>IFERROR(J1348/I1348,"")</f>
        <v/>
      </c>
      <c r="L1348" s="4">
        <f>IFERROR((D1348-E1348)/E1348,"")</f>
        <v/>
      </c>
      <c r="M1348" s="19">
        <f>IFERROR(F1348*G1348/10000,"")</f>
        <v/>
      </c>
    </row>
    <row r="1349">
      <c r="A1349" t="inlineStr">
        <is>
          <t>2026-10-30</t>
        </is>
      </c>
      <c r="B1349" t="inlineStr">
        <is>
          <t>517160</t>
        </is>
      </c>
      <c r="C1349" t="inlineStr">
        <is>
          <t>长江保护ETF南方</t>
        </is>
      </c>
      <c r="D1349" t="n">
        <v>182677.75</v>
      </c>
      <c r="E1349" t="n">
        <v>182677.75</v>
      </c>
      <c r="F1349" t="n">
        <v>0.833</v>
      </c>
      <c r="G1349" t="n">
        <v>0</v>
      </c>
      <c r="H1349" t="n">
        <v>15.217056</v>
      </c>
      <c r="I1349" t="n">
        <v>15.472805</v>
      </c>
      <c r="J1349" t="n">
        <v>-0.255749</v>
      </c>
      <c r="K1349" s="4">
        <f>IFERROR(J1349/I1349,"")</f>
        <v/>
      </c>
      <c r="L1349" s="4">
        <f>IFERROR((D1349-E1349)/E1349,"")</f>
        <v/>
      </c>
      <c r="M1349" s="19">
        <f>IFERROR(F1349*G1349/10000,"")</f>
        <v/>
      </c>
    </row>
    <row r="1350">
      <c r="A1350" t="inlineStr">
        <is>
          <t>2026-10-30</t>
        </is>
      </c>
      <c r="B1350" t="inlineStr">
        <is>
          <t>517170</t>
        </is>
      </c>
      <c r="C1350" t="inlineStr">
        <is>
          <t>沪港深500ETF华夏</t>
        </is>
      </c>
      <c r="D1350" t="n">
        <v>1613.18</v>
      </c>
      <c r="E1350" t="n">
        <v>1613.18</v>
      </c>
      <c r="F1350" t="n">
        <v>0.894</v>
      </c>
      <c r="G1350" t="n">
        <v>0</v>
      </c>
      <c r="H1350" t="n">
        <v>0.144219</v>
      </c>
      <c r="I1350" t="n">
        <v>0.144864</v>
      </c>
      <c r="J1350" t="n">
        <v>-0.000645</v>
      </c>
      <c r="K1350" s="4">
        <f>IFERROR(J1350/I1350,"")</f>
        <v/>
      </c>
      <c r="L1350" s="4">
        <f>IFERROR((D1350-E1350)/E1350,"")</f>
        <v/>
      </c>
      <c r="M1350" s="19">
        <f>IFERROR(F1350*G1350/10000,"")</f>
        <v/>
      </c>
    </row>
    <row r="1351">
      <c r="A1351" t="inlineStr">
        <is>
          <t>2026-10-30</t>
        </is>
      </c>
      <c r="B1351" t="inlineStr">
        <is>
          <t>517180</t>
        </is>
      </c>
      <c r="C1351" t="inlineStr">
        <is>
          <t>中国国企ETF南方</t>
        </is>
      </c>
      <c r="D1351" t="n">
        <v>10449.63</v>
      </c>
      <c r="E1351" t="n">
        <v>10749.63</v>
      </c>
      <c r="F1351" t="n">
        <v>1.591</v>
      </c>
      <c r="G1351" t="n">
        <v>-300</v>
      </c>
      <c r="H1351" t="n">
        <v>1.710265</v>
      </c>
      <c r="I1351" t="n">
        <v>1.670926</v>
      </c>
      <c r="J1351" t="n">
        <v>0.039339</v>
      </c>
      <c r="K1351" s="4">
        <f>IFERROR(J1351/I1351,"")</f>
        <v/>
      </c>
      <c r="L1351" s="4">
        <f>IFERROR((D1351-E1351)/E1351,"")</f>
        <v/>
      </c>
      <c r="M1351" s="19">
        <f>IFERROR(F1351*G1351/10000,"")</f>
        <v/>
      </c>
    </row>
    <row r="1352">
      <c r="A1352" t="inlineStr">
        <is>
          <t>2026-10-30</t>
        </is>
      </c>
      <c r="B1352" t="inlineStr">
        <is>
          <t>517200</t>
        </is>
      </c>
      <c r="C1352" t="inlineStr">
        <is>
          <t>互联网ETF嘉实</t>
        </is>
      </c>
      <c r="D1352" t="n">
        <v>14378.2</v>
      </c>
      <c r="E1352" t="n">
        <v>14478.2</v>
      </c>
      <c r="F1352" t="n">
        <v>0.514</v>
      </c>
      <c r="G1352" t="n">
        <v>-100</v>
      </c>
      <c r="H1352" t="n">
        <v>0.744179</v>
      </c>
      <c r="I1352" t="n">
        <v>0.7586580000000001</v>
      </c>
      <c r="J1352" t="n">
        <v>-0.014479</v>
      </c>
      <c r="K1352" s="4">
        <f>IFERROR(J1352/I1352,"")</f>
        <v/>
      </c>
      <c r="L1352" s="4">
        <f>IFERROR((D1352-E1352)/E1352,"")</f>
        <v/>
      </c>
      <c r="M1352" s="19">
        <f>IFERROR(F1352*G1352/10000,"")</f>
        <v/>
      </c>
    </row>
    <row r="1353">
      <c r="A1353" t="inlineStr">
        <is>
          <t>2026-10-30</t>
        </is>
      </c>
      <c r="B1353" t="inlineStr">
        <is>
          <t>517300</t>
        </is>
      </c>
      <c r="C1353" t="inlineStr">
        <is>
          <t>沪港深300ETF国寿</t>
        </is>
      </c>
      <c r="D1353" t="n">
        <v>96043.45</v>
      </c>
      <c r="E1353" t="n">
        <v>96043.45</v>
      </c>
      <c r="F1353" t="n">
        <v>0.847</v>
      </c>
      <c r="G1353" t="n">
        <v>0</v>
      </c>
      <c r="H1353" t="n">
        <v>8.134880000000001</v>
      </c>
      <c r="I1353" t="n">
        <v>8.211715</v>
      </c>
      <c r="J1353" t="n">
        <v>-0.076835</v>
      </c>
      <c r="K1353" s="4">
        <f>IFERROR(J1353/I1353,"")</f>
        <v/>
      </c>
      <c r="L1353" s="4">
        <f>IFERROR((D1353-E1353)/E1353,"")</f>
        <v/>
      </c>
      <c r="M1353" s="19">
        <f>IFERROR(F1353*G1353/10000,"")</f>
        <v/>
      </c>
    </row>
    <row r="1354">
      <c r="A1354" t="inlineStr">
        <is>
          <t>2026-10-30</t>
        </is>
      </c>
      <c r="B1354" t="inlineStr">
        <is>
          <t>517330</t>
        </is>
      </c>
      <c r="C1354" t="inlineStr">
        <is>
          <t>长江保护ETF易方达</t>
        </is>
      </c>
      <c r="D1354" t="n">
        <v>180916.9</v>
      </c>
      <c r="E1354" t="n">
        <v>180816.9</v>
      </c>
      <c r="F1354" t="n">
        <v>0.846</v>
      </c>
      <c r="G1354" t="n">
        <v>100</v>
      </c>
      <c r="H1354" t="n">
        <v>15.29711</v>
      </c>
      <c r="I1354" t="n">
        <v>15.441763</v>
      </c>
      <c r="J1354" t="n">
        <v>-0.144653</v>
      </c>
      <c r="K1354" s="4">
        <f>IFERROR(J1354/I1354,"")</f>
        <v/>
      </c>
      <c r="L1354" s="4">
        <f>IFERROR((D1354-E1354)/E1354,"")</f>
        <v/>
      </c>
      <c r="M1354" s="19">
        <f>IFERROR(F1354*G1354/10000,"")</f>
        <v/>
      </c>
    </row>
    <row r="1355">
      <c r="A1355" t="inlineStr">
        <is>
          <t>2026-10-30</t>
        </is>
      </c>
      <c r="B1355" t="inlineStr">
        <is>
          <t>517350</t>
        </is>
      </c>
      <c r="C1355" t="inlineStr">
        <is>
          <t>沪港深科技ETF广发</t>
        </is>
      </c>
      <c r="D1355" t="n">
        <v>6404.2</v>
      </c>
      <c r="E1355" t="n">
        <v>7004.2</v>
      </c>
      <c r="F1355" t="n">
        <v>0.738</v>
      </c>
      <c r="G1355" t="n">
        <v>-600</v>
      </c>
      <c r="H1355" t="n">
        <v>0.51691</v>
      </c>
      <c r="I1355" t="n">
        <v>0.362745</v>
      </c>
      <c r="J1355" t="n">
        <v>0.154165</v>
      </c>
      <c r="K1355" s="4">
        <f>IFERROR(J1355/I1355,"")</f>
        <v/>
      </c>
      <c r="L1355" s="4">
        <f>IFERROR((D1355-E1355)/E1355,"")</f>
        <v/>
      </c>
      <c r="M1355" s="19">
        <f>IFERROR(F1355*G1355/10000,"")</f>
        <v/>
      </c>
    </row>
    <row r="1356">
      <c r="A1356" t="inlineStr">
        <is>
          <t>2026-10-30</t>
        </is>
      </c>
      <c r="B1356" t="inlineStr">
        <is>
          <t>517360</t>
        </is>
      </c>
      <c r="C1356" t="inlineStr">
        <is>
          <t>沪港深科技ETF华安</t>
        </is>
      </c>
      <c r="D1356" t="n">
        <v>2358.3</v>
      </c>
      <c r="E1356" t="n">
        <v>2358.3</v>
      </c>
      <c r="F1356" t="n">
        <v>0.824</v>
      </c>
      <c r="G1356" t="n">
        <v>0</v>
      </c>
      <c r="H1356" t="n">
        <v>0.194324</v>
      </c>
      <c r="I1356" t="n">
        <v>0.197154</v>
      </c>
      <c r="J1356" t="n">
        <v>-0.00283</v>
      </c>
      <c r="K1356" s="4">
        <f>IFERROR(J1356/I1356,"")</f>
        <v/>
      </c>
      <c r="L1356" s="4">
        <f>IFERROR((D1356-E1356)/E1356,"")</f>
        <v/>
      </c>
      <c r="M1356" s="19">
        <f>IFERROR(F1356*G1356/10000,"")</f>
        <v/>
      </c>
    </row>
    <row r="1357">
      <c r="A1357" t="inlineStr">
        <is>
          <t>2026-10-30</t>
        </is>
      </c>
      <c r="B1357" t="inlineStr">
        <is>
          <t>517380</t>
        </is>
      </c>
      <c r="C1357" t="inlineStr">
        <is>
          <t>创新药ETF天弘</t>
        </is>
      </c>
      <c r="D1357" t="n">
        <v>282632.63</v>
      </c>
      <c r="E1357" t="n">
        <v>283232.63</v>
      </c>
      <c r="F1357" t="n">
        <v>0.8070000000000001</v>
      </c>
      <c r="G1357" t="n">
        <v>-600</v>
      </c>
      <c r="H1357" t="n">
        <v>22.856873</v>
      </c>
      <c r="I1357" t="n">
        <v>22.832427</v>
      </c>
      <c r="J1357" t="n">
        <v>0.024446</v>
      </c>
      <c r="K1357" s="4">
        <f>IFERROR(J1357/I1357,"")</f>
        <v/>
      </c>
      <c r="L1357" s="4">
        <f>IFERROR((D1357-E1357)/E1357,"")</f>
        <v/>
      </c>
      <c r="M1357" s="19">
        <f>IFERROR(F1357*G1357/10000,"")</f>
        <v/>
      </c>
    </row>
    <row r="1358">
      <c r="A1358" t="inlineStr">
        <is>
          <t>2026-10-30</t>
        </is>
      </c>
      <c r="B1358" t="inlineStr">
        <is>
          <t>517390</t>
        </is>
      </c>
      <c r="C1358" t="inlineStr">
        <is>
          <t>云计算ETF天弘</t>
        </is>
      </c>
      <c r="D1358" t="n">
        <v>12411.26</v>
      </c>
      <c r="E1358" t="n">
        <v>12611.26</v>
      </c>
      <c r="F1358" t="n">
        <v>1.554</v>
      </c>
      <c r="G1358" t="n">
        <v>-200</v>
      </c>
      <c r="H1358" t="n">
        <v>1.95979</v>
      </c>
      <c r="I1358" t="n">
        <v>2.061766</v>
      </c>
      <c r="J1358" t="n">
        <v>-0.101976</v>
      </c>
      <c r="K1358" s="4">
        <f>IFERROR(J1358/I1358,"")</f>
        <v/>
      </c>
      <c r="L1358" s="4">
        <f>IFERROR((D1358-E1358)/E1358,"")</f>
        <v/>
      </c>
      <c r="M1358" s="19">
        <f>IFERROR(F1358*G1358/10000,"")</f>
        <v/>
      </c>
    </row>
    <row r="1359">
      <c r="A1359" t="inlineStr">
        <is>
          <t>2026-10-30</t>
        </is>
      </c>
      <c r="B1359" t="inlineStr">
        <is>
          <t>517400</t>
        </is>
      </c>
      <c r="C1359" t="inlineStr">
        <is>
          <t>黄金股ETF国泰</t>
        </is>
      </c>
      <c r="D1359" t="n">
        <v>115079.2</v>
      </c>
      <c r="E1359" t="n">
        <v>115079.2</v>
      </c>
      <c r="F1359" t="n">
        <v>1.299</v>
      </c>
      <c r="G1359" t="n">
        <v>0</v>
      </c>
      <c r="H1359" t="n">
        <v>14.948788</v>
      </c>
      <c r="I1359" t="n">
        <v>15.230054</v>
      </c>
      <c r="J1359" t="n">
        <v>-0.281266</v>
      </c>
      <c r="K1359" s="4">
        <f>IFERROR(J1359/I1359,"")</f>
        <v/>
      </c>
      <c r="L1359" s="4">
        <f>IFERROR((D1359-E1359)/E1359,"")</f>
        <v/>
      </c>
      <c r="M1359" s="19">
        <f>IFERROR(F1359*G1359/10000,"")</f>
        <v/>
      </c>
    </row>
    <row r="1360">
      <c r="A1360" t="inlineStr">
        <is>
          <t>2026-10-30</t>
        </is>
      </c>
      <c r="B1360" t="inlineStr">
        <is>
          <t>517520</t>
        </is>
      </c>
      <c r="C1360" t="inlineStr">
        <is>
          <t>黄金股ETF永赢</t>
        </is>
      </c>
      <c r="D1360" t="n">
        <v>695190.4</v>
      </c>
      <c r="E1360" t="n">
        <v>695990.4</v>
      </c>
      <c r="F1360" t="n">
        <v>1.641</v>
      </c>
      <c r="G1360" t="n">
        <v>-800</v>
      </c>
      <c r="H1360" t="n">
        <v>114.212025</v>
      </c>
      <c r="I1360" t="n">
        <v>117.143851</v>
      </c>
      <c r="J1360" t="n">
        <v>-2.931826</v>
      </c>
      <c r="K1360" s="4">
        <f>IFERROR(J1360/I1360,"")</f>
        <v/>
      </c>
      <c r="L1360" s="4">
        <f>IFERROR((D1360-E1360)/E1360,"")</f>
        <v/>
      </c>
      <c r="M1360" s="19">
        <f>IFERROR(F1360*G1360/10000,"")</f>
        <v/>
      </c>
    </row>
    <row r="1361">
      <c r="A1361" t="inlineStr">
        <is>
          <t>2026-10-30</t>
        </is>
      </c>
      <c r="B1361" t="inlineStr">
        <is>
          <t>517550</t>
        </is>
      </c>
      <c r="C1361" t="inlineStr">
        <is>
          <t>沪港深消费龙头ETF招商</t>
        </is>
      </c>
      <c r="D1361" t="n">
        <v>7891.74</v>
      </c>
      <c r="E1361" t="n">
        <v>7891.74</v>
      </c>
      <c r="F1361" t="n">
        <v>0.63</v>
      </c>
      <c r="G1361" t="n">
        <v>0</v>
      </c>
      <c r="H1361" t="n">
        <v>0.497179</v>
      </c>
      <c r="I1361" t="n">
        <v>0.494812</v>
      </c>
      <c r="J1361" t="n">
        <v>0.002367</v>
      </c>
      <c r="K1361" s="4">
        <f>IFERROR(J1361/I1361,"")</f>
        <v/>
      </c>
      <c r="L1361" s="4">
        <f>IFERROR((D1361-E1361)/E1361,"")</f>
        <v/>
      </c>
      <c r="M1361" s="19">
        <f>IFERROR(F1361*G1361/10000,"")</f>
        <v/>
      </c>
    </row>
    <row r="1362">
      <c r="A1362" t="inlineStr">
        <is>
          <t>2026-10-30</t>
        </is>
      </c>
      <c r="B1362" t="inlineStr">
        <is>
          <t>517660</t>
        </is>
      </c>
      <c r="C1362" t="inlineStr">
        <is>
          <t>物联网ETF天弘</t>
        </is>
      </c>
      <c r="D1362" t="n">
        <v>4108.07</v>
      </c>
      <c r="E1362" t="n">
        <v>4108.07</v>
      </c>
      <c r="F1362" t="n">
        <v>1.039</v>
      </c>
      <c r="G1362" t="n">
        <v>0</v>
      </c>
      <c r="H1362" t="n">
        <v>0.426828</v>
      </c>
      <c r="I1362" t="n">
        <v>0.435455</v>
      </c>
      <c r="J1362" t="n">
        <v>-0.008626999999999999</v>
      </c>
      <c r="K1362" s="4">
        <f>IFERROR(J1362/I1362,"")</f>
        <v/>
      </c>
      <c r="L1362" s="4">
        <f>IFERROR((D1362-E1362)/E1362,"")</f>
        <v/>
      </c>
      <c r="M1362" s="19">
        <f>IFERROR(F1362*G1362/10000,"")</f>
        <v/>
      </c>
    </row>
    <row r="1363">
      <c r="A1363" t="inlineStr">
        <is>
          <t>2026-10-30</t>
        </is>
      </c>
      <c r="B1363" t="inlineStr">
        <is>
          <t>517770</t>
        </is>
      </c>
      <c r="C1363" t="inlineStr">
        <is>
          <t>游戏传媒ETF浦银</t>
        </is>
      </c>
      <c r="D1363" t="n">
        <v>19194.78</v>
      </c>
      <c r="E1363" t="n">
        <v>19494.78</v>
      </c>
      <c r="F1363" t="n">
        <v>0.794</v>
      </c>
      <c r="G1363" t="n">
        <v>-300</v>
      </c>
      <c r="H1363" t="n">
        <v>1.547885</v>
      </c>
      <c r="I1363" t="n">
        <v>1.581027</v>
      </c>
      <c r="J1363" t="n">
        <v>-0.033142</v>
      </c>
      <c r="K1363" s="4">
        <f>IFERROR(J1363/I1363,"")</f>
        <v/>
      </c>
      <c r="L1363" s="4">
        <f>IFERROR((D1363-E1363)/E1363,"")</f>
        <v/>
      </c>
      <c r="M1363" s="19">
        <f>IFERROR(F1363*G1363/10000,"")</f>
        <v/>
      </c>
    </row>
    <row r="1364">
      <c r="A1364" t="inlineStr">
        <is>
          <t>2026-10-30</t>
        </is>
      </c>
      <c r="B1364" t="inlineStr">
        <is>
          <t>517800</t>
        </is>
      </c>
      <c r="C1364" t="inlineStr">
        <is>
          <t>人工智能50ETF方正富邦</t>
        </is>
      </c>
      <c r="D1364" t="n">
        <v>21953.97</v>
      </c>
      <c r="E1364" t="n">
        <v>21753.97</v>
      </c>
      <c r="F1364" t="n">
        <v>0.8</v>
      </c>
      <c r="G1364" t="n">
        <v>200</v>
      </c>
      <c r="H1364" t="n">
        <v>1.740318</v>
      </c>
      <c r="I1364" t="n">
        <v>1.807755</v>
      </c>
      <c r="J1364" t="n">
        <v>-0.067437</v>
      </c>
      <c r="K1364" s="4">
        <f>IFERROR(J1364/I1364,"")</f>
        <v/>
      </c>
      <c r="L1364" s="4">
        <f>IFERROR((D1364-E1364)/E1364,"")</f>
        <v/>
      </c>
      <c r="M1364" s="19">
        <f>IFERROR(F1364*G1364/10000,"")</f>
        <v/>
      </c>
    </row>
    <row r="1365">
      <c r="A1365" t="inlineStr">
        <is>
          <t>2026-10-30</t>
        </is>
      </c>
      <c r="B1365" t="inlineStr">
        <is>
          <t>517850</t>
        </is>
      </c>
      <c r="C1365" t="inlineStr">
        <is>
          <t>张江ETF汇添富</t>
        </is>
      </c>
      <c r="D1365" t="n">
        <v>3818.52</v>
      </c>
      <c r="E1365" t="n">
        <v>3818.52</v>
      </c>
      <c r="F1365" t="n">
        <v>1.014</v>
      </c>
      <c r="G1365" t="n">
        <v>0</v>
      </c>
      <c r="H1365" t="n">
        <v>0.387198</v>
      </c>
      <c r="I1365" t="n">
        <v>0.401326</v>
      </c>
      <c r="J1365" t="n">
        <v>-0.014128</v>
      </c>
      <c r="K1365" s="4">
        <f>IFERROR(J1365/I1365,"")</f>
        <v/>
      </c>
      <c r="L1365" s="4">
        <f>IFERROR((D1365-E1365)/E1365,"")</f>
        <v/>
      </c>
      <c r="M1365" s="19">
        <f>IFERROR(F1365*G1365/10000,"")</f>
        <v/>
      </c>
    </row>
    <row r="1366">
      <c r="A1366" t="inlineStr">
        <is>
          <t>2026-10-30</t>
        </is>
      </c>
      <c r="B1366" t="inlineStr">
        <is>
          <t>517880</t>
        </is>
      </c>
      <c r="C1366" t="inlineStr">
        <is>
          <t>品牌消费ETF华泰柏瑞</t>
        </is>
      </c>
      <c r="D1366" t="n">
        <v>4733.71</v>
      </c>
      <c r="E1366" t="n">
        <v>4733.71</v>
      </c>
      <c r="F1366" t="n">
        <v>0.6850000000000001</v>
      </c>
      <c r="G1366" t="n">
        <v>0</v>
      </c>
      <c r="H1366" t="n">
        <v>0.324259</v>
      </c>
      <c r="I1366" t="n">
        <v>0.324259</v>
      </c>
      <c r="J1366" t="n">
        <v>0</v>
      </c>
      <c r="K1366" s="4">
        <f>IFERROR(J1366/I1366,"")</f>
        <v/>
      </c>
      <c r="L1366" s="4">
        <f>IFERROR((D1366-E1366)/E1366,"")</f>
        <v/>
      </c>
      <c r="M1366" s="19">
        <f>IFERROR(F1366*G1366/10000,"")</f>
        <v/>
      </c>
    </row>
    <row r="1367">
      <c r="A1367" t="inlineStr">
        <is>
          <t>2026-10-30</t>
        </is>
      </c>
      <c r="B1367" t="inlineStr">
        <is>
          <t>517900</t>
        </is>
      </c>
      <c r="C1367" t="inlineStr">
        <is>
          <t>银行AH优选ETF招商</t>
        </is>
      </c>
      <c r="D1367" t="n">
        <v>35399.35</v>
      </c>
      <c r="E1367" t="n">
        <v>35499.35</v>
      </c>
      <c r="F1367" t="n">
        <v>1.627</v>
      </c>
      <c r="G1367" t="n">
        <v>-100</v>
      </c>
      <c r="H1367" t="n">
        <v>5.775744</v>
      </c>
      <c r="I1367" t="n">
        <v>5.779505</v>
      </c>
      <c r="J1367" t="n">
        <v>-0.003761</v>
      </c>
      <c r="K1367" s="4">
        <f>IFERROR(J1367/I1367,"")</f>
        <v/>
      </c>
      <c r="L1367" s="4">
        <f>IFERROR((D1367-E1367)/E1367,"")</f>
        <v/>
      </c>
      <c r="M1367" s="19">
        <f>IFERROR(F1367*G1367/10000,"")</f>
        <v/>
      </c>
    </row>
    <row r="1368">
      <c r="A1368" t="inlineStr">
        <is>
          <t>2026-10-30</t>
        </is>
      </c>
      <c r="B1368" t="inlineStr">
        <is>
          <t>517950</t>
        </is>
      </c>
      <c r="C1368" t="inlineStr">
        <is>
          <t>沪深港科技50ETF交银</t>
        </is>
      </c>
      <c r="D1368" t="n">
        <v>4262.32</v>
      </c>
      <c r="E1368" t="n">
        <v>4262.32</v>
      </c>
      <c r="F1368" t="n">
        <v>0.9379999999999999</v>
      </c>
      <c r="G1368" t="n">
        <v>0</v>
      </c>
      <c r="H1368" t="n">
        <v>0.399806</v>
      </c>
      <c r="I1368" t="n">
        <v>0.428437</v>
      </c>
      <c r="J1368" t="n">
        <v>-0.028631</v>
      </c>
      <c r="K1368" s="4">
        <f>IFERROR(J1368/I1368,"")</f>
        <v/>
      </c>
      <c r="L1368" s="4">
        <f>IFERROR((D1368-E1368)/E1368,"")</f>
        <v/>
      </c>
      <c r="M1368" s="19">
        <f>IFERROR(F1368*G1368/10000,"")</f>
        <v/>
      </c>
    </row>
    <row r="1369">
      <c r="A1369" t="inlineStr">
        <is>
          <t>2026-10-30</t>
        </is>
      </c>
      <c r="B1369" t="inlineStr">
        <is>
          <t>517990</t>
        </is>
      </c>
      <c r="C1369" t="inlineStr">
        <is>
          <t>沪港深医药ETF招商</t>
        </is>
      </c>
      <c r="D1369" t="n">
        <v>4298.79</v>
      </c>
      <c r="E1369" t="n">
        <v>4298.79</v>
      </c>
      <c r="F1369" t="n">
        <v>0.865</v>
      </c>
      <c r="G1369" t="n">
        <v>0</v>
      </c>
      <c r="H1369" t="n">
        <v>0.371845</v>
      </c>
      <c r="I1369" t="n">
        <v>0.380495</v>
      </c>
      <c r="J1369" t="n">
        <v>-0.00865</v>
      </c>
      <c r="K1369" s="4">
        <f>IFERROR(J1369/I1369,"")</f>
        <v/>
      </c>
      <c r="L1369" s="4">
        <f>IFERROR((D1369-E1369)/E1369,"")</f>
        <v/>
      </c>
      <c r="M1369" s="19">
        <f>IFERROR(F1369*G1369/10000,"")</f>
        <v/>
      </c>
    </row>
    <row r="1370">
      <c r="A1370" t="inlineStr">
        <is>
          <t>2026-10-30</t>
        </is>
      </c>
      <c r="B1370" t="inlineStr">
        <is>
          <t>518600</t>
        </is>
      </c>
      <c r="C1370" t="inlineStr">
        <is>
          <t>金ETF广发</t>
        </is>
      </c>
      <c r="D1370" t="n">
        <v>84781.63</v>
      </c>
      <c r="E1370" t="n">
        <v>84931.63</v>
      </c>
      <c r="F1370" t="n">
        <v>8.569000000000001</v>
      </c>
      <c r="G1370" t="n">
        <v>-150</v>
      </c>
      <c r="H1370" t="n">
        <v>72.777918</v>
      </c>
      <c r="I1370" t="n">
        <v>73.600593</v>
      </c>
      <c r="J1370" t="n">
        <v>-0.822675</v>
      </c>
      <c r="K1370" s="4">
        <f>IFERROR(J1370/I1370,"")</f>
        <v/>
      </c>
      <c r="L1370" s="4">
        <f>IFERROR((D1370-E1370)/E1370,"")</f>
        <v/>
      </c>
      <c r="M1370" s="19">
        <f>IFERROR(F1370*G1370/10000,"")</f>
        <v/>
      </c>
    </row>
    <row r="1371">
      <c r="A1371" t="inlineStr">
        <is>
          <t>2026-10-30</t>
        </is>
      </c>
      <c r="B1371" t="inlineStr">
        <is>
          <t>518660</t>
        </is>
      </c>
      <c r="C1371" t="inlineStr">
        <is>
          <t>黄金ETF工银</t>
        </is>
      </c>
      <c r="D1371" t="n">
        <v>109455.27</v>
      </c>
      <c r="E1371" t="n">
        <v>109515.27</v>
      </c>
      <c r="F1371" t="n">
        <v>8.259</v>
      </c>
      <c r="G1371" t="n">
        <v>-60</v>
      </c>
      <c r="H1371" t="n">
        <v>90.44865900000001</v>
      </c>
      <c r="I1371" t="n">
        <v>90.11269</v>
      </c>
      <c r="J1371" t="n">
        <v>0.335969</v>
      </c>
      <c r="K1371" s="4">
        <f>IFERROR(J1371/I1371,"")</f>
        <v/>
      </c>
      <c r="L1371" s="4">
        <f>IFERROR((D1371-E1371)/E1371,"")</f>
        <v/>
      </c>
      <c r="M1371" s="19">
        <f>IFERROR(F1371*G1371/10000,"")</f>
        <v/>
      </c>
    </row>
    <row r="1372">
      <c r="A1372" t="inlineStr">
        <is>
          <t>2026-10-30</t>
        </is>
      </c>
      <c r="B1372" t="inlineStr">
        <is>
          <t>518680</t>
        </is>
      </c>
      <c r="C1372" t="inlineStr">
        <is>
          <t>金ETF富国</t>
        </is>
      </c>
      <c r="D1372" t="n">
        <v>89026.95</v>
      </c>
      <c r="E1372" t="n">
        <v>89396.95</v>
      </c>
      <c r="F1372" t="n">
        <v>8.617000000000001</v>
      </c>
      <c r="G1372" t="n">
        <v>-370</v>
      </c>
      <c r="H1372" t="n">
        <v>77.03335300000001</v>
      </c>
      <c r="I1372" t="n">
        <v>77.94108300000001</v>
      </c>
      <c r="J1372" t="n">
        <v>-0.90773</v>
      </c>
      <c r="K1372" s="4">
        <f>IFERROR(J1372/I1372,"")</f>
        <v/>
      </c>
      <c r="L1372" s="4">
        <f>IFERROR((D1372-E1372)/E1372,"")</f>
        <v/>
      </c>
      <c r="M1372" s="19">
        <f>IFERROR(F1372*G1372/10000,"")</f>
        <v/>
      </c>
    </row>
    <row r="1373">
      <c r="A1373" t="inlineStr">
        <is>
          <t>2026-10-30</t>
        </is>
      </c>
      <c r="B1373" t="inlineStr">
        <is>
          <t>518800</t>
        </is>
      </c>
      <c r="C1373" t="inlineStr">
        <is>
          <t>黄金ETF国泰</t>
        </is>
      </c>
      <c r="D1373" t="n">
        <v>407067.92</v>
      </c>
      <c r="E1373" t="n">
        <v>406717.92</v>
      </c>
      <c r="F1373" t="n">
        <v>8.624000000000001</v>
      </c>
      <c r="G1373" t="n">
        <v>350</v>
      </c>
      <c r="H1373" t="n">
        <v>350.753536</v>
      </c>
      <c r="I1373" t="n">
        <v>350.972896</v>
      </c>
      <c r="J1373" t="n">
        <v>-0.21936</v>
      </c>
      <c r="K1373" s="4">
        <f>IFERROR(J1373/I1373,"")</f>
        <v/>
      </c>
      <c r="L1373" s="4">
        <f>IFERROR((D1373-E1373)/E1373,"")</f>
        <v/>
      </c>
      <c r="M1373" s="19">
        <f>IFERROR(F1373*G1373/10000,"")</f>
        <v/>
      </c>
    </row>
    <row r="1374">
      <c r="A1374" t="inlineStr">
        <is>
          <t>2026-10-30</t>
        </is>
      </c>
      <c r="B1374" t="inlineStr">
        <is>
          <t>518850</t>
        </is>
      </c>
      <c r="C1374" t="inlineStr">
        <is>
          <t>黄金ETF华夏</t>
        </is>
      </c>
      <c r="D1374" t="n">
        <v>213187.87</v>
      </c>
      <c r="E1374" t="n">
        <v>213157.87</v>
      </c>
      <c r="F1374" t="n">
        <v>8.315</v>
      </c>
      <c r="G1374" t="n">
        <v>30</v>
      </c>
      <c r="H1374" t="n">
        <v>177.240769</v>
      </c>
      <c r="I1374" t="n">
        <v>177.404532</v>
      </c>
      <c r="J1374" t="n">
        <v>-0.163763</v>
      </c>
      <c r="K1374" s="4">
        <f>IFERROR(J1374/I1374,"")</f>
        <v/>
      </c>
      <c r="L1374" s="4">
        <f>IFERROR((D1374-E1374)/E1374,"")</f>
        <v/>
      </c>
      <c r="M1374" s="19">
        <f>IFERROR(F1374*G1374/10000,"")</f>
        <v/>
      </c>
    </row>
    <row r="1375">
      <c r="A1375" t="inlineStr">
        <is>
          <t>2026-10-30</t>
        </is>
      </c>
      <c r="B1375" t="inlineStr">
        <is>
          <t>518860</t>
        </is>
      </c>
      <c r="C1375" t="inlineStr">
        <is>
          <t>上海金ETF建信</t>
        </is>
      </c>
      <c r="D1375" t="n">
        <v>50865.98</v>
      </c>
      <c r="E1375" t="n">
        <v>50865.98</v>
      </c>
      <c r="F1375" t="n">
        <v>8.241</v>
      </c>
      <c r="G1375" t="n">
        <v>0</v>
      </c>
      <c r="H1375" t="n">
        <v>41.918657</v>
      </c>
      <c r="I1375" t="n">
        <v>41.914268</v>
      </c>
      <c r="J1375" t="n">
        <v>0.004389</v>
      </c>
      <c r="K1375" s="4">
        <f>IFERROR(J1375/I1375,"")</f>
        <v/>
      </c>
      <c r="L1375" s="4">
        <f>IFERROR((D1375-E1375)/E1375,"")</f>
        <v/>
      </c>
      <c r="M1375" s="19">
        <f>IFERROR(F1375*G1375/10000,"")</f>
        <v/>
      </c>
    </row>
    <row r="1376">
      <c r="A1376" t="inlineStr">
        <is>
          <t>2026-10-30</t>
        </is>
      </c>
      <c r="B1376" t="inlineStr">
        <is>
          <t>518880</t>
        </is>
      </c>
      <c r="C1376" t="inlineStr">
        <is>
          <t>黄金ETF华安</t>
        </is>
      </c>
      <c r="D1376" t="n">
        <v>1204044.08</v>
      </c>
      <c r="E1376" t="n">
        <v>1205214.08</v>
      </c>
      <c r="F1376" t="n">
        <v>8.224</v>
      </c>
      <c r="G1376" t="n">
        <v>-1170</v>
      </c>
      <c r="H1376" t="n">
        <v>991.168063</v>
      </c>
      <c r="I1376" t="n">
        <v>991.697016</v>
      </c>
      <c r="J1376" t="n">
        <v>-0.528953</v>
      </c>
      <c r="K1376" s="4">
        <f>IFERROR(J1376/I1376,"")</f>
        <v/>
      </c>
      <c r="L1376" s="4">
        <f>IFERROR((D1376-E1376)/E1376,"")</f>
        <v/>
      </c>
      <c r="M1376" s="19">
        <f>IFERROR(F1376*G1376/10000,"")</f>
        <v/>
      </c>
    </row>
    <row r="1377">
      <c r="A1377" t="inlineStr">
        <is>
          <t>2026-10-30</t>
        </is>
      </c>
      <c r="B1377" t="inlineStr">
        <is>
          <t>518890</t>
        </is>
      </c>
      <c r="C1377" t="inlineStr">
        <is>
          <t>上海金ETF中银</t>
        </is>
      </c>
      <c r="D1377" t="n">
        <v>39835.48</v>
      </c>
      <c r="E1377" t="n">
        <v>39445.48</v>
      </c>
      <c r="F1377" t="n">
        <v>8.239000000000001</v>
      </c>
      <c r="G1377" t="n">
        <v>390</v>
      </c>
      <c r="H1377" t="n">
        <v>32.499135</v>
      </c>
      <c r="I1377" t="n">
        <v>32.143978</v>
      </c>
      <c r="J1377" t="n">
        <v>0.355157</v>
      </c>
      <c r="K1377" s="4">
        <f>IFERROR(J1377/I1377,"")</f>
        <v/>
      </c>
      <c r="L1377" s="4">
        <f>IFERROR((D1377-E1377)/E1377,"")</f>
        <v/>
      </c>
      <c r="M1377" s="19">
        <f>IFERROR(F1377*G1377/10000,"")</f>
        <v/>
      </c>
    </row>
    <row r="1378">
      <c r="A1378" t="inlineStr">
        <is>
          <t>2026-10-30</t>
        </is>
      </c>
      <c r="B1378" t="inlineStr">
        <is>
          <t>520500</t>
        </is>
      </c>
      <c r="C1378" t="inlineStr">
        <is>
          <t>恒生创新药ETF华泰柏瑞</t>
        </is>
      </c>
      <c r="D1378" t="n">
        <v>190080.5</v>
      </c>
      <c r="E1378" t="n">
        <v>190380.5</v>
      </c>
      <c r="F1378" t="n">
        <v>1.228</v>
      </c>
      <c r="G1378" t="n">
        <v>-300</v>
      </c>
      <c r="H1378" t="n">
        <v>23.378725</v>
      </c>
      <c r="I1378" t="n">
        <v>23.327736</v>
      </c>
      <c r="J1378" t="n">
        <v>0.050989</v>
      </c>
      <c r="K1378" s="4">
        <f>IFERROR(J1378/I1378,"")</f>
        <v/>
      </c>
      <c r="L1378" s="4">
        <f>IFERROR((D1378-E1378)/E1378,"")</f>
        <v/>
      </c>
      <c r="M1378" s="19">
        <f>IFERROR(F1378*G1378/10000,"")</f>
        <v/>
      </c>
    </row>
    <row r="1379">
      <c r="A1379" t="inlineStr">
        <is>
          <t>2026-10-30</t>
        </is>
      </c>
      <c r="B1379" t="inlineStr">
        <is>
          <t>520510</t>
        </is>
      </c>
      <c r="C1379" t="inlineStr">
        <is>
          <t>港股通医疗ETF华夏</t>
        </is>
      </c>
      <c r="D1379" t="n">
        <v>30272.8</v>
      </c>
      <c r="E1379" t="n">
        <v>30972.8</v>
      </c>
      <c r="F1379" t="n">
        <v>0.885</v>
      </c>
      <c r="G1379" t="n">
        <v>-700</v>
      </c>
      <c r="H1379" t="n">
        <v>2.741093</v>
      </c>
      <c r="I1379" t="n">
        <v>2.798454</v>
      </c>
      <c r="J1379" t="n">
        <v>-0.057361</v>
      </c>
      <c r="K1379" s="4">
        <f>IFERROR(J1379/I1379,"")</f>
        <v/>
      </c>
      <c r="L1379" s="4">
        <f>IFERROR((D1379-E1379)/E1379,"")</f>
        <v/>
      </c>
      <c r="M1379" s="19">
        <f>IFERROR(F1379*G1379/10000,"")</f>
        <v/>
      </c>
    </row>
    <row r="1380">
      <c r="A1380" t="inlineStr">
        <is>
          <t>2026-10-30</t>
        </is>
      </c>
      <c r="B1380" t="inlineStr">
        <is>
          <t>520520</t>
        </is>
      </c>
      <c r="C1380" t="inlineStr">
        <is>
          <t>恒生消费ETF华泰柏瑞</t>
        </is>
      </c>
      <c r="D1380" t="n">
        <v>5160.6</v>
      </c>
      <c r="E1380" t="n">
        <v>5160.6</v>
      </c>
      <c r="F1380" t="n">
        <v>0.865</v>
      </c>
      <c r="G1380" t="n">
        <v>0</v>
      </c>
      <c r="H1380" t="n">
        <v>0.446392</v>
      </c>
      <c r="I1380" t="n">
        <v>0.446908</v>
      </c>
      <c r="J1380" t="n">
        <v>-0.000516</v>
      </c>
      <c r="K1380" s="4">
        <f>IFERROR(J1380/I1380,"")</f>
        <v/>
      </c>
      <c r="L1380" s="4">
        <f>IFERROR((D1380-E1380)/E1380,"")</f>
        <v/>
      </c>
      <c r="M1380" s="19">
        <f>IFERROR(F1380*G1380/10000,"")</f>
        <v/>
      </c>
    </row>
    <row r="1381">
      <c r="A1381" t="inlineStr">
        <is>
          <t>2026-10-30</t>
        </is>
      </c>
      <c r="B1381" t="inlineStr">
        <is>
          <t>520530</t>
        </is>
      </c>
      <c r="C1381" t="inlineStr">
        <is>
          <t>港股通科技ETF东财</t>
        </is>
      </c>
      <c r="D1381" t="n">
        <v>29977.6</v>
      </c>
      <c r="E1381" t="n">
        <v>29977.6</v>
      </c>
      <c r="F1381" t="n">
        <v>0.662</v>
      </c>
      <c r="G1381" t="n">
        <v>0</v>
      </c>
      <c r="H1381" t="n">
        <v>1.984517</v>
      </c>
      <c r="I1381" t="n">
        <v>2.017492</v>
      </c>
      <c r="J1381" t="n">
        <v>-0.032975</v>
      </c>
      <c r="K1381" s="4">
        <f>IFERROR(J1381/I1381,"")</f>
        <v/>
      </c>
      <c r="L1381" s="4">
        <f>IFERROR((D1381-E1381)/E1381,"")</f>
        <v/>
      </c>
      <c r="M1381" s="19">
        <f>IFERROR(F1381*G1381/10000,"")</f>
        <v/>
      </c>
    </row>
    <row r="1382">
      <c r="A1382" t="inlineStr">
        <is>
          <t>2026-10-30</t>
        </is>
      </c>
      <c r="B1382" t="inlineStr">
        <is>
          <t>520550</t>
        </is>
      </c>
      <c r="C1382" t="inlineStr">
        <is>
          <t>港股红利低波ETF招商</t>
        </is>
      </c>
      <c r="D1382" t="n">
        <v>127302.4</v>
      </c>
      <c r="E1382" t="n">
        <v>127302.4</v>
      </c>
      <c r="F1382" t="n">
        <v>1.039</v>
      </c>
      <c r="G1382" t="n">
        <v>0</v>
      </c>
      <c r="H1382" t="n">
        <v>13.226719</v>
      </c>
      <c r="I1382" t="n">
        <v>13.072863</v>
      </c>
      <c r="J1382" t="n">
        <v>0.153856</v>
      </c>
      <c r="K1382" s="4">
        <f>IFERROR(J1382/I1382,"")</f>
        <v/>
      </c>
      <c r="L1382" s="4">
        <f>IFERROR((D1382-E1382)/E1382,"")</f>
        <v/>
      </c>
      <c r="M1382" s="19">
        <f>IFERROR(F1382*G1382/10000,"")</f>
        <v/>
      </c>
    </row>
    <row r="1383">
      <c r="A1383" t="inlineStr">
        <is>
          <t>2026-10-30</t>
        </is>
      </c>
      <c r="B1383" t="inlineStr">
        <is>
          <t>520560</t>
        </is>
      </c>
      <c r="C1383" t="inlineStr">
        <is>
          <t>香港大盘30ETF华宝</t>
        </is>
      </c>
      <c r="D1383" t="n">
        <v>59241.9</v>
      </c>
      <c r="E1383" t="n">
        <v>59541.9</v>
      </c>
      <c r="F1383" t="n">
        <v>0.748</v>
      </c>
      <c r="G1383" t="n">
        <v>-300</v>
      </c>
      <c r="H1383" t="n">
        <v>4.453734</v>
      </c>
      <c r="I1383" t="n">
        <v>4.474668</v>
      </c>
      <c r="J1383" t="n">
        <v>-0.020934</v>
      </c>
      <c r="K1383" s="4">
        <f>IFERROR(J1383/I1383,"")</f>
        <v/>
      </c>
      <c r="L1383" s="4">
        <f>IFERROR((D1383-E1383)/E1383,"")</f>
        <v/>
      </c>
      <c r="M1383" s="19">
        <f>IFERROR(F1383*G1383/10000,"")</f>
        <v/>
      </c>
    </row>
    <row r="1384">
      <c r="A1384" t="inlineStr">
        <is>
          <t>2026-10-30</t>
        </is>
      </c>
      <c r="B1384" t="inlineStr">
        <is>
          <t>520570</t>
        </is>
      </c>
      <c r="C1384" t="inlineStr">
        <is>
          <t>恒生科技ETF南方</t>
        </is>
      </c>
      <c r="D1384" t="n">
        <v>380987.6</v>
      </c>
      <c r="E1384" t="n">
        <v>381287.6</v>
      </c>
      <c r="F1384" t="n">
        <v>0.593</v>
      </c>
      <c r="G1384" t="n">
        <v>-300</v>
      </c>
      <c r="H1384" t="n">
        <v>22.610355</v>
      </c>
      <c r="I1384" t="n">
        <v>23.099969</v>
      </c>
      <c r="J1384" t="n">
        <v>-0.489614</v>
      </c>
      <c r="K1384" s="4">
        <f>IFERROR(J1384/I1384,"")</f>
        <v/>
      </c>
      <c r="L1384" s="4">
        <f>IFERROR((D1384-E1384)/E1384,"")</f>
        <v/>
      </c>
      <c r="M1384" s="19">
        <f>IFERROR(F1384*G1384/10000,"")</f>
        <v/>
      </c>
    </row>
    <row r="1385">
      <c r="A1385" t="inlineStr">
        <is>
          <t>2026-10-30</t>
        </is>
      </c>
      <c r="B1385" t="inlineStr">
        <is>
          <t>520580</t>
        </is>
      </c>
      <c r="C1385" t="inlineStr">
        <is>
          <t>新兴亚洲ETF招商</t>
        </is>
      </c>
      <c r="D1385" t="n">
        <v>29698.39</v>
      </c>
      <c r="E1385" t="n">
        <v>29698.39</v>
      </c>
      <c r="F1385" t="n">
        <v>0.877</v>
      </c>
      <c r="G1385" t="n">
        <v>0</v>
      </c>
      <c r="H1385" t="n">
        <v>2.604549</v>
      </c>
      <c r="I1385" t="n">
        <v>2.616428</v>
      </c>
      <c r="J1385" t="n">
        <v>-0.011879</v>
      </c>
      <c r="K1385" s="4">
        <f>IFERROR(J1385/I1385,"")</f>
        <v/>
      </c>
      <c r="L1385" s="4">
        <f>IFERROR((D1385-E1385)/E1385,"")</f>
        <v/>
      </c>
      <c r="M1385" s="19">
        <f>IFERROR(F1385*G1385/10000,"")</f>
        <v/>
      </c>
    </row>
    <row r="1386">
      <c r="A1386" t="inlineStr">
        <is>
          <t>2026-10-30</t>
        </is>
      </c>
      <c r="B1386" t="inlineStr">
        <is>
          <t>520590</t>
        </is>
      </c>
      <c r="C1386" t="inlineStr">
        <is>
          <t>恒生科技ETF鹏华</t>
        </is>
      </c>
      <c r="D1386" t="n">
        <v>23023.5</v>
      </c>
      <c r="E1386" t="n">
        <v>21823.5</v>
      </c>
      <c r="F1386" t="n">
        <v>0.633</v>
      </c>
      <c r="G1386" t="n">
        <v>1200</v>
      </c>
      <c r="H1386" t="n">
        <v>1.381428</v>
      </c>
      <c r="I1386" t="n">
        <v>1.414163</v>
      </c>
      <c r="J1386" t="n">
        <v>-0.032735</v>
      </c>
      <c r="K1386" s="4">
        <f>IFERROR(J1386/I1386,"")</f>
        <v/>
      </c>
      <c r="L1386" s="4">
        <f>IFERROR((D1386-E1386)/E1386,"")</f>
        <v/>
      </c>
      <c r="M1386" s="19">
        <f>IFERROR(F1386*G1386/10000,"")</f>
        <v/>
      </c>
    </row>
    <row r="1387">
      <c r="A1387" t="inlineStr">
        <is>
          <t>2026-10-30</t>
        </is>
      </c>
      <c r="B1387" t="inlineStr">
        <is>
          <t>520600</t>
        </is>
      </c>
      <c r="C1387" t="inlineStr">
        <is>
          <t>港股通汽车ETF广发</t>
        </is>
      </c>
      <c r="D1387" t="n">
        <v>29436.8</v>
      </c>
      <c r="E1387" t="n">
        <v>29436.8</v>
      </c>
      <c r="F1387" t="n">
        <v>0.8070000000000001</v>
      </c>
      <c r="G1387" t="n">
        <v>0</v>
      </c>
      <c r="H1387" t="n">
        <v>2.37555</v>
      </c>
      <c r="I1387" t="n">
        <v>2.43148</v>
      </c>
      <c r="J1387" t="n">
        <v>-0.05593</v>
      </c>
      <c r="K1387" s="4">
        <f>IFERROR(J1387/I1387,"")</f>
        <v/>
      </c>
      <c r="L1387" s="4">
        <f>IFERROR((D1387-E1387)/E1387,"")</f>
        <v/>
      </c>
      <c r="M1387" s="19">
        <f>IFERROR(F1387*G1387/10000,"")</f>
        <v/>
      </c>
    </row>
    <row r="1388">
      <c r="A1388" t="inlineStr">
        <is>
          <t>2026-10-30</t>
        </is>
      </c>
      <c r="B1388" t="inlineStr">
        <is>
          <t>520610</t>
        </is>
      </c>
      <c r="C1388" t="inlineStr">
        <is>
          <t>港股红利低波ETF银华</t>
        </is>
      </c>
      <c r="D1388" t="n">
        <v>36996.3</v>
      </c>
      <c r="E1388" t="n">
        <v>38196.3</v>
      </c>
      <c r="F1388" t="n">
        <v>0.915</v>
      </c>
      <c r="G1388" t="n">
        <v>-1200</v>
      </c>
      <c r="H1388" t="n">
        <v>3.494961</v>
      </c>
      <c r="I1388" t="n">
        <v>3.468224</v>
      </c>
      <c r="J1388" t="n">
        <v>0.026737</v>
      </c>
      <c r="K1388" s="4">
        <f>IFERROR(J1388/I1388,"")</f>
        <v/>
      </c>
      <c r="L1388" s="4">
        <f>IFERROR((D1388-E1388)/E1388,"")</f>
        <v/>
      </c>
      <c r="M1388" s="19">
        <f>IFERROR(F1388*G1388/10000,"")</f>
        <v/>
      </c>
    </row>
    <row r="1389">
      <c r="A1389" t="inlineStr">
        <is>
          <t>2026-10-30</t>
        </is>
      </c>
      <c r="B1389" t="inlineStr">
        <is>
          <t>520620</t>
        </is>
      </c>
      <c r="C1389" t="inlineStr">
        <is>
          <t>恒生消费ETF嘉实</t>
        </is>
      </c>
      <c r="D1389" t="n">
        <v>28340.9</v>
      </c>
      <c r="E1389" t="n">
        <v>28340.9</v>
      </c>
      <c r="F1389" t="n">
        <v>0.737</v>
      </c>
      <c r="G1389" t="n">
        <v>0</v>
      </c>
      <c r="H1389" t="n">
        <v>2.088724</v>
      </c>
      <c r="I1389" t="n">
        <v>2.104627</v>
      </c>
      <c r="J1389" t="n">
        <v>-0.015903</v>
      </c>
      <c r="K1389" s="4">
        <f>IFERROR(J1389/I1389,"")</f>
        <v/>
      </c>
      <c r="L1389" s="4">
        <f>IFERROR((D1389-E1389)/E1389,"")</f>
        <v/>
      </c>
      <c r="M1389" s="19">
        <f>IFERROR(F1389*G1389/10000,"")</f>
        <v/>
      </c>
    </row>
    <row r="1390">
      <c r="A1390" t="inlineStr">
        <is>
          <t>2026-10-30</t>
        </is>
      </c>
      <c r="B1390" t="inlineStr">
        <is>
          <t>520630</t>
        </is>
      </c>
      <c r="C1390" t="inlineStr">
        <is>
          <t>港股通互联网ETF广发</t>
        </is>
      </c>
      <c r="D1390" t="n">
        <v>59261</v>
      </c>
      <c r="E1390" t="n">
        <v>59261</v>
      </c>
      <c r="F1390" t="n">
        <v>0.571</v>
      </c>
      <c r="G1390" t="n">
        <v>0</v>
      </c>
      <c r="H1390" t="n">
        <v>3.383803</v>
      </c>
      <c r="I1390" t="n">
        <v>3.443064</v>
      </c>
      <c r="J1390" t="n">
        <v>-0.059261</v>
      </c>
      <c r="K1390" s="4">
        <f>IFERROR(J1390/I1390,"")</f>
        <v/>
      </c>
      <c r="L1390" s="4">
        <f>IFERROR((D1390-E1390)/E1390,"")</f>
        <v/>
      </c>
      <c r="M1390" s="19">
        <f>IFERROR(F1390*G1390/10000,"")</f>
        <v/>
      </c>
    </row>
    <row r="1391">
      <c r="A1391" t="inlineStr">
        <is>
          <t>2026-10-30</t>
        </is>
      </c>
      <c r="B1391" t="inlineStr">
        <is>
          <t>520650</t>
        </is>
      </c>
      <c r="C1391" t="inlineStr">
        <is>
          <t>港股通互联网ETF南方</t>
        </is>
      </c>
      <c r="D1391" t="n">
        <v>170875.5</v>
      </c>
      <c r="E1391" t="n">
        <v>187375.5</v>
      </c>
      <c r="F1391" t="n">
        <v>0.51</v>
      </c>
      <c r="G1391" t="n">
        <v>-16500</v>
      </c>
      <c r="H1391" t="n">
        <v>9.556151</v>
      </c>
      <c r="I1391" t="n">
        <v>9.779283</v>
      </c>
      <c r="J1391" t="n">
        <v>-0.223132</v>
      </c>
      <c r="K1391" s="4">
        <f>IFERROR(J1391/I1391,"")</f>
        <v/>
      </c>
      <c r="L1391" s="4">
        <f>IFERROR((D1391-E1391)/E1391,"")</f>
        <v/>
      </c>
      <c r="M1391" s="19">
        <f>IFERROR(F1391*G1391/10000,"")</f>
        <v/>
      </c>
    </row>
    <row r="1392">
      <c r="A1392" t="inlineStr">
        <is>
          <t>2026-10-30</t>
        </is>
      </c>
      <c r="B1392" t="inlineStr">
        <is>
          <t>520660</t>
        </is>
      </c>
      <c r="C1392" t="inlineStr">
        <is>
          <t>港股通央企红利ETF南方</t>
        </is>
      </c>
      <c r="D1392" t="n">
        <v>184948.55</v>
      </c>
      <c r="E1392" t="n">
        <v>187248.55</v>
      </c>
      <c r="F1392" t="n">
        <v>0.955</v>
      </c>
      <c r="G1392" t="n">
        <v>-2300</v>
      </c>
      <c r="H1392" t="n">
        <v>17.882236</v>
      </c>
      <c r="I1392" t="n">
        <v>17.751162</v>
      </c>
      <c r="J1392" t="n">
        <v>0.131074</v>
      </c>
      <c r="K1392" s="4">
        <f>IFERROR(J1392/I1392,"")</f>
        <v/>
      </c>
      <c r="L1392" s="4">
        <f>IFERROR((D1392-E1392)/E1392,"")</f>
        <v/>
      </c>
      <c r="M1392" s="19">
        <f>IFERROR(F1392*G1392/10000,"")</f>
        <v/>
      </c>
    </row>
    <row r="1393">
      <c r="A1393" t="inlineStr">
        <is>
          <t>2026-10-30</t>
        </is>
      </c>
      <c r="B1393" t="inlineStr">
        <is>
          <t>520670</t>
        </is>
      </c>
      <c r="C1393" t="inlineStr">
        <is>
          <t>港股通科技ETF嘉实</t>
        </is>
      </c>
      <c r="D1393" t="n">
        <v>22692.81</v>
      </c>
      <c r="E1393" t="n">
        <v>22692.81</v>
      </c>
      <c r="F1393" t="n">
        <v>0.618</v>
      </c>
      <c r="G1393" t="n">
        <v>0</v>
      </c>
      <c r="H1393" t="n">
        <v>1.402416</v>
      </c>
      <c r="I1393" t="n">
        <v>1.443263</v>
      </c>
      <c r="J1393" t="n">
        <v>-0.040847</v>
      </c>
      <c r="K1393" s="4">
        <f>IFERROR(J1393/I1393,"")</f>
        <v/>
      </c>
      <c r="L1393" s="4">
        <f>IFERROR((D1393-E1393)/E1393,"")</f>
        <v/>
      </c>
      <c r="M1393" s="19">
        <f>IFERROR(F1393*G1393/10000,"")</f>
        <v/>
      </c>
    </row>
    <row r="1394">
      <c r="A1394" t="inlineStr">
        <is>
          <t>2026-10-30</t>
        </is>
      </c>
      <c r="B1394" t="inlineStr">
        <is>
          <t>520680</t>
        </is>
      </c>
      <c r="C1394" t="inlineStr">
        <is>
          <t>港股通汽车ETF南方</t>
        </is>
      </c>
      <c r="D1394" t="n">
        <v>8136.9</v>
      </c>
      <c r="E1394" t="n">
        <v>8136.9</v>
      </c>
      <c r="F1394" t="n">
        <v>0.646</v>
      </c>
      <c r="G1394" t="n">
        <v>0</v>
      </c>
      <c r="H1394" t="n">
        <v>0.525644</v>
      </c>
      <c r="I1394" t="n">
        <v>0.537849</v>
      </c>
      <c r="J1394" t="n">
        <v>-0.012205</v>
      </c>
      <c r="K1394" s="4">
        <f>IFERROR(J1394/I1394,"")</f>
        <v/>
      </c>
      <c r="L1394" s="4">
        <f>IFERROR((D1394-E1394)/E1394,"")</f>
        <v/>
      </c>
      <c r="M1394" s="19">
        <f>IFERROR(F1394*G1394/10000,"")</f>
        <v/>
      </c>
    </row>
    <row r="1395">
      <c r="A1395" t="inlineStr">
        <is>
          <t>2026-10-30</t>
        </is>
      </c>
      <c r="B1395" t="inlineStr">
        <is>
          <t>520690</t>
        </is>
      </c>
      <c r="C1395" t="inlineStr">
        <is>
          <t>港股创新药ETF博时</t>
        </is>
      </c>
      <c r="D1395" t="n">
        <v>68745.39999999999</v>
      </c>
      <c r="E1395" t="n">
        <v>68745.39999999999</v>
      </c>
      <c r="F1395" t="n">
        <v>0.648</v>
      </c>
      <c r="G1395" t="n">
        <v>0</v>
      </c>
      <c r="H1395" t="n">
        <v>4.454702</v>
      </c>
      <c r="I1395" t="n">
        <v>4.454702</v>
      </c>
      <c r="J1395" t="n">
        <v>0</v>
      </c>
      <c r="K1395" s="4">
        <f>IFERROR(J1395/I1395,"")</f>
        <v/>
      </c>
      <c r="L1395" s="4">
        <f>IFERROR((D1395-E1395)/E1395,"")</f>
        <v/>
      </c>
      <c r="M1395" s="19">
        <f>IFERROR(F1395*G1395/10000,"")</f>
        <v/>
      </c>
    </row>
    <row r="1396">
      <c r="A1396" t="inlineStr">
        <is>
          <t>2026-10-30</t>
        </is>
      </c>
      <c r="B1396" t="inlineStr">
        <is>
          <t>520700</t>
        </is>
      </c>
      <c r="C1396" t="inlineStr">
        <is>
          <t>港股通创新药ETF万家</t>
        </is>
      </c>
      <c r="D1396" t="n">
        <v>58707.6</v>
      </c>
      <c r="E1396" t="n">
        <v>58707.6</v>
      </c>
      <c r="F1396" t="n">
        <v>1.483</v>
      </c>
      <c r="G1396" t="n">
        <v>0</v>
      </c>
      <c r="H1396" t="n">
        <v>8.706337</v>
      </c>
      <c r="I1396" t="n">
        <v>8.718078999999999</v>
      </c>
      <c r="J1396" t="n">
        <v>-0.011742</v>
      </c>
      <c r="K1396" s="4">
        <f>IFERROR(J1396/I1396,"")</f>
        <v/>
      </c>
      <c r="L1396" s="4">
        <f>IFERROR((D1396-E1396)/E1396,"")</f>
        <v/>
      </c>
      <c r="M1396" s="19">
        <f>IFERROR(F1396*G1396/10000,"")</f>
        <v/>
      </c>
    </row>
    <row r="1397">
      <c r="A1397" t="inlineStr">
        <is>
          <t>2026-10-30</t>
        </is>
      </c>
      <c r="B1397" t="inlineStr">
        <is>
          <t>520710</t>
        </is>
      </c>
      <c r="C1397" t="inlineStr">
        <is>
          <t>港股通信息技术ETF广发</t>
        </is>
      </c>
      <c r="D1397" t="n">
        <v>11002.9</v>
      </c>
      <c r="E1397" t="n">
        <v>11002.9</v>
      </c>
      <c r="F1397" t="n">
        <v>0.702</v>
      </c>
      <c r="G1397" t="n">
        <v>0</v>
      </c>
      <c r="H1397" t="n">
        <v>0.772404</v>
      </c>
      <c r="I1397" t="n">
        <v>0.806513</v>
      </c>
      <c r="J1397" t="n">
        <v>-0.034109</v>
      </c>
      <c r="K1397" s="4">
        <f>IFERROR(J1397/I1397,"")</f>
        <v/>
      </c>
      <c r="L1397" s="4">
        <f>IFERROR((D1397-E1397)/E1397,"")</f>
        <v/>
      </c>
      <c r="M1397" s="19">
        <f>IFERROR(F1397*G1397/10000,"")</f>
        <v/>
      </c>
    </row>
    <row r="1398">
      <c r="A1398" t="inlineStr">
        <is>
          <t>2026-10-30</t>
        </is>
      </c>
      <c r="B1398" t="inlineStr">
        <is>
          <t>520720</t>
        </is>
      </c>
      <c r="C1398" t="inlineStr">
        <is>
          <t>港股汽车ETF国泰</t>
        </is>
      </c>
      <c r="D1398" t="n">
        <v>13594.2</v>
      </c>
      <c r="E1398" t="n">
        <v>13594.2</v>
      </c>
      <c r="F1398" t="n">
        <v>0.592</v>
      </c>
      <c r="G1398" t="n">
        <v>0</v>
      </c>
      <c r="H1398" t="n">
        <v>0.804777</v>
      </c>
      <c r="I1398" t="n">
        <v>0.825168</v>
      </c>
      <c r="J1398" t="n">
        <v>-0.020391</v>
      </c>
      <c r="K1398" s="4">
        <f>IFERROR(J1398/I1398,"")</f>
        <v/>
      </c>
      <c r="L1398" s="4">
        <f>IFERROR((D1398-E1398)/E1398,"")</f>
        <v/>
      </c>
      <c r="M1398" s="19">
        <f>IFERROR(F1398*G1398/10000,"")</f>
        <v/>
      </c>
    </row>
    <row r="1399">
      <c r="A1399" t="inlineStr">
        <is>
          <t>2026-10-30</t>
        </is>
      </c>
      <c r="B1399" t="inlineStr">
        <is>
          <t>520730</t>
        </is>
      </c>
      <c r="C1399" t="inlineStr">
        <is>
          <t>港股通汽车ETF万家</t>
        </is>
      </c>
      <c r="D1399" t="n">
        <v>11839.44</v>
      </c>
      <c r="E1399" t="n">
        <v>11939.44</v>
      </c>
      <c r="F1399" t="n">
        <v>0.613</v>
      </c>
      <c r="G1399" t="n">
        <v>-100</v>
      </c>
      <c r="H1399" t="n">
        <v>0.731888</v>
      </c>
      <c r="I1399" t="n">
        <v>0.749797</v>
      </c>
      <c r="J1399" t="n">
        <v>-0.017909</v>
      </c>
      <c r="K1399" s="4">
        <f>IFERROR(J1399/I1399,"")</f>
        <v/>
      </c>
      <c r="L1399" s="4">
        <f>IFERROR((D1399-E1399)/E1399,"")</f>
        <v/>
      </c>
      <c r="M1399" s="19">
        <f>IFERROR(F1399*G1399/10000,"")</f>
        <v/>
      </c>
    </row>
    <row r="1400">
      <c r="A1400" t="inlineStr">
        <is>
          <t>2026-10-30</t>
        </is>
      </c>
      <c r="B1400" t="inlineStr">
        <is>
          <t>520760</t>
        </is>
      </c>
      <c r="C1400" t="inlineStr">
        <is>
          <t>恒生生物科技ETF摩根</t>
        </is>
      </c>
      <c r="D1400" t="n">
        <v>11646.6</v>
      </c>
      <c r="E1400" t="n">
        <v>11746.6</v>
      </c>
      <c r="F1400" t="n">
        <v>0.89</v>
      </c>
      <c r="G1400" t="n">
        <v>-100</v>
      </c>
      <c r="H1400" t="n">
        <v>1.045447</v>
      </c>
      <c r="I1400" t="n">
        <v>1.063247</v>
      </c>
      <c r="J1400" t="n">
        <v>-0.0178</v>
      </c>
      <c r="K1400" s="4">
        <f>IFERROR(J1400/I1400,"")</f>
        <v/>
      </c>
      <c r="L1400" s="4">
        <f>IFERROR((D1400-E1400)/E1400,"")</f>
        <v/>
      </c>
      <c r="M1400" s="19">
        <f>IFERROR(F1400*G1400/10000,"")</f>
        <v/>
      </c>
    </row>
    <row r="1401">
      <c r="A1401" t="inlineStr">
        <is>
          <t>2026-10-30</t>
        </is>
      </c>
      <c r="B1401" t="inlineStr">
        <is>
          <t>520770</t>
        </is>
      </c>
      <c r="C1401" t="inlineStr">
        <is>
          <t>恒指港股通ETF建信</t>
        </is>
      </c>
      <c r="D1401" t="n">
        <v>21937.38</v>
      </c>
      <c r="E1401" t="n">
        <v>21937.38</v>
      </c>
      <c r="F1401" t="n">
        <v>0.847</v>
      </c>
      <c r="G1401" t="n">
        <v>0</v>
      </c>
      <c r="H1401" t="n">
        <v>1.858096</v>
      </c>
      <c r="I1401" t="n">
        <v>1.86029</v>
      </c>
      <c r="J1401" t="n">
        <v>-0.002194</v>
      </c>
      <c r="K1401" s="4">
        <f>IFERROR(J1401/I1401,"")</f>
        <v/>
      </c>
      <c r="L1401" s="4">
        <f>IFERROR((D1401-E1401)/E1401,"")</f>
        <v/>
      </c>
      <c r="M1401" s="19">
        <f>IFERROR(F1401*G1401/10000,"")</f>
        <v/>
      </c>
    </row>
    <row r="1402">
      <c r="A1402" t="inlineStr">
        <is>
          <t>2026-10-30</t>
        </is>
      </c>
      <c r="B1402" t="inlineStr">
        <is>
          <t>520780</t>
        </is>
      </c>
      <c r="C1402" t="inlineStr">
        <is>
          <t>港股通汽车ETF华宝</t>
        </is>
      </c>
      <c r="D1402" t="n">
        <v>4646</v>
      </c>
      <c r="E1402" t="n">
        <v>4646</v>
      </c>
      <c r="F1402" t="n">
        <v>0.652</v>
      </c>
      <c r="G1402" t="n">
        <v>0</v>
      </c>
      <c r="H1402" t="n">
        <v>0.302919</v>
      </c>
      <c r="I1402" t="n">
        <v>0.309888</v>
      </c>
      <c r="J1402" t="n">
        <v>-0.006969</v>
      </c>
      <c r="K1402" s="4">
        <f>IFERROR(J1402/I1402,"")</f>
        <v/>
      </c>
      <c r="L1402" s="4">
        <f>IFERROR((D1402-E1402)/E1402,"")</f>
        <v/>
      </c>
      <c r="M1402" s="19">
        <f>IFERROR(F1402*G1402/10000,"")</f>
        <v/>
      </c>
    </row>
    <row r="1403">
      <c r="A1403" t="inlineStr">
        <is>
          <t>2026-10-30</t>
        </is>
      </c>
      <c r="B1403" t="inlineStr">
        <is>
          <t>520790</t>
        </is>
      </c>
      <c r="C1403" t="inlineStr">
        <is>
          <t>港股通互联网ETF兴业</t>
        </is>
      </c>
      <c r="D1403" t="n">
        <v>68807.5</v>
      </c>
      <c r="E1403" t="n">
        <v>68807.5</v>
      </c>
      <c r="F1403" t="n">
        <v>0.708</v>
      </c>
      <c r="G1403" t="n">
        <v>0</v>
      </c>
      <c r="H1403" t="n">
        <v>4.871571</v>
      </c>
      <c r="I1403" t="n">
        <v>4.940379</v>
      </c>
      <c r="J1403" t="n">
        <v>-0.06880799999999999</v>
      </c>
      <c r="K1403" s="4">
        <f>IFERROR(J1403/I1403,"")</f>
        <v/>
      </c>
      <c r="L1403" s="4">
        <f>IFERROR((D1403-E1403)/E1403,"")</f>
        <v/>
      </c>
      <c r="M1403" s="19">
        <f>IFERROR(F1403*G1403/10000,"")</f>
        <v/>
      </c>
    </row>
    <row r="1404">
      <c r="A1404" t="inlineStr">
        <is>
          <t>2026-10-30</t>
        </is>
      </c>
      <c r="B1404" t="inlineStr">
        <is>
          <t>520810</t>
        </is>
      </c>
      <c r="C1404" t="inlineStr">
        <is>
          <t>港股通红利ETF易方达</t>
        </is>
      </c>
      <c r="D1404" t="n">
        <v>31936</v>
      </c>
      <c r="E1404" t="n">
        <v>31936</v>
      </c>
      <c r="F1404" t="n">
        <v>0.98</v>
      </c>
      <c r="G1404" t="n">
        <v>0</v>
      </c>
      <c r="H1404" t="n">
        <v>3.129728</v>
      </c>
      <c r="I1404" t="n">
        <v>3.116954</v>
      </c>
      <c r="J1404" t="n">
        <v>0.012774</v>
      </c>
      <c r="K1404" s="4">
        <f>IFERROR(J1404/I1404,"")</f>
        <v/>
      </c>
      <c r="L1404" s="4">
        <f>IFERROR((D1404-E1404)/E1404,"")</f>
        <v/>
      </c>
      <c r="M1404" s="19">
        <f>IFERROR(F1404*G1404/10000,"")</f>
        <v/>
      </c>
    </row>
    <row r="1405">
      <c r="A1405" t="inlineStr">
        <is>
          <t>2026-10-30</t>
        </is>
      </c>
      <c r="B1405" t="inlineStr">
        <is>
          <t>520820</t>
        </is>
      </c>
      <c r="C1405" t="inlineStr">
        <is>
          <t>恒指港股通ETF汇添富</t>
        </is>
      </c>
      <c r="D1405" t="n">
        <v>5868.2</v>
      </c>
      <c r="E1405" t="n">
        <v>5868.2</v>
      </c>
      <c r="F1405" t="n">
        <v>0.838</v>
      </c>
      <c r="G1405" t="n">
        <v>0</v>
      </c>
      <c r="H1405" t="n">
        <v>0.491755</v>
      </c>
      <c r="I1405" t="n">
        <v>0.493516</v>
      </c>
      <c r="J1405" t="n">
        <v>-0.001761</v>
      </c>
      <c r="K1405" s="4">
        <f>IFERROR(J1405/I1405,"")</f>
        <v/>
      </c>
      <c r="L1405" s="4">
        <f>IFERROR((D1405-E1405)/E1405,"")</f>
        <v/>
      </c>
      <c r="M1405" s="19">
        <f>IFERROR(F1405*G1405/10000,"")</f>
        <v/>
      </c>
    </row>
    <row r="1406">
      <c r="A1406" t="inlineStr">
        <is>
          <t>2026-10-30</t>
        </is>
      </c>
      <c r="B1406" t="inlineStr">
        <is>
          <t>520830</t>
        </is>
      </c>
      <c r="C1406" t="inlineStr">
        <is>
          <t>沙特ETF华泰柏瑞</t>
        </is>
      </c>
      <c r="D1406" t="n">
        <v>103961.9</v>
      </c>
      <c r="E1406" t="n">
        <v>103961.9</v>
      </c>
      <c r="F1406" t="n">
        <v>0.8179999999999999</v>
      </c>
      <c r="G1406" t="n">
        <v>0</v>
      </c>
      <c r="H1406" t="n">
        <v>8.504083</v>
      </c>
      <c r="I1406" t="n">
        <v>8.562341</v>
      </c>
      <c r="J1406" t="n">
        <v>-0.058258</v>
      </c>
      <c r="K1406" s="4">
        <f>IFERROR(J1406/I1406,"")</f>
        <v/>
      </c>
      <c r="L1406" s="4">
        <f>IFERROR((D1406-E1406)/E1406,"")</f>
        <v/>
      </c>
      <c r="M1406" s="19">
        <f>IFERROR(F1406*G1406/10000,"")</f>
        <v/>
      </c>
    </row>
    <row r="1407">
      <c r="A1407" t="inlineStr">
        <is>
          <t>2026-10-30</t>
        </is>
      </c>
      <c r="B1407" t="inlineStr">
        <is>
          <t>520840</t>
        </is>
      </c>
      <c r="C1407" t="inlineStr">
        <is>
          <t>港股通恒生科技ETF华安</t>
        </is>
      </c>
      <c r="D1407" t="n">
        <v>121354.9</v>
      </c>
      <c r="E1407" t="n">
        <v>121354.9</v>
      </c>
      <c r="F1407" t="n">
        <v>0.61</v>
      </c>
      <c r="G1407" t="n">
        <v>0</v>
      </c>
      <c r="H1407" t="n">
        <v>7.402649</v>
      </c>
      <c r="I1407" t="n">
        <v>7.608952</v>
      </c>
      <c r="J1407" t="n">
        <v>-0.206303</v>
      </c>
      <c r="K1407" s="4">
        <f>IFERROR(J1407/I1407,"")</f>
        <v/>
      </c>
      <c r="L1407" s="4">
        <f>IFERROR((D1407-E1407)/E1407,"")</f>
        <v/>
      </c>
      <c r="M1407" s="19">
        <f>IFERROR(F1407*G1407/10000,"")</f>
        <v/>
      </c>
    </row>
    <row r="1408">
      <c r="A1408" t="inlineStr">
        <is>
          <t>2026-10-30</t>
        </is>
      </c>
      <c r="B1408" t="inlineStr">
        <is>
          <t>520850</t>
        </is>
      </c>
      <c r="C1408" t="inlineStr">
        <is>
          <t>港股通医疗ETF易方达</t>
        </is>
      </c>
      <c r="D1408" t="n">
        <v>17324.96</v>
      </c>
      <c r="E1408" t="n">
        <v>17324.96</v>
      </c>
      <c r="F1408" t="n">
        <v>0.843</v>
      </c>
      <c r="G1408" t="n">
        <v>0</v>
      </c>
      <c r="H1408" t="n">
        <v>1.460494</v>
      </c>
      <c r="I1408" t="n">
        <v>1.497759</v>
      </c>
      <c r="J1408" t="n">
        <v>-0.037265</v>
      </c>
      <c r="K1408" s="4">
        <f>IFERROR(J1408/I1408,"")</f>
        <v/>
      </c>
      <c r="L1408" s="4">
        <f>IFERROR((D1408-E1408)/E1408,"")</f>
        <v/>
      </c>
      <c r="M1408" s="19">
        <f>IFERROR(F1408*G1408/10000,"")</f>
        <v/>
      </c>
    </row>
    <row r="1409">
      <c r="A1409" t="inlineStr">
        <is>
          <t>2026-10-30</t>
        </is>
      </c>
      <c r="B1409" t="inlineStr">
        <is>
          <t>520860</t>
        </is>
      </c>
      <c r="C1409" t="inlineStr">
        <is>
          <t>港股通科技ETF富国</t>
        </is>
      </c>
      <c r="D1409" t="n">
        <v>34719.5</v>
      </c>
      <c r="E1409" t="n">
        <v>34719.5</v>
      </c>
      <c r="F1409" t="n">
        <v>0.639</v>
      </c>
      <c r="G1409" t="n">
        <v>0</v>
      </c>
      <c r="H1409" t="n">
        <v>2.218576</v>
      </c>
      <c r="I1409" t="n">
        <v>2.270655</v>
      </c>
      <c r="J1409" t="n">
        <v>-0.052079</v>
      </c>
      <c r="K1409" s="4">
        <f>IFERROR(J1409/I1409,"")</f>
        <v/>
      </c>
      <c r="L1409" s="4">
        <f>IFERROR((D1409-E1409)/E1409,"")</f>
        <v/>
      </c>
      <c r="M1409" s="19">
        <f>IFERROR(F1409*G1409/10000,"")</f>
        <v/>
      </c>
    </row>
    <row r="1410">
      <c r="A1410" t="inlineStr">
        <is>
          <t>2026-10-30</t>
        </is>
      </c>
      <c r="B1410" t="inlineStr">
        <is>
          <t>520870</t>
        </is>
      </c>
      <c r="C1410" t="inlineStr">
        <is>
          <t>巴西ETF易方达</t>
        </is>
      </c>
      <c r="D1410" t="n">
        <v>52497.72</v>
      </c>
      <c r="E1410" t="n">
        <v>52447.72</v>
      </c>
      <c r="F1410" t="n">
        <v>1.03</v>
      </c>
      <c r="G1410" t="n">
        <v>50</v>
      </c>
      <c r="H1410" t="n">
        <v>5.402115</v>
      </c>
      <c r="I1410" t="n">
        <v>5.580357</v>
      </c>
      <c r="J1410" t="n">
        <v>-0.178242</v>
      </c>
      <c r="K1410" s="4">
        <f>IFERROR(J1410/I1410,"")</f>
        <v/>
      </c>
      <c r="L1410" s="4">
        <f>IFERROR((D1410-E1410)/E1410,"")</f>
        <v/>
      </c>
      <c r="M1410" s="19">
        <f>IFERROR(F1410*G1410/10000,"")</f>
        <v/>
      </c>
    </row>
    <row r="1411">
      <c r="A1411" t="inlineStr">
        <is>
          <t>2026-10-30</t>
        </is>
      </c>
      <c r="B1411" t="inlineStr">
        <is>
          <t>520880</t>
        </is>
      </c>
      <c r="C1411" t="inlineStr">
        <is>
          <t>港股通创新药ETF华宝</t>
        </is>
      </c>
      <c r="D1411" t="n">
        <v>471561.8</v>
      </c>
      <c r="E1411" t="n">
        <v>471561.8</v>
      </c>
      <c r="F1411" t="n">
        <v>0.4</v>
      </c>
      <c r="G1411" t="n">
        <v>0</v>
      </c>
      <c r="H1411" t="n">
        <v>18.862472</v>
      </c>
      <c r="I1411" t="n">
        <v>18.862472</v>
      </c>
      <c r="J1411" t="n">
        <v>0</v>
      </c>
      <c r="K1411" s="4">
        <f>IFERROR(J1411/I1411,"")</f>
        <v/>
      </c>
      <c r="L1411" s="4">
        <f>IFERROR((D1411-E1411)/E1411,"")</f>
        <v/>
      </c>
      <c r="M1411" s="19">
        <f>IFERROR(F1411*G1411/10000,"")</f>
        <v/>
      </c>
    </row>
    <row r="1412">
      <c r="A1412" t="inlineStr">
        <is>
          <t>2026-10-30</t>
        </is>
      </c>
      <c r="B1412" t="inlineStr">
        <is>
          <t>520890</t>
        </is>
      </c>
      <c r="C1412" t="inlineStr">
        <is>
          <t>港股通红利低波ETF华泰柏瑞</t>
        </is>
      </c>
      <c r="D1412" t="n">
        <v>7800.8</v>
      </c>
      <c r="E1412" t="n">
        <v>7800.8</v>
      </c>
      <c r="F1412" t="n">
        <v>1.27</v>
      </c>
      <c r="G1412" t="n">
        <v>0</v>
      </c>
      <c r="H1412" t="n">
        <v>0.990702</v>
      </c>
      <c r="I1412" t="n">
        <v>0.985241</v>
      </c>
      <c r="J1412" t="n">
        <v>0.005461</v>
      </c>
      <c r="K1412" s="4">
        <f>IFERROR(J1412/I1412,"")</f>
        <v/>
      </c>
      <c r="L1412" s="4">
        <f>IFERROR((D1412-E1412)/E1412,"")</f>
        <v/>
      </c>
      <c r="M1412" s="19">
        <f>IFERROR(F1412*G1412/10000,"")</f>
        <v/>
      </c>
    </row>
    <row r="1413">
      <c r="A1413" t="inlineStr">
        <is>
          <t>2026-10-30</t>
        </is>
      </c>
      <c r="B1413" t="inlineStr">
        <is>
          <t>520900</t>
        </is>
      </c>
      <c r="C1413" t="inlineStr">
        <is>
          <t>港股通红利ETF广发</t>
        </is>
      </c>
      <c r="D1413" t="n">
        <v>144167.5</v>
      </c>
      <c r="E1413" t="n">
        <v>144167.5</v>
      </c>
      <c r="F1413" t="n">
        <v>0.971</v>
      </c>
      <c r="G1413" t="n">
        <v>0</v>
      </c>
      <c r="H1413" t="n">
        <v>13.998665</v>
      </c>
      <c r="I1413" t="n">
        <v>13.897747</v>
      </c>
      <c r="J1413" t="n">
        <v>0.100918</v>
      </c>
      <c r="K1413" s="4">
        <f>IFERROR(J1413/I1413,"")</f>
        <v/>
      </c>
      <c r="L1413" s="4">
        <f>IFERROR((D1413-E1413)/E1413,"")</f>
        <v/>
      </c>
      <c r="M1413" s="19">
        <f>IFERROR(F1413*G1413/10000,"")</f>
        <v/>
      </c>
    </row>
    <row r="1414">
      <c r="A1414" t="inlineStr">
        <is>
          <t>2026-10-30</t>
        </is>
      </c>
      <c r="B1414" t="inlineStr">
        <is>
          <t>520910</t>
        </is>
      </c>
      <c r="C1414" t="inlineStr">
        <is>
          <t>港股通互联网ETF华夏</t>
        </is>
      </c>
      <c r="D1414" t="n">
        <v>78444.5</v>
      </c>
      <c r="E1414" t="n">
        <v>78444.5</v>
      </c>
      <c r="F1414" t="n">
        <v>0.543</v>
      </c>
      <c r="G1414" t="n">
        <v>0</v>
      </c>
      <c r="H1414" t="n">
        <v>4.259536</v>
      </c>
      <c r="I1414" t="n">
        <v>4.337981</v>
      </c>
      <c r="J1414" t="n">
        <v>-0.078445</v>
      </c>
      <c r="K1414" s="4">
        <f>IFERROR(J1414/I1414,"")</f>
        <v/>
      </c>
      <c r="L1414" s="4">
        <f>IFERROR((D1414-E1414)/E1414,"")</f>
        <v/>
      </c>
      <c r="M1414" s="19">
        <f>IFERROR(F1414*G1414/10000,"")</f>
        <v/>
      </c>
    </row>
    <row r="1415">
      <c r="A1415" t="inlineStr">
        <is>
          <t>2026-10-30</t>
        </is>
      </c>
      <c r="B1415" t="inlineStr">
        <is>
          <t>520920</t>
        </is>
      </c>
      <c r="C1415" t="inlineStr">
        <is>
          <t>恒生科技ETF天弘</t>
        </is>
      </c>
      <c r="D1415" t="n">
        <v>1970001.9</v>
      </c>
      <c r="E1415" t="n">
        <v>1963401.9</v>
      </c>
      <c r="F1415" t="n">
        <v>0.551</v>
      </c>
      <c r="G1415" t="n">
        <v>6600</v>
      </c>
      <c r="H1415" t="n">
        <v>108.183445</v>
      </c>
      <c r="I1415" t="n">
        <v>110.376907</v>
      </c>
      <c r="J1415" t="n">
        <v>-2.193462</v>
      </c>
      <c r="K1415" s="4">
        <f>IFERROR(J1415/I1415,"")</f>
        <v/>
      </c>
      <c r="L1415" s="4">
        <f>IFERROR((D1415-E1415)/E1415,"")</f>
        <v/>
      </c>
      <c r="M1415" s="19">
        <f>IFERROR(F1415*G1415/10000,"")</f>
        <v/>
      </c>
    </row>
    <row r="1416">
      <c r="A1416" t="inlineStr">
        <is>
          <t>2026-10-30</t>
        </is>
      </c>
      <c r="B1416" t="inlineStr">
        <is>
          <t>520930</t>
        </is>
      </c>
      <c r="C1416" t="inlineStr">
        <is>
          <t>恒生生物科技ETF国泰</t>
        </is>
      </c>
      <c r="D1416" t="n">
        <v>13073.3</v>
      </c>
      <c r="E1416" t="n">
        <v>13073.3</v>
      </c>
      <c r="F1416" t="n">
        <v>0.888</v>
      </c>
      <c r="G1416" t="n">
        <v>0</v>
      </c>
      <c r="H1416" t="n">
        <v>1.160909</v>
      </c>
      <c r="I1416" t="n">
        <v>1.171106</v>
      </c>
      <c r="J1416" t="n">
        <v>-0.010197</v>
      </c>
      <c r="K1416" s="4">
        <f>IFERROR(J1416/I1416,"")</f>
        <v/>
      </c>
      <c r="L1416" s="4">
        <f>IFERROR((D1416-E1416)/E1416,"")</f>
        <v/>
      </c>
      <c r="M1416" s="19">
        <f>IFERROR(F1416*G1416/10000,"")</f>
        <v/>
      </c>
    </row>
    <row r="1417">
      <c r="A1417" t="inlineStr">
        <is>
          <t>2026-10-30</t>
        </is>
      </c>
      <c r="B1417" t="inlineStr">
        <is>
          <t>520940</t>
        </is>
      </c>
      <c r="C1417" t="inlineStr">
        <is>
          <t>港股通恒生ETF华安</t>
        </is>
      </c>
      <c r="D1417" t="n">
        <v>2229.7</v>
      </c>
      <c r="E1417" t="n">
        <v>2229.7</v>
      </c>
      <c r="F1417" t="n">
        <v>0.909</v>
      </c>
      <c r="G1417" t="n">
        <v>0</v>
      </c>
      <c r="H1417" t="n">
        <v>0.20268</v>
      </c>
      <c r="I1417" t="n">
        <v>0.204018</v>
      </c>
      <c r="J1417" t="n">
        <v>-0.001338</v>
      </c>
      <c r="K1417" s="4">
        <f>IFERROR(J1417/I1417,"")</f>
        <v/>
      </c>
      <c r="L1417" s="4">
        <f>IFERROR((D1417-E1417)/E1417,"")</f>
        <v/>
      </c>
      <c r="M1417" s="19">
        <f>IFERROR(F1417*G1417/10000,"")</f>
        <v/>
      </c>
    </row>
    <row r="1418">
      <c r="A1418" t="inlineStr">
        <is>
          <t>2026-10-30</t>
        </is>
      </c>
      <c r="B1418" t="inlineStr">
        <is>
          <t>520950</t>
        </is>
      </c>
      <c r="C1418" t="inlineStr">
        <is>
          <t>港股通50ETF摩根</t>
        </is>
      </c>
      <c r="D1418" t="n">
        <v>43042.1</v>
      </c>
      <c r="E1418" t="n">
        <v>43042.1</v>
      </c>
      <c r="F1418" t="n">
        <v>0.752</v>
      </c>
      <c r="G1418" t="n">
        <v>0</v>
      </c>
      <c r="H1418" t="n">
        <v>3.236766</v>
      </c>
      <c r="I1418" t="n">
        <v>3.258287</v>
      </c>
      <c r="J1418" t="n">
        <v>-0.021521</v>
      </c>
      <c r="K1418" s="4">
        <f>IFERROR(J1418/I1418,"")</f>
        <v/>
      </c>
      <c r="L1418" s="4">
        <f>IFERROR((D1418-E1418)/E1418,"")</f>
        <v/>
      </c>
      <c r="M1418" s="19">
        <f>IFERROR(F1418*G1418/10000,"")</f>
        <v/>
      </c>
    </row>
    <row r="1419">
      <c r="A1419" t="inlineStr">
        <is>
          <t>2026-10-30</t>
        </is>
      </c>
      <c r="B1419" t="inlineStr">
        <is>
          <t>520960</t>
        </is>
      </c>
      <c r="C1419" t="inlineStr">
        <is>
          <t>恒指港股通ETF嘉实</t>
        </is>
      </c>
      <c r="D1419" t="n">
        <v>5260.34</v>
      </c>
      <c r="E1419" t="n">
        <v>5260.34</v>
      </c>
      <c r="F1419" t="n">
        <v>0.8149999999999999</v>
      </c>
      <c r="G1419" t="n">
        <v>0</v>
      </c>
      <c r="H1419" t="n">
        <v>0.428718</v>
      </c>
      <c r="I1419" t="n">
        <v>0.431348</v>
      </c>
      <c r="J1419" t="n">
        <v>-0.00263</v>
      </c>
      <c r="K1419" s="4">
        <f>IFERROR(J1419/I1419,"")</f>
        <v/>
      </c>
      <c r="L1419" s="4">
        <f>IFERROR((D1419-E1419)/E1419,"")</f>
        <v/>
      </c>
      <c r="M1419" s="19">
        <f>IFERROR(F1419*G1419/10000,"")</f>
        <v/>
      </c>
    </row>
    <row r="1420">
      <c r="A1420" t="inlineStr">
        <is>
          <t>2026-10-30</t>
        </is>
      </c>
      <c r="B1420" t="inlineStr">
        <is>
          <t>520970</t>
        </is>
      </c>
      <c r="C1420" t="inlineStr">
        <is>
          <t>港股通创新药ETF嘉实</t>
        </is>
      </c>
      <c r="D1420" t="n">
        <v>108935.8</v>
      </c>
      <c r="E1420" t="n">
        <v>108935.8</v>
      </c>
      <c r="F1420" t="n">
        <v>0.827</v>
      </c>
      <c r="G1420" t="n">
        <v>0</v>
      </c>
      <c r="H1420" t="n">
        <v>9.008991</v>
      </c>
      <c r="I1420" t="n">
        <v>9.008991</v>
      </c>
      <c r="J1420" t="n">
        <v>0</v>
      </c>
      <c r="K1420" s="4">
        <f>IFERROR(J1420/I1420,"")</f>
        <v/>
      </c>
      <c r="L1420" s="4">
        <f>IFERROR((D1420-E1420)/E1420,"")</f>
        <v/>
      </c>
      <c r="M1420" s="19">
        <f>IFERROR(F1420*G1420/10000,"")</f>
        <v/>
      </c>
    </row>
    <row r="1421">
      <c r="A1421" t="inlineStr">
        <is>
          <t>2026-10-30</t>
        </is>
      </c>
      <c r="B1421" t="inlineStr">
        <is>
          <t>520980</t>
        </is>
      </c>
      <c r="C1421" t="inlineStr">
        <is>
          <t>港股通科技ETF汇添富</t>
        </is>
      </c>
      <c r="D1421" t="n">
        <v>321138.7</v>
      </c>
      <c r="E1421" t="n">
        <v>321138.7</v>
      </c>
      <c r="F1421" t="n">
        <v>0.695</v>
      </c>
      <c r="G1421" t="n">
        <v>0</v>
      </c>
      <c r="H1421" t="n">
        <v>22.31914</v>
      </c>
      <c r="I1421" t="n">
        <v>23.007843</v>
      </c>
      <c r="J1421" t="n">
        <v>-0.688703</v>
      </c>
      <c r="K1421" s="4">
        <f>IFERROR(J1421/I1421,"")</f>
        <v/>
      </c>
      <c r="L1421" s="4">
        <f>IFERROR((D1421-E1421)/E1421,"")</f>
        <v/>
      </c>
      <c r="M1421" s="19">
        <f>IFERROR(F1421*G1421/10000,"")</f>
        <v/>
      </c>
    </row>
    <row r="1422">
      <c r="A1422" t="inlineStr">
        <is>
          <t>2026-10-30</t>
        </is>
      </c>
      <c r="B1422" t="inlineStr">
        <is>
          <t>520990</t>
        </is>
      </c>
      <c r="C1422" t="inlineStr">
        <is>
          <t>港股央企红利ETF景顺</t>
        </is>
      </c>
      <c r="D1422" t="n">
        <v>300447.05</v>
      </c>
      <c r="E1422" t="n">
        <v>302147.05</v>
      </c>
      <c r="F1422" t="n">
        <v>0.959</v>
      </c>
      <c r="G1422" t="n">
        <v>-1700</v>
      </c>
      <c r="H1422" t="n">
        <v>28.975902</v>
      </c>
      <c r="I1422" t="n">
        <v>29.061454</v>
      </c>
      <c r="J1422" t="n">
        <v>-0.085552</v>
      </c>
      <c r="K1422" s="4">
        <f>IFERROR(J1422/I1422,"")</f>
        <v/>
      </c>
      <c r="L1422" s="4">
        <f>IFERROR((D1422-E1422)/E1422,"")</f>
        <v/>
      </c>
      <c r="M1422" s="19">
        <f>IFERROR(F1422*G1422/10000,"")</f>
        <v/>
      </c>
    </row>
    <row r="1423">
      <c r="A1423" t="inlineStr">
        <is>
          <t>2026-10-30</t>
        </is>
      </c>
      <c r="B1423" t="inlineStr">
        <is>
          <t>526000</t>
        </is>
      </c>
      <c r="C1423" t="inlineStr">
        <is>
          <t>港股通信息技术ETF华夏</t>
        </is>
      </c>
      <c r="D1423" t="n">
        <v>18214.2</v>
      </c>
      <c r="E1423" t="n">
        <v>18214.2</v>
      </c>
      <c r="F1423" t="n">
        <v>0.921</v>
      </c>
      <c r="G1423" t="n">
        <v>0</v>
      </c>
      <c r="H1423" t="n">
        <v>1.677528</v>
      </c>
      <c r="I1423" t="n">
        <v>1.748563</v>
      </c>
      <c r="J1423" t="n">
        <v>-0.071035</v>
      </c>
      <c r="K1423" s="4">
        <f>IFERROR(J1423/I1423,"")</f>
        <v/>
      </c>
      <c r="L1423" s="4">
        <f>IFERROR((D1423-E1423)/E1423,"")</f>
        <v/>
      </c>
      <c r="M1423" s="19">
        <f>IFERROR(F1423*G1423/10000,"")</f>
        <v/>
      </c>
    </row>
    <row r="1424">
      <c r="A1424" t="inlineStr">
        <is>
          <t>2026-10-30</t>
        </is>
      </c>
      <c r="B1424" t="inlineStr">
        <is>
          <t>526010</t>
        </is>
      </c>
      <c r="C1424" t="inlineStr">
        <is>
          <t>港股通医疗ETF汇添富</t>
        </is>
      </c>
      <c r="D1424" t="n">
        <v>3845.8</v>
      </c>
      <c r="E1424" t="n">
        <v>4045.8</v>
      </c>
      <c r="F1424" t="n">
        <v>0.967</v>
      </c>
      <c r="G1424" t="n">
        <v>-200</v>
      </c>
      <c r="H1424" t="n">
        <v>0.391229</v>
      </c>
      <c r="I1424" t="n">
        <v>0.412267</v>
      </c>
      <c r="J1424" t="n">
        <v>-0.021038</v>
      </c>
      <c r="K1424" s="4">
        <f>IFERROR(J1424/I1424,"")</f>
        <v/>
      </c>
      <c r="L1424" s="4">
        <f>IFERROR((D1424-E1424)/E1424,"")</f>
        <v/>
      </c>
      <c r="M1424" s="19">
        <f>IFERROR(F1424*G1424/10000,"")</f>
        <v/>
      </c>
    </row>
    <row r="1425">
      <c r="A1425" t="inlineStr">
        <is>
          <t>2026-10-30</t>
        </is>
      </c>
      <c r="B1425" t="inlineStr">
        <is>
          <t>526050</t>
        </is>
      </c>
      <c r="C1425" t="inlineStr">
        <is>
          <t>港股通信息技术ETF招商</t>
        </is>
      </c>
      <c r="D1425" t="n">
        <v>4263</v>
      </c>
      <c r="E1425" t="n">
        <v>4263</v>
      </c>
      <c r="F1425" t="n">
        <v>0.837</v>
      </c>
      <c r="G1425" t="n">
        <v>0</v>
      </c>
      <c r="H1425" t="n">
        <v>0.356813</v>
      </c>
      <c r="I1425" t="n">
        <v>0.371734</v>
      </c>
      <c r="J1425" t="n">
        <v>-0.014921</v>
      </c>
      <c r="K1425" s="4">
        <f>IFERROR(J1425/I1425,"")</f>
        <v/>
      </c>
      <c r="L1425" s="4">
        <f>IFERROR((D1425-E1425)/E1425,"")</f>
        <v/>
      </c>
      <c r="M1425" s="19">
        <f>IFERROR(F1425*G1425/10000,"")</f>
        <v/>
      </c>
    </row>
    <row r="1426">
      <c r="A1426" t="inlineStr">
        <is>
          <t>2026-10-30</t>
        </is>
      </c>
      <c r="B1426" t="inlineStr">
        <is>
          <t>526070</t>
        </is>
      </c>
      <c r="C1426" t="inlineStr">
        <is>
          <t>恒指港股通ETF博时</t>
        </is>
      </c>
      <c r="D1426" t="n">
        <v>4937.7</v>
      </c>
      <c r="E1426" t="n">
        <v>4937.7</v>
      </c>
      <c r="F1426" t="n">
        <v>0.896</v>
      </c>
      <c r="G1426" t="n">
        <v>0</v>
      </c>
      <c r="H1426" t="n">
        <v>0.442418</v>
      </c>
      <c r="I1426" t="n">
        <v>0.443405</v>
      </c>
      <c r="J1426" t="n">
        <v>-0.000987</v>
      </c>
      <c r="K1426" s="4">
        <f>IFERROR(J1426/I1426,"")</f>
        <v/>
      </c>
      <c r="L1426" s="4">
        <f>IFERROR((D1426-E1426)/E1426,"")</f>
        <v/>
      </c>
      <c r="M1426" s="19">
        <f>IFERROR(F1426*G1426/10000,"")</f>
        <v/>
      </c>
    </row>
    <row r="1427">
      <c r="A1427" t="inlineStr">
        <is>
          <t>2026-10-30</t>
        </is>
      </c>
      <c r="B1427" t="inlineStr">
        <is>
          <t>530000</t>
        </is>
      </c>
      <c r="C1427" t="inlineStr">
        <is>
          <t>上证50ETF天弘</t>
        </is>
      </c>
      <c r="D1427" t="n">
        <v>94402.94</v>
      </c>
      <c r="E1427" t="n">
        <v>94402.94</v>
      </c>
      <c r="F1427" t="n">
        <v>1.318</v>
      </c>
      <c r="G1427" t="n">
        <v>0</v>
      </c>
      <c r="H1427" t="n">
        <v>12.442308</v>
      </c>
      <c r="I1427" t="n">
        <v>12.423427</v>
      </c>
      <c r="J1427" t="n">
        <v>0.018881</v>
      </c>
      <c r="K1427" s="4">
        <f>IFERROR(J1427/I1427,"")</f>
        <v/>
      </c>
      <c r="L1427" s="4">
        <f>IFERROR((D1427-E1427)/E1427,"")</f>
        <v/>
      </c>
      <c r="M1427" s="19">
        <f>IFERROR(F1427*G1427/10000,"")</f>
        <v/>
      </c>
    </row>
    <row r="1428">
      <c r="A1428" t="inlineStr">
        <is>
          <t>2026-10-30</t>
        </is>
      </c>
      <c r="B1428" t="inlineStr">
        <is>
          <t>530050</t>
        </is>
      </c>
      <c r="C1428" t="inlineStr">
        <is>
          <t>上证50ETF东财</t>
        </is>
      </c>
      <c r="D1428" t="n">
        <v>13581.3</v>
      </c>
      <c r="E1428" t="n">
        <v>13681.3</v>
      </c>
      <c r="F1428" t="n">
        <v>1.13</v>
      </c>
      <c r="G1428" t="n">
        <v>-100</v>
      </c>
      <c r="H1428" t="n">
        <v>1.545987</v>
      </c>
      <c r="I1428" t="n">
        <v>1.540514</v>
      </c>
      <c r="J1428" t="n">
        <v>0.005473</v>
      </c>
      <c r="K1428" s="4">
        <f>IFERROR(J1428/I1428,"")</f>
        <v/>
      </c>
      <c r="L1428" s="4">
        <f>IFERROR((D1428-E1428)/E1428,"")</f>
        <v/>
      </c>
      <c r="M1428" s="19">
        <f>IFERROR(F1428*G1428/10000,"")</f>
        <v/>
      </c>
    </row>
    <row r="1429">
      <c r="A1429" t="inlineStr">
        <is>
          <t>2026-10-30</t>
        </is>
      </c>
      <c r="B1429" t="inlineStr">
        <is>
          <t>530060</t>
        </is>
      </c>
      <c r="C1429" t="inlineStr">
        <is>
          <t>上证指数ETF易方达</t>
        </is>
      </c>
      <c r="D1429" t="n">
        <v>120919.3</v>
      </c>
      <c r="E1429" t="n">
        <v>121219.3</v>
      </c>
      <c r="F1429" t="n">
        <v>0.93</v>
      </c>
      <c r="G1429" t="n">
        <v>-300</v>
      </c>
      <c r="H1429" t="n">
        <v>11.273395</v>
      </c>
      <c r="I1429" t="n">
        <v>11.442578</v>
      </c>
      <c r="J1429" t="n">
        <v>-0.169183</v>
      </c>
      <c r="K1429" s="4">
        <f>IFERROR(J1429/I1429,"")</f>
        <v/>
      </c>
      <c r="L1429" s="4">
        <f>IFERROR((D1429-E1429)/E1429,"")</f>
        <v/>
      </c>
      <c r="M1429" s="19">
        <f>IFERROR(F1429*G1429/10000,"")</f>
        <v/>
      </c>
    </row>
    <row r="1430">
      <c r="A1430" t="inlineStr">
        <is>
          <t>2026-10-30</t>
        </is>
      </c>
      <c r="B1430" t="inlineStr">
        <is>
          <t>530080</t>
        </is>
      </c>
      <c r="C1430" t="inlineStr">
        <is>
          <t>上证180ETF天弘</t>
        </is>
      </c>
      <c r="D1430" t="n">
        <v>2691.7</v>
      </c>
      <c r="E1430" t="n">
        <v>3291.7</v>
      </c>
      <c r="F1430" t="n">
        <v>1.138</v>
      </c>
      <c r="G1430" t="n">
        <v>-600</v>
      </c>
      <c r="H1430" t="n">
        <v>0.374595</v>
      </c>
      <c r="I1430" t="n">
        <v>0.376241</v>
      </c>
      <c r="J1430" t="n">
        <v>-0.001646</v>
      </c>
      <c r="K1430" s="4">
        <f>IFERROR(J1430/I1430,"")</f>
        <v/>
      </c>
      <c r="L1430" s="4">
        <f>IFERROR((D1430-E1430)/E1430,"")</f>
        <v/>
      </c>
      <c r="M1430" s="19">
        <f>IFERROR(F1430*G1430/10000,"")</f>
        <v/>
      </c>
    </row>
    <row r="1431">
      <c r="A1431" t="inlineStr">
        <is>
          <t>2026-10-30</t>
        </is>
      </c>
      <c r="B1431" t="inlineStr">
        <is>
          <t>530100</t>
        </is>
      </c>
      <c r="C1431" t="inlineStr">
        <is>
          <t>上证580ETF易方达</t>
        </is>
      </c>
      <c r="D1431" t="n">
        <v>12469.6</v>
      </c>
      <c r="E1431" t="n">
        <v>12469.6</v>
      </c>
      <c r="F1431" t="n">
        <v>0.951</v>
      </c>
      <c r="G1431" t="n">
        <v>0</v>
      </c>
      <c r="H1431" t="n">
        <v>1.185859</v>
      </c>
      <c r="I1431" t="n">
        <v>1.222021</v>
      </c>
      <c r="J1431" t="n">
        <v>-0.036162</v>
      </c>
      <c r="K1431" s="4">
        <f>IFERROR(J1431/I1431,"")</f>
        <v/>
      </c>
      <c r="L1431" s="4">
        <f>IFERROR((D1431-E1431)/E1431,"")</f>
        <v/>
      </c>
      <c r="M1431" s="19">
        <f>IFERROR(F1431*G1431/10000,"")</f>
        <v/>
      </c>
    </row>
    <row r="1432">
      <c r="A1432" t="inlineStr">
        <is>
          <t>2026-10-30</t>
        </is>
      </c>
      <c r="B1432" t="inlineStr">
        <is>
          <t>530180</t>
        </is>
      </c>
      <c r="C1432" t="inlineStr">
        <is>
          <t>上证180ETF易方达</t>
        </is>
      </c>
      <c r="D1432" t="n">
        <v>6595.2</v>
      </c>
      <c r="E1432" t="n">
        <v>6595.2</v>
      </c>
      <c r="F1432" t="n">
        <v>1.113</v>
      </c>
      <c r="G1432" t="n">
        <v>0</v>
      </c>
      <c r="H1432" t="n">
        <v>0.734046</v>
      </c>
      <c r="I1432" t="n">
        <v>0.737343</v>
      </c>
      <c r="J1432" t="n">
        <v>-0.003297</v>
      </c>
      <c r="K1432" s="4">
        <f>IFERROR(J1432/I1432,"")</f>
        <v/>
      </c>
      <c r="L1432" s="4">
        <f>IFERROR((D1432-E1432)/E1432,"")</f>
        <v/>
      </c>
      <c r="M1432" s="19">
        <f>IFERROR(F1432*G1432/10000,"")</f>
        <v/>
      </c>
    </row>
    <row r="1433">
      <c r="A1433" t="inlineStr">
        <is>
          <t>2026-10-30</t>
        </is>
      </c>
      <c r="B1433" t="inlineStr">
        <is>
          <t>530280</t>
        </is>
      </c>
      <c r="C1433" t="inlineStr">
        <is>
          <t>上证180ETF平安</t>
        </is>
      </c>
      <c r="D1433" t="n">
        <v>3293.4</v>
      </c>
      <c r="E1433" t="n">
        <v>3293.4</v>
      </c>
      <c r="F1433" t="n">
        <v>1.118</v>
      </c>
      <c r="G1433" t="n">
        <v>0</v>
      </c>
      <c r="H1433" t="n">
        <v>0.368202</v>
      </c>
      <c r="I1433" t="n">
        <v>0.368861</v>
      </c>
      <c r="J1433" t="n">
        <v>-0.000659</v>
      </c>
      <c r="K1433" s="4">
        <f>IFERROR(J1433/I1433,"")</f>
        <v/>
      </c>
      <c r="L1433" s="4">
        <f>IFERROR((D1433-E1433)/E1433,"")</f>
        <v/>
      </c>
      <c r="M1433" s="19">
        <f>IFERROR(F1433*G1433/10000,"")</f>
        <v/>
      </c>
    </row>
    <row r="1434">
      <c r="A1434" t="inlineStr">
        <is>
          <t>2026-10-30</t>
        </is>
      </c>
      <c r="B1434" t="inlineStr">
        <is>
          <t>530300</t>
        </is>
      </c>
      <c r="C1434" t="inlineStr">
        <is>
          <t>上证180ETF华泰柏瑞</t>
        </is>
      </c>
      <c r="D1434" t="n">
        <v>3564.3</v>
      </c>
      <c r="E1434" t="n">
        <v>3564.3</v>
      </c>
      <c r="F1434" t="n">
        <v>1.148</v>
      </c>
      <c r="G1434" t="n">
        <v>0</v>
      </c>
      <c r="H1434" t="n">
        <v>0.409182</v>
      </c>
      <c r="I1434" t="n">
        <v>0.411677</v>
      </c>
      <c r="J1434" t="n">
        <v>-0.002495</v>
      </c>
      <c r="K1434" s="4">
        <f>IFERROR(J1434/I1434,"")</f>
        <v/>
      </c>
      <c r="L1434" s="4">
        <f>IFERROR((D1434-E1434)/E1434,"")</f>
        <v/>
      </c>
      <c r="M1434" s="19">
        <f>IFERROR(F1434*G1434/10000,"")</f>
        <v/>
      </c>
    </row>
    <row r="1435">
      <c r="A1435" t="inlineStr">
        <is>
          <t>2026-10-30</t>
        </is>
      </c>
      <c r="B1435" t="inlineStr">
        <is>
          <t>530380</t>
        </is>
      </c>
      <c r="C1435" t="inlineStr">
        <is>
          <t>上证380ETF易方达</t>
        </is>
      </c>
      <c r="D1435" t="n">
        <v>13470.5</v>
      </c>
      <c r="E1435" t="n">
        <v>13470.5</v>
      </c>
      <c r="F1435" t="n">
        <v>0.9429999999999999</v>
      </c>
      <c r="G1435" t="n">
        <v>0</v>
      </c>
      <c r="H1435" t="n">
        <v>1.270268</v>
      </c>
      <c r="I1435" t="n">
        <v>1.30125</v>
      </c>
      <c r="J1435" t="n">
        <v>-0.030982</v>
      </c>
      <c r="K1435" s="4">
        <f>IFERROR(J1435/I1435,"")</f>
        <v/>
      </c>
      <c r="L1435" s="4">
        <f>IFERROR((D1435-E1435)/E1435,"")</f>
        <v/>
      </c>
      <c r="M1435" s="19">
        <f>IFERROR(F1435*G1435/10000,"")</f>
        <v/>
      </c>
    </row>
    <row r="1436">
      <c r="A1436" t="inlineStr">
        <is>
          <t>2026-10-30</t>
        </is>
      </c>
      <c r="B1436" t="inlineStr">
        <is>
          <t>530530</t>
        </is>
      </c>
      <c r="C1436" t="inlineStr">
        <is>
          <t>上证580ETF华夏</t>
        </is>
      </c>
      <c r="D1436" t="n">
        <v>13146</v>
      </c>
      <c r="E1436" t="n">
        <v>13146</v>
      </c>
      <c r="F1436" t="n">
        <v>0.944</v>
      </c>
      <c r="G1436" t="n">
        <v>0</v>
      </c>
      <c r="H1436" t="n">
        <v>1.240982</v>
      </c>
      <c r="I1436" t="n">
        <v>1.28305</v>
      </c>
      <c r="J1436" t="n">
        <v>-0.042068</v>
      </c>
      <c r="K1436" s="4">
        <f>IFERROR(J1436/I1436,"")</f>
        <v/>
      </c>
      <c r="L1436" s="4">
        <f>IFERROR((D1436-E1436)/E1436,"")</f>
        <v/>
      </c>
      <c r="M1436" s="19">
        <f>IFERROR(F1436*G1436/10000,"")</f>
        <v/>
      </c>
    </row>
    <row r="1437">
      <c r="A1437" t="inlineStr">
        <is>
          <t>2026-10-30</t>
        </is>
      </c>
      <c r="B1437" t="inlineStr">
        <is>
          <t>530580</t>
        </is>
      </c>
      <c r="C1437" t="inlineStr">
        <is>
          <t>上证180ETF南方</t>
        </is>
      </c>
      <c r="D1437" t="n">
        <v>5514.9</v>
      </c>
      <c r="E1437" t="n">
        <v>4914.9</v>
      </c>
      <c r="F1437" t="n">
        <v>1.083</v>
      </c>
      <c r="G1437" t="n">
        <v>600</v>
      </c>
      <c r="H1437" t="n">
        <v>0.532284</v>
      </c>
      <c r="I1437" t="n">
        <v>0.5994699999999999</v>
      </c>
      <c r="J1437" t="n">
        <v>-0.067186</v>
      </c>
      <c r="K1437" s="4">
        <f>IFERROR(J1437/I1437,"")</f>
        <v/>
      </c>
      <c r="L1437" s="4">
        <f>IFERROR((D1437-E1437)/E1437,"")</f>
        <v/>
      </c>
      <c r="M1437" s="19">
        <f>IFERROR(F1437*G1437/10000,"")</f>
        <v/>
      </c>
    </row>
    <row r="1438">
      <c r="A1438" t="inlineStr">
        <is>
          <t>2026-10-30</t>
        </is>
      </c>
      <c r="B1438" t="inlineStr">
        <is>
          <t>530680</t>
        </is>
      </c>
      <c r="C1438" t="inlineStr">
        <is>
          <t>上证180ETF兴业</t>
        </is>
      </c>
      <c r="D1438" t="n">
        <v>10289.19</v>
      </c>
      <c r="E1438" t="n">
        <v>10289.19</v>
      </c>
      <c r="F1438" t="n">
        <v>1.084</v>
      </c>
      <c r="G1438" t="n">
        <v>0</v>
      </c>
      <c r="H1438" t="n">
        <v>1.115349</v>
      </c>
      <c r="I1438" t="n">
        <v>1.118435</v>
      </c>
      <c r="J1438" t="n">
        <v>-0.003086</v>
      </c>
      <c r="K1438" s="4">
        <f>IFERROR(J1438/I1438,"")</f>
        <v/>
      </c>
      <c r="L1438" s="4">
        <f>IFERROR((D1438-E1438)/E1438,"")</f>
        <v/>
      </c>
      <c r="M1438" s="19">
        <f>IFERROR(F1438*G1438/10000,"")</f>
        <v/>
      </c>
    </row>
    <row r="1439">
      <c r="A1439" t="inlineStr">
        <is>
          <t>2026-10-30</t>
        </is>
      </c>
      <c r="B1439" t="inlineStr">
        <is>
          <t>530800</t>
        </is>
      </c>
      <c r="C1439" t="inlineStr">
        <is>
          <t>上证180ETF银华</t>
        </is>
      </c>
      <c r="D1439" t="n">
        <v>2220.18</v>
      </c>
      <c r="E1439" t="n">
        <v>2220.18</v>
      </c>
      <c r="F1439" t="n">
        <v>1.117</v>
      </c>
      <c r="G1439" t="n">
        <v>0</v>
      </c>
      <c r="H1439" t="n">
        <v>0.247994</v>
      </c>
      <c r="I1439" t="n">
        <v>0.24866</v>
      </c>
      <c r="J1439" t="n">
        <v>-0.000666</v>
      </c>
      <c r="K1439" s="4">
        <f>IFERROR(J1439/I1439,"")</f>
        <v/>
      </c>
      <c r="L1439" s="4">
        <f>IFERROR((D1439-E1439)/E1439,"")</f>
        <v/>
      </c>
      <c r="M1439" s="19">
        <f>IFERROR(F1439*G1439/10000,"")</f>
        <v/>
      </c>
    </row>
    <row r="1440">
      <c r="A1440" t="inlineStr">
        <is>
          <t>2026-10-30</t>
        </is>
      </c>
      <c r="B1440" t="inlineStr">
        <is>
          <t>530880</t>
        </is>
      </c>
      <c r="C1440" t="inlineStr">
        <is>
          <t>红利国企ETF银河</t>
        </is>
      </c>
      <c r="D1440" t="n">
        <v>4283.6</v>
      </c>
      <c r="E1440" t="n">
        <v>4283.6</v>
      </c>
      <c r="F1440" t="n">
        <v>1.085</v>
      </c>
      <c r="G1440" t="n">
        <v>0</v>
      </c>
      <c r="H1440" t="n">
        <v>0.464771</v>
      </c>
      <c r="I1440" t="n">
        <v>0.452995</v>
      </c>
      <c r="J1440" t="n">
        <v>0.011776</v>
      </c>
      <c r="K1440" s="4">
        <f>IFERROR(J1440/I1440,"")</f>
        <v/>
      </c>
      <c r="L1440" s="4">
        <f>IFERROR((D1440-E1440)/E1440,"")</f>
        <v/>
      </c>
      <c r="M1440" s="19">
        <f>IFERROR(F1440*G1440/10000,"")</f>
        <v/>
      </c>
    </row>
    <row r="1441">
      <c r="A1441" t="inlineStr">
        <is>
          <t>2026-10-30</t>
        </is>
      </c>
      <c r="B1441" t="inlineStr">
        <is>
          <t>551000</t>
        </is>
      </c>
      <c r="C1441" t="inlineStr">
        <is>
          <t>科创债ETF博时</t>
        </is>
      </c>
      <c r="D1441" t="n">
        <v>7797.41</v>
      </c>
      <c r="E1441" t="n">
        <v>7797.41</v>
      </c>
      <c r="F1441" t="n">
        <v>102.796</v>
      </c>
      <c r="G1441" t="n">
        <v>0</v>
      </c>
      <c r="H1441" t="n">
        <v>80.15425399999999</v>
      </c>
      <c r="I1441" t="n">
        <v>80.17218800000001</v>
      </c>
      <c r="J1441" t="n">
        <v>-0.017934</v>
      </c>
      <c r="K1441" s="4">
        <f>IFERROR(J1441/I1441,"")</f>
        <v/>
      </c>
      <c r="L1441" s="4">
        <f>IFERROR((D1441-E1441)/E1441,"")</f>
        <v/>
      </c>
      <c r="M1441" s="19">
        <f>IFERROR(F1441*G1441/10000,"")</f>
        <v/>
      </c>
    </row>
    <row r="1442">
      <c r="A1442" t="inlineStr">
        <is>
          <t>2026-10-30</t>
        </is>
      </c>
      <c r="B1442" t="inlineStr">
        <is>
          <t>551030</t>
        </is>
      </c>
      <c r="C1442" t="inlineStr">
        <is>
          <t>科创债ETF鹏华</t>
        </is>
      </c>
      <c r="D1442" t="n">
        <v>20442</v>
      </c>
      <c r="E1442" t="n">
        <v>20440</v>
      </c>
      <c r="F1442" t="n">
        <v>102.716</v>
      </c>
      <c r="G1442" t="n">
        <v>2</v>
      </c>
      <c r="H1442" t="n">
        <v>209.951463</v>
      </c>
      <c r="I1442" t="n">
        <v>206.890123</v>
      </c>
      <c r="J1442" t="n">
        <v>3.06134</v>
      </c>
      <c r="K1442" s="4">
        <f>IFERROR(J1442/I1442,"")</f>
        <v/>
      </c>
      <c r="L1442" s="4">
        <f>IFERROR((D1442-E1442)/E1442,"")</f>
        <v/>
      </c>
      <c r="M1442" s="19">
        <f>IFERROR(F1442*G1442/10000,"")</f>
        <v/>
      </c>
    </row>
    <row r="1443">
      <c r="A1443" t="inlineStr">
        <is>
          <t>2026-10-30</t>
        </is>
      </c>
      <c r="B1443" t="inlineStr">
        <is>
          <t>551060</t>
        </is>
      </c>
      <c r="C1443" t="inlineStr">
        <is>
          <t>科创债ETF中银</t>
        </is>
      </c>
      <c r="D1443" t="n">
        <v>5941.1</v>
      </c>
      <c r="E1443" t="n">
        <v>5941.1</v>
      </c>
      <c r="F1443" t="n">
        <v>102.693</v>
      </c>
      <c r="G1443" t="n">
        <v>0</v>
      </c>
      <c r="H1443" t="n">
        <v>61.010887</v>
      </c>
      <c r="I1443" t="n">
        <v>61.022769</v>
      </c>
      <c r="J1443" t="n">
        <v>-0.011882</v>
      </c>
      <c r="K1443" s="4">
        <f>IFERROR(J1443/I1443,"")</f>
        <v/>
      </c>
      <c r="L1443" s="4">
        <f>IFERROR((D1443-E1443)/E1443,"")</f>
        <v/>
      </c>
      <c r="M1443" s="19">
        <f>IFERROR(F1443*G1443/10000,"")</f>
        <v/>
      </c>
    </row>
    <row r="1444">
      <c r="A1444" t="inlineStr">
        <is>
          <t>2026-10-30</t>
        </is>
      </c>
      <c r="B1444" t="inlineStr">
        <is>
          <t>551300</t>
        </is>
      </c>
      <c r="C1444" t="inlineStr">
        <is>
          <t>科创债ETF摩根</t>
        </is>
      </c>
      <c r="D1444" t="n">
        <v>7150.75</v>
      </c>
      <c r="E1444" t="n">
        <v>7150.75</v>
      </c>
      <c r="F1444" t="n">
        <v>101.475</v>
      </c>
      <c r="G1444" t="n">
        <v>0</v>
      </c>
      <c r="H1444" t="n">
        <v>72.562276</v>
      </c>
      <c r="I1444" t="n">
        <v>71.558807</v>
      </c>
      <c r="J1444" t="n">
        <v>1.003469</v>
      </c>
      <c r="K1444" s="4">
        <f>IFERROR(J1444/I1444,"")</f>
        <v/>
      </c>
      <c r="L1444" s="4">
        <f>IFERROR((D1444-E1444)/E1444,"")</f>
        <v/>
      </c>
      <c r="M1444" s="19">
        <f>IFERROR(F1444*G1444/10000,"")</f>
        <v/>
      </c>
    </row>
    <row r="1445">
      <c r="A1445" t="inlineStr">
        <is>
          <t>2026-10-30</t>
        </is>
      </c>
      <c r="B1445" t="inlineStr">
        <is>
          <t>551500</t>
        </is>
      </c>
      <c r="C1445" t="inlineStr">
        <is>
          <t>科创债ETF易方达</t>
        </is>
      </c>
      <c r="D1445" t="n">
        <v>22702</v>
      </c>
      <c r="E1445" t="n">
        <v>22702</v>
      </c>
      <c r="F1445" t="n">
        <v>102.987</v>
      </c>
      <c r="G1445" t="n">
        <v>0</v>
      </c>
      <c r="H1445" t="n">
        <v>233.801131</v>
      </c>
      <c r="I1445" t="n">
        <v>231.314018</v>
      </c>
      <c r="J1445" t="n">
        <v>2.487113</v>
      </c>
      <c r="K1445" s="4">
        <f>IFERROR(J1445/I1445,"")</f>
        <v/>
      </c>
      <c r="L1445" s="4">
        <f>IFERROR((D1445-E1445)/E1445,"")</f>
        <v/>
      </c>
      <c r="M1445" s="19">
        <f>IFERROR(F1445*G1445/10000,"")</f>
        <v/>
      </c>
    </row>
    <row r="1446">
      <c r="A1446" t="inlineStr">
        <is>
          <t>2026-10-30</t>
        </is>
      </c>
      <c r="B1446" t="inlineStr">
        <is>
          <t>551510</t>
        </is>
      </c>
      <c r="C1446" t="inlineStr">
        <is>
          <t>科创债ETF华泰柏瑞</t>
        </is>
      </c>
      <c r="D1446" t="n">
        <v>16842.61</v>
      </c>
      <c r="E1446" t="n">
        <v>16840.61</v>
      </c>
      <c r="F1446" t="n">
        <v>103.196</v>
      </c>
      <c r="G1446" t="n">
        <v>2</v>
      </c>
      <c r="H1446" t="n">
        <v>173.788404</v>
      </c>
      <c r="I1446" t="n">
        <v>173.820402</v>
      </c>
      <c r="J1446" t="n">
        <v>-0.031998</v>
      </c>
      <c r="K1446" s="4">
        <f>IFERROR(J1446/I1446,"")</f>
        <v/>
      </c>
      <c r="L1446" s="4">
        <f>IFERROR((D1446-E1446)/E1446,"")</f>
        <v/>
      </c>
      <c r="M1446" s="19">
        <f>IFERROR(F1446*G1446/10000,"")</f>
        <v/>
      </c>
    </row>
    <row r="1447">
      <c r="A1447" t="inlineStr">
        <is>
          <t>2026-10-30</t>
        </is>
      </c>
      <c r="B1447" t="inlineStr">
        <is>
          <t>551520</t>
        </is>
      </c>
      <c r="C1447" t="inlineStr">
        <is>
          <t>科创债ETF汇添富</t>
        </is>
      </c>
      <c r="D1447" t="n">
        <v>28564.16</v>
      </c>
      <c r="E1447" t="n">
        <v>28078.16</v>
      </c>
      <c r="F1447" t="n">
        <v>102.882</v>
      </c>
      <c r="G1447" t="n">
        <v>486</v>
      </c>
      <c r="H1447" t="n">
        <v>288.873763</v>
      </c>
      <c r="I1447" t="n">
        <v>287.926079</v>
      </c>
      <c r="J1447" t="n">
        <v>0.947684</v>
      </c>
      <c r="K1447" s="4">
        <f>IFERROR(J1447/I1447,"")</f>
        <v/>
      </c>
      <c r="L1447" s="4">
        <f>IFERROR((D1447-E1447)/E1447,"")</f>
        <v/>
      </c>
      <c r="M1447" s="19">
        <f>IFERROR(F1447*G1447/10000,"")</f>
        <v/>
      </c>
    </row>
    <row r="1448">
      <c r="A1448" t="inlineStr">
        <is>
          <t>2026-10-30</t>
        </is>
      </c>
      <c r="B1448" t="inlineStr">
        <is>
          <t>551550</t>
        </is>
      </c>
      <c r="C1448" t="inlineStr">
        <is>
          <t>科创债ETF华夏</t>
        </is>
      </c>
      <c r="D1448" t="n">
        <v>22610.82</v>
      </c>
      <c r="E1448" t="n">
        <v>22610.82</v>
      </c>
      <c r="F1448" t="n">
        <v>102.562</v>
      </c>
      <c r="G1448" t="n">
        <v>0</v>
      </c>
      <c r="H1448" t="n">
        <v>231.901072</v>
      </c>
      <c r="I1448" t="n">
        <v>229.917064</v>
      </c>
      <c r="J1448" t="n">
        <v>1.984008</v>
      </c>
      <c r="K1448" s="4">
        <f>IFERROR(J1448/I1448,"")</f>
        <v/>
      </c>
      <c r="L1448" s="4">
        <f>IFERROR((D1448-E1448)/E1448,"")</f>
        <v/>
      </c>
      <c r="M1448" s="19">
        <f>IFERROR(F1448*G1448/10000,"")</f>
        <v/>
      </c>
    </row>
    <row r="1449">
      <c r="A1449" t="inlineStr">
        <is>
          <t>2026-10-30</t>
        </is>
      </c>
      <c r="B1449" t="inlineStr">
        <is>
          <t>551560</t>
        </is>
      </c>
      <c r="C1449" t="inlineStr">
        <is>
          <t>科创债ETF兴业</t>
        </is>
      </c>
      <c r="D1449" t="n">
        <v>18289.88</v>
      </c>
      <c r="E1449" t="n">
        <v>18191.88</v>
      </c>
      <c r="F1449" t="n">
        <v>102.77</v>
      </c>
      <c r="G1449" t="n">
        <v>98</v>
      </c>
      <c r="H1449" t="n">
        <v>186.957936</v>
      </c>
      <c r="I1449" t="n">
        <v>186.010576</v>
      </c>
      <c r="J1449" t="n">
        <v>0.94736</v>
      </c>
      <c r="K1449" s="4">
        <f>IFERROR(J1449/I1449,"")</f>
        <v/>
      </c>
      <c r="L1449" s="4">
        <f>IFERROR((D1449-E1449)/E1449,"")</f>
        <v/>
      </c>
      <c r="M1449" s="19">
        <f>IFERROR(F1449*G1449/10000,"")</f>
        <v/>
      </c>
    </row>
    <row r="1450">
      <c r="A1450" t="inlineStr">
        <is>
          <t>2026-10-30</t>
        </is>
      </c>
      <c r="B1450" t="inlineStr">
        <is>
          <t>551580</t>
        </is>
      </c>
      <c r="C1450" t="inlineStr">
        <is>
          <t>科创债ETF泰康</t>
        </is>
      </c>
      <c r="D1450" t="n">
        <v>10992.68</v>
      </c>
      <c r="E1450" t="n">
        <v>10992.68</v>
      </c>
      <c r="F1450" t="n">
        <v>102.95</v>
      </c>
      <c r="G1450" t="n">
        <v>0</v>
      </c>
      <c r="H1450" t="n">
        <v>113.169594</v>
      </c>
      <c r="I1450" t="n">
        <v>113.178388</v>
      </c>
      <c r="J1450" t="n">
        <v>-0.008794</v>
      </c>
      <c r="K1450" s="4">
        <f>IFERROR(J1450/I1450,"")</f>
        <v/>
      </c>
      <c r="L1450" s="4">
        <f>IFERROR((D1450-E1450)/E1450,"")</f>
        <v/>
      </c>
      <c r="M1450" s="19">
        <f>IFERROR(F1450*G1450/10000,"")</f>
        <v/>
      </c>
    </row>
    <row r="1451">
      <c r="A1451" t="inlineStr">
        <is>
          <t>2026-10-30</t>
        </is>
      </c>
      <c r="B1451" t="inlineStr">
        <is>
          <t>551800</t>
        </is>
      </c>
      <c r="C1451" t="inlineStr">
        <is>
          <t>科创债ETF国泰</t>
        </is>
      </c>
      <c r="D1451" t="n">
        <v>11938.14</v>
      </c>
      <c r="E1451" t="n">
        <v>11938.14</v>
      </c>
      <c r="F1451" t="n">
        <v>101.886</v>
      </c>
      <c r="G1451" t="n">
        <v>0</v>
      </c>
      <c r="H1451" t="n">
        <v>121.632952</v>
      </c>
      <c r="I1451" t="n">
        <v>121.662797</v>
      </c>
      <c r="J1451" t="n">
        <v>-0.029845</v>
      </c>
      <c r="K1451" s="4">
        <f>IFERROR(J1451/I1451,"")</f>
        <v/>
      </c>
      <c r="L1451" s="4">
        <f>IFERROR((D1451-E1451)/E1451,"")</f>
        <v/>
      </c>
      <c r="M1451" s="19">
        <f>IFERROR(F1451*G1451/10000,"")</f>
        <v/>
      </c>
    </row>
    <row r="1452">
      <c r="A1452" t="inlineStr">
        <is>
          <t>2026-10-30</t>
        </is>
      </c>
      <c r="B1452" t="inlineStr">
        <is>
          <t>551900</t>
        </is>
      </c>
      <c r="C1452" t="inlineStr">
        <is>
          <t>科创债ETF招商</t>
        </is>
      </c>
      <c r="D1452" t="n">
        <v>14313.17</v>
      </c>
      <c r="E1452" t="n">
        <v>14313.17</v>
      </c>
      <c r="F1452" t="n">
        <v>102.577</v>
      </c>
      <c r="G1452" t="n">
        <v>0</v>
      </c>
      <c r="H1452" t="n">
        <v>146.820153</v>
      </c>
      <c r="I1452" t="n">
        <v>146.845916</v>
      </c>
      <c r="J1452" t="n">
        <v>-0.025763</v>
      </c>
      <c r="K1452" s="4">
        <f>IFERROR(J1452/I1452,"")</f>
        <v/>
      </c>
      <c r="L1452" s="4">
        <f>IFERROR((D1452-E1452)/E1452,"")</f>
        <v/>
      </c>
      <c r="M1452" s="19">
        <f>IFERROR(F1452*G1452/10000,"")</f>
        <v/>
      </c>
    </row>
    <row r="1453">
      <c r="A1453" t="inlineStr">
        <is>
          <t>2026-07-14</t>
        </is>
      </c>
      <c r="B1453" t="inlineStr">
        <is>
          <t>560000</t>
        </is>
      </c>
      <c r="C1453" t="inlineStr">
        <is>
          <t>智能电车ETF浦银</t>
        </is>
      </c>
      <c r="D1453" t="n">
        <v>702.29</v>
      </c>
      <c r="E1453" t="n">
        <v>702.29</v>
      </c>
      <c r="F1453" t="n">
        <v>0.9389999999999999</v>
      </c>
      <c r="G1453" t="n">
        <v>0</v>
      </c>
      <c r="H1453" t="n">
        <v>0.065945</v>
      </c>
      <c r="I1453" t="n">
        <v>0.065945</v>
      </c>
      <c r="J1453" t="n">
        <v>0</v>
      </c>
      <c r="K1453" s="4">
        <f>IFERROR(J1453/I1453,"")</f>
        <v/>
      </c>
      <c r="L1453" s="4">
        <f>IFERROR((D1453-E1453)/E1453,"")</f>
        <v/>
      </c>
      <c r="M1453" s="19">
        <f>IFERROR(F1453*G1453/10000,"")</f>
        <v/>
      </c>
    </row>
    <row r="1454">
      <c r="A1454" t="inlineStr">
        <is>
          <t>2026-10-30</t>
        </is>
      </c>
      <c r="B1454" t="inlineStr">
        <is>
          <t>560010</t>
        </is>
      </c>
      <c r="C1454" t="inlineStr">
        <is>
          <t>中证1000ETF广发</t>
        </is>
      </c>
      <c r="D1454" t="n">
        <v>294062.17</v>
      </c>
      <c r="E1454" t="n">
        <v>296462.17</v>
      </c>
      <c r="F1454" t="n">
        <v>2.663</v>
      </c>
      <c r="G1454" t="n">
        <v>-2400</v>
      </c>
      <c r="H1454" t="n">
        <v>78.94787700000001</v>
      </c>
      <c r="I1454" t="n">
        <v>77.262719</v>
      </c>
      <c r="J1454" t="n">
        <v>1.685158</v>
      </c>
      <c r="K1454" s="4">
        <f>IFERROR(J1454/I1454,"")</f>
        <v/>
      </c>
      <c r="L1454" s="4">
        <f>IFERROR((D1454-E1454)/E1454,"")</f>
        <v/>
      </c>
      <c r="M1454" s="19">
        <f>IFERROR(F1454*G1454/10000,"")</f>
        <v/>
      </c>
    </row>
    <row r="1455">
      <c r="A1455" t="inlineStr">
        <is>
          <t>2026-10-30</t>
        </is>
      </c>
      <c r="B1455" t="inlineStr">
        <is>
          <t>560020</t>
        </is>
      </c>
      <c r="C1455" t="inlineStr">
        <is>
          <t>红利ETF汇添富</t>
        </is>
      </c>
      <c r="D1455" t="n">
        <v>13856.2</v>
      </c>
      <c r="E1455" t="n">
        <v>13856.2</v>
      </c>
      <c r="F1455" t="n">
        <v>1.124</v>
      </c>
      <c r="G1455" t="n">
        <v>0</v>
      </c>
      <c r="H1455" t="n">
        <v>1.557437</v>
      </c>
      <c r="I1455" t="n">
        <v>1.543581</v>
      </c>
      <c r="J1455" t="n">
        <v>0.013856</v>
      </c>
      <c r="K1455" s="4">
        <f>IFERROR(J1455/I1455,"")</f>
        <v/>
      </c>
      <c r="L1455" s="4">
        <f>IFERROR((D1455-E1455)/E1455,"")</f>
        <v/>
      </c>
      <c r="M1455" s="19">
        <f>IFERROR(F1455*G1455/10000,"")</f>
        <v/>
      </c>
    </row>
    <row r="1456">
      <c r="A1456" t="inlineStr">
        <is>
          <t>2026-10-30</t>
        </is>
      </c>
      <c r="B1456" t="inlineStr">
        <is>
          <t>560030</t>
        </is>
      </c>
      <c r="C1456" t="inlineStr">
        <is>
          <t>800价值ETF汇添富</t>
        </is>
      </c>
      <c r="D1456" t="n">
        <v>2143.2</v>
      </c>
      <c r="E1456" t="n">
        <v>2143.2</v>
      </c>
      <c r="F1456" t="n">
        <v>1.301</v>
      </c>
      <c r="G1456" t="n">
        <v>0</v>
      </c>
      <c r="H1456" t="n">
        <v>0.27883</v>
      </c>
      <c r="I1456" t="n">
        <v>0.273258</v>
      </c>
      <c r="J1456" t="n">
        <v>0.005572</v>
      </c>
      <c r="K1456" s="4">
        <f>IFERROR(J1456/I1456,"")</f>
        <v/>
      </c>
      <c r="L1456" s="4">
        <f>IFERROR((D1456-E1456)/E1456,"")</f>
        <v/>
      </c>
      <c r="M1456" s="19">
        <f>IFERROR(F1456*G1456/10000,"")</f>
        <v/>
      </c>
    </row>
    <row r="1457">
      <c r="A1457" t="inlineStr">
        <is>
          <t>2026-10-30</t>
        </is>
      </c>
      <c r="B1457" t="inlineStr">
        <is>
          <t>560050</t>
        </is>
      </c>
      <c r="C1457" t="inlineStr">
        <is>
          <t>中国A50ETF汇添富</t>
        </is>
      </c>
      <c r="D1457" t="n">
        <v>213743.44</v>
      </c>
      <c r="E1457" t="n">
        <v>213993.44</v>
      </c>
      <c r="F1457" t="n">
        <v>0.948</v>
      </c>
      <c r="G1457" t="n">
        <v>-250</v>
      </c>
      <c r="H1457" t="n">
        <v>20.286578</v>
      </c>
      <c r="I1457" t="n">
        <v>20.428722</v>
      </c>
      <c r="J1457" t="n">
        <v>-0.142144</v>
      </c>
      <c r="K1457" s="4">
        <f>IFERROR(J1457/I1457,"")</f>
        <v/>
      </c>
      <c r="L1457" s="4">
        <f>IFERROR((D1457-E1457)/E1457,"")</f>
        <v/>
      </c>
      <c r="M1457" s="19">
        <f>IFERROR(F1457*G1457/10000,"")</f>
        <v/>
      </c>
    </row>
    <row r="1458">
      <c r="A1458" t="inlineStr">
        <is>
          <t>2026-10-30</t>
        </is>
      </c>
      <c r="B1458" t="inlineStr">
        <is>
          <t>560060</t>
        </is>
      </c>
      <c r="C1458" t="inlineStr">
        <is>
          <t>碳中和ETF汇添富</t>
        </is>
      </c>
      <c r="D1458" t="n">
        <v>7709</v>
      </c>
      <c r="E1458" t="n">
        <v>7709</v>
      </c>
      <c r="F1458" t="n">
        <v>0.78</v>
      </c>
      <c r="G1458" t="n">
        <v>0</v>
      </c>
      <c r="H1458" t="n">
        <v>0.601302</v>
      </c>
      <c r="I1458" t="n">
        <v>0.604386</v>
      </c>
      <c r="J1458" t="n">
        <v>-0.003084</v>
      </c>
      <c r="K1458" s="4">
        <f>IFERROR(J1458/I1458,"")</f>
        <v/>
      </c>
      <c r="L1458" s="4">
        <f>IFERROR((D1458-E1458)/E1458,"")</f>
        <v/>
      </c>
      <c r="M1458" s="19">
        <f>IFERROR(F1458*G1458/10000,"")</f>
        <v/>
      </c>
    </row>
    <row r="1459">
      <c r="A1459" t="inlineStr">
        <is>
          <t>2026-10-30</t>
        </is>
      </c>
      <c r="B1459" t="inlineStr">
        <is>
          <t>560070</t>
        </is>
      </c>
      <c r="C1459" t="inlineStr">
        <is>
          <t>央企红利ETF汇添富</t>
        </is>
      </c>
      <c r="D1459" t="n">
        <v>7986.23</v>
      </c>
      <c r="E1459" t="n">
        <v>7986.23</v>
      </c>
      <c r="G1459" t="n">
        <v>0</v>
      </c>
      <c r="H1459" t="n">
        <v>0.938381</v>
      </c>
      <c r="I1459" t="n">
        <v>0.931992</v>
      </c>
      <c r="J1459" t="n">
        <v>0.006389</v>
      </c>
      <c r="K1459" s="4">
        <f>IFERROR(J1459/I1459,"")</f>
        <v/>
      </c>
      <c r="L1459" s="4">
        <f>IFERROR((D1459-E1459)/E1459,"")</f>
        <v/>
      </c>
      <c r="M1459" s="19">
        <f>IFERROR(F1459*G1459/10000,"")</f>
        <v/>
      </c>
    </row>
    <row r="1460">
      <c r="A1460" t="inlineStr">
        <is>
          <t>2026-10-30</t>
        </is>
      </c>
      <c r="B1460" t="inlineStr">
        <is>
          <t>560080</t>
        </is>
      </c>
      <c r="C1460" t="inlineStr">
        <is>
          <t>中药ETF汇添富</t>
        </is>
      </c>
      <c r="D1460" t="n">
        <v>220176.5</v>
      </c>
      <c r="E1460" t="n">
        <v>219676.5</v>
      </c>
      <c r="F1460" t="n">
        <v>0.9340000000000001</v>
      </c>
      <c r="G1460" t="n">
        <v>500</v>
      </c>
      <c r="H1460" t="n">
        <v>20.517785</v>
      </c>
      <c r="I1460" t="n">
        <v>20.768879</v>
      </c>
      <c r="J1460" t="n">
        <v>-0.251094</v>
      </c>
      <c r="K1460" s="4">
        <f>IFERROR(J1460/I1460,"")</f>
        <v/>
      </c>
      <c r="L1460" s="4">
        <f>IFERROR((D1460-E1460)/E1460,"")</f>
        <v/>
      </c>
      <c r="M1460" s="19">
        <f>IFERROR(F1460*G1460/10000,"")</f>
        <v/>
      </c>
    </row>
    <row r="1461">
      <c r="A1461" t="inlineStr">
        <is>
          <t>2026-10-30</t>
        </is>
      </c>
      <c r="B1461" t="inlineStr">
        <is>
          <t>560090</t>
        </is>
      </c>
      <c r="C1461" t="inlineStr">
        <is>
          <t>证券ETF汇添富</t>
        </is>
      </c>
      <c r="D1461" t="n">
        <v>235286.5</v>
      </c>
      <c r="E1461" t="n">
        <v>232936.5</v>
      </c>
      <c r="F1461" t="n">
        <v>1.046</v>
      </c>
      <c r="G1461" t="n">
        <v>2350</v>
      </c>
      <c r="H1461" t="n">
        <v>24.365158</v>
      </c>
      <c r="I1461" t="n">
        <v>24.777731</v>
      </c>
      <c r="J1461" t="n">
        <v>-0.412573</v>
      </c>
      <c r="K1461" s="4">
        <f>IFERROR(J1461/I1461,"")</f>
        <v/>
      </c>
      <c r="L1461" s="4">
        <f>IFERROR((D1461-E1461)/E1461,"")</f>
        <v/>
      </c>
      <c r="M1461" s="19">
        <f>IFERROR(F1461*G1461/10000,"")</f>
        <v/>
      </c>
    </row>
    <row r="1462">
      <c r="A1462" t="inlineStr">
        <is>
          <t>2026-10-30</t>
        </is>
      </c>
      <c r="B1462" t="inlineStr">
        <is>
          <t>560100</t>
        </is>
      </c>
      <c r="C1462" t="inlineStr">
        <is>
          <t>中证500增强ETF南方</t>
        </is>
      </c>
      <c r="D1462" t="n">
        <v>7008.03</v>
      </c>
      <c r="E1462" t="n">
        <v>7308.03</v>
      </c>
      <c r="F1462" t="n">
        <v>1.102</v>
      </c>
      <c r="G1462" t="n">
        <v>-300</v>
      </c>
      <c r="H1462" t="n">
        <v>0.805345</v>
      </c>
      <c r="I1462" t="n">
        <v>0.743681</v>
      </c>
      <c r="J1462" t="n">
        <v>0.061664</v>
      </c>
      <c r="K1462" s="4">
        <f>IFERROR(J1462/I1462,"")</f>
        <v/>
      </c>
      <c r="L1462" s="4">
        <f>IFERROR((D1462-E1462)/E1462,"")</f>
        <v/>
      </c>
      <c r="M1462" s="19">
        <f>IFERROR(F1462*G1462/10000,"")</f>
        <v/>
      </c>
    </row>
    <row r="1463">
      <c r="A1463" t="inlineStr">
        <is>
          <t>2026-10-30</t>
        </is>
      </c>
      <c r="B1463" t="inlineStr">
        <is>
          <t>560110</t>
        </is>
      </c>
      <c r="C1463" t="inlineStr">
        <is>
          <t>中证1000ETF汇添富</t>
        </is>
      </c>
      <c r="D1463" t="n">
        <v>37390.35</v>
      </c>
      <c r="E1463" t="n">
        <v>37090.35</v>
      </c>
      <c r="F1463" t="n">
        <v>0.967</v>
      </c>
      <c r="G1463" t="n">
        <v>300</v>
      </c>
      <c r="H1463" t="n">
        <v>3.586637</v>
      </c>
      <c r="I1463" t="n">
        <v>3.667998</v>
      </c>
      <c r="J1463" t="n">
        <v>-0.081361</v>
      </c>
      <c r="K1463" s="4">
        <f>IFERROR(J1463/I1463,"")</f>
        <v/>
      </c>
      <c r="L1463" s="4">
        <f>IFERROR((D1463-E1463)/E1463,"")</f>
        <v/>
      </c>
      <c r="M1463" s="19">
        <f>IFERROR(F1463*G1463/10000,"")</f>
        <v/>
      </c>
    </row>
    <row r="1464">
      <c r="A1464" t="inlineStr">
        <is>
          <t>2026-10-30</t>
        </is>
      </c>
      <c r="B1464" t="inlineStr">
        <is>
          <t>560120</t>
        </is>
      </c>
      <c r="C1464" t="inlineStr">
        <is>
          <t>中证500现金流ETF华夏</t>
        </is>
      </c>
      <c r="D1464" t="n">
        <v>56468.9</v>
      </c>
      <c r="E1464" t="n">
        <v>56468.9</v>
      </c>
      <c r="F1464" t="n">
        <v>1.165</v>
      </c>
      <c r="G1464" t="n">
        <v>0</v>
      </c>
      <c r="H1464" t="n">
        <v>6.578627</v>
      </c>
      <c r="I1464" t="n">
        <v>6.595161</v>
      </c>
      <c r="J1464" t="n">
        <v>-0.016534</v>
      </c>
      <c r="K1464" s="4">
        <f>IFERROR(J1464/I1464,"")</f>
        <v/>
      </c>
      <c r="L1464" s="4">
        <f>IFERROR((D1464-E1464)/E1464,"")</f>
        <v/>
      </c>
      <c r="M1464" s="19">
        <f>IFERROR(F1464*G1464/10000,"")</f>
        <v/>
      </c>
    </row>
    <row r="1465">
      <c r="A1465" t="inlineStr">
        <is>
          <t>2026-10-30</t>
        </is>
      </c>
      <c r="B1465" t="inlineStr">
        <is>
          <t>560130</t>
        </is>
      </c>
      <c r="C1465" t="inlineStr">
        <is>
          <t>食品ETF鹏华</t>
        </is>
      </c>
      <c r="D1465" t="n">
        <v>6477.62</v>
      </c>
      <c r="E1465" t="n">
        <v>6477.62</v>
      </c>
      <c r="F1465" t="n">
        <v>0.876</v>
      </c>
      <c r="G1465" t="n">
        <v>0</v>
      </c>
      <c r="H1465" t="n">
        <v>0.5674400000000001</v>
      </c>
      <c r="I1465" t="n">
        <v>0.570031</v>
      </c>
      <c r="J1465" t="n">
        <v>-0.002591</v>
      </c>
      <c r="K1465" s="4">
        <f>IFERROR(J1465/I1465,"")</f>
        <v/>
      </c>
      <c r="L1465" s="4">
        <f>IFERROR((D1465-E1465)/E1465,"")</f>
        <v/>
      </c>
      <c r="M1465" s="19">
        <f>IFERROR(F1465*G1465/10000,"")</f>
        <v/>
      </c>
    </row>
    <row r="1466">
      <c r="A1466" t="inlineStr">
        <is>
          <t>2026-10-30</t>
        </is>
      </c>
      <c r="B1466" t="inlineStr">
        <is>
          <t>560150</t>
        </is>
      </c>
      <c r="C1466" t="inlineStr">
        <is>
          <t>红利低波ETF泰康</t>
        </is>
      </c>
      <c r="D1466" t="n">
        <v>66327.92999999999</v>
      </c>
      <c r="E1466" t="n">
        <v>66227.92999999999</v>
      </c>
      <c r="F1466" t="n">
        <v>1.173</v>
      </c>
      <c r="G1466" t="n">
        <v>100</v>
      </c>
      <c r="H1466" t="n">
        <v>7.768536</v>
      </c>
      <c r="I1466" t="n">
        <v>7.62455</v>
      </c>
      <c r="J1466" t="n">
        <v>0.143986</v>
      </c>
      <c r="K1466" s="4">
        <f>IFERROR(J1466/I1466,"")</f>
        <v/>
      </c>
      <c r="L1466" s="4">
        <f>IFERROR((D1466-E1466)/E1466,"")</f>
        <v/>
      </c>
      <c r="M1466" s="19">
        <f>IFERROR(F1466*G1466/10000,"")</f>
        <v/>
      </c>
    </row>
    <row r="1467">
      <c r="A1467" t="inlineStr">
        <is>
          <t>2026-10-30</t>
        </is>
      </c>
      <c r="B1467" t="inlineStr">
        <is>
          <t>560160</t>
        </is>
      </c>
      <c r="C1467" t="inlineStr">
        <is>
          <t>食品ETF易方达</t>
        </is>
      </c>
      <c r="D1467" t="n">
        <v>24270.6</v>
      </c>
      <c r="E1467" t="n">
        <v>24370.6</v>
      </c>
      <c r="F1467" t="n">
        <v>0.882</v>
      </c>
      <c r="G1467" t="n">
        <v>-100</v>
      </c>
      <c r="H1467" t="n">
        <v>2.149487</v>
      </c>
      <c r="I1467" t="n">
        <v>2.159235</v>
      </c>
      <c r="J1467" t="n">
        <v>-0.009748</v>
      </c>
      <c r="K1467" s="4">
        <f>IFERROR(J1467/I1467,"")</f>
        <v/>
      </c>
      <c r="L1467" s="4">
        <f>IFERROR((D1467-E1467)/E1467,"")</f>
        <v/>
      </c>
      <c r="M1467" s="19">
        <f>IFERROR(F1467*G1467/10000,"")</f>
        <v/>
      </c>
    </row>
    <row r="1468">
      <c r="A1468" t="inlineStr">
        <is>
          <t>2026-10-30</t>
        </is>
      </c>
      <c r="B1468" t="inlineStr">
        <is>
          <t>560170</t>
        </is>
      </c>
      <c r="C1468" t="inlineStr">
        <is>
          <t>央企科技ETF南方</t>
        </is>
      </c>
      <c r="D1468" t="n">
        <v>46849.55</v>
      </c>
      <c r="E1468" t="n">
        <v>46449.55</v>
      </c>
      <c r="F1468" t="n">
        <v>1.029</v>
      </c>
      <c r="G1468" t="n">
        <v>400</v>
      </c>
      <c r="H1468" t="n">
        <v>4.779659</v>
      </c>
      <c r="I1468" t="n">
        <v>4.901668</v>
      </c>
      <c r="J1468" t="n">
        <v>-0.122009</v>
      </c>
      <c r="K1468" s="4">
        <f>IFERROR(J1468/I1468,"")</f>
        <v/>
      </c>
      <c r="L1468" s="4">
        <f>IFERROR((D1468-E1468)/E1468,"")</f>
        <v/>
      </c>
      <c r="M1468" s="19">
        <f>IFERROR(F1468*G1468/10000,"")</f>
        <v/>
      </c>
    </row>
    <row r="1469">
      <c r="A1469" t="inlineStr">
        <is>
          <t>2026-10-30</t>
        </is>
      </c>
      <c r="B1469" t="inlineStr">
        <is>
          <t>560180</t>
        </is>
      </c>
      <c r="C1469" t="inlineStr">
        <is>
          <t>沪深300ESGETF南方</t>
        </is>
      </c>
      <c r="D1469" t="n">
        <v>1060.3</v>
      </c>
      <c r="E1469" t="n">
        <v>1060.3</v>
      </c>
      <c r="F1469" t="n">
        <v>1.07</v>
      </c>
      <c r="G1469" t="n">
        <v>0</v>
      </c>
      <c r="H1469" t="n">
        <v>0.113452</v>
      </c>
      <c r="I1469" t="n">
        <v>0.114194</v>
      </c>
      <c r="J1469" t="n">
        <v>-0.000742</v>
      </c>
      <c r="K1469" s="4">
        <f>IFERROR(J1469/I1469,"")</f>
        <v/>
      </c>
      <c r="L1469" s="4">
        <f>IFERROR((D1469-E1469)/E1469,"")</f>
        <v/>
      </c>
      <c r="M1469" s="19">
        <f>IFERROR(F1469*G1469/10000,"")</f>
        <v/>
      </c>
    </row>
    <row r="1470">
      <c r="A1470" t="inlineStr">
        <is>
          <t>2026-10-30</t>
        </is>
      </c>
      <c r="B1470" t="inlineStr">
        <is>
          <t>560190</t>
        </is>
      </c>
      <c r="C1470" t="inlineStr">
        <is>
          <t>公用事业ETF鹏华</t>
        </is>
      </c>
      <c r="D1470" t="n">
        <v>2533.4</v>
      </c>
      <c r="E1470" t="n">
        <v>2533.4</v>
      </c>
      <c r="F1470" t="n">
        <v>1.025</v>
      </c>
      <c r="G1470" t="n">
        <v>0</v>
      </c>
      <c r="H1470" t="n">
        <v>0.259674</v>
      </c>
      <c r="I1470" t="n">
        <v>0.256887</v>
      </c>
      <c r="J1470" t="n">
        <v>0.002787</v>
      </c>
      <c r="K1470" s="4">
        <f>IFERROR(J1470/I1470,"")</f>
        <v/>
      </c>
      <c r="L1470" s="4">
        <f>IFERROR((D1470-E1470)/E1470,"")</f>
        <v/>
      </c>
      <c r="M1470" s="19">
        <f>IFERROR(F1470*G1470/10000,"")</f>
        <v/>
      </c>
    </row>
    <row r="1471">
      <c r="A1471" t="inlineStr">
        <is>
          <t>2026-10-30</t>
        </is>
      </c>
      <c r="B1471" t="inlineStr">
        <is>
          <t>560210</t>
        </is>
      </c>
      <c r="C1471" t="inlineStr">
        <is>
          <t>农牧渔ETF景顺</t>
        </is>
      </c>
      <c r="D1471" t="n">
        <v>47652.2</v>
      </c>
      <c r="E1471" t="n">
        <v>47852.2</v>
      </c>
      <c r="F1471" t="n">
        <v>0.788</v>
      </c>
      <c r="G1471" t="n">
        <v>-200</v>
      </c>
      <c r="H1471" t="n">
        <v>3.770753</v>
      </c>
      <c r="I1471" t="n">
        <v>3.780324</v>
      </c>
      <c r="J1471" t="n">
        <v>-0.009571</v>
      </c>
      <c r="K1471" s="4">
        <f>IFERROR(J1471/I1471,"")</f>
        <v/>
      </c>
      <c r="L1471" s="4">
        <f>IFERROR((D1471-E1471)/E1471,"")</f>
        <v/>
      </c>
      <c r="M1471" s="19">
        <f>IFERROR(F1471*G1471/10000,"")</f>
        <v/>
      </c>
    </row>
    <row r="1472">
      <c r="A1472" t="inlineStr">
        <is>
          <t>2026-10-30</t>
        </is>
      </c>
      <c r="B1472" t="inlineStr">
        <is>
          <t>560220</t>
        </is>
      </c>
      <c r="C1472" t="inlineStr">
        <is>
          <t>中证2000ETF广发</t>
        </is>
      </c>
      <c r="D1472" t="n">
        <v>6671.7</v>
      </c>
      <c r="E1472" t="n">
        <v>6671.7</v>
      </c>
      <c r="F1472" t="n">
        <v>1.247</v>
      </c>
      <c r="G1472" t="n">
        <v>0</v>
      </c>
      <c r="H1472" t="n">
        <v>0.831961</v>
      </c>
      <c r="I1472" t="n">
        <v>0.863985</v>
      </c>
      <c r="J1472" t="n">
        <v>-0.032024</v>
      </c>
      <c r="K1472" s="4">
        <f>IFERROR(J1472/I1472,"")</f>
        <v/>
      </c>
      <c r="L1472" s="4">
        <f>IFERROR((D1472-E1472)/E1472,"")</f>
        <v/>
      </c>
      <c r="M1472" s="19">
        <f>IFERROR(F1472*G1472/10000,"")</f>
        <v/>
      </c>
    </row>
    <row r="1473">
      <c r="A1473" t="inlineStr">
        <is>
          <t>2026-10-30</t>
        </is>
      </c>
      <c r="B1473" t="inlineStr">
        <is>
          <t>560230</t>
        </is>
      </c>
      <c r="C1473" t="inlineStr">
        <is>
          <t>光伏ETF富国</t>
        </is>
      </c>
      <c r="D1473" t="n">
        <v>8588.9</v>
      </c>
      <c r="E1473" t="n">
        <v>8788.9</v>
      </c>
      <c r="F1473" t="n">
        <v>0.619</v>
      </c>
      <c r="G1473" t="n">
        <v>-200</v>
      </c>
      <c r="H1473" t="n">
        <v>0.544033</v>
      </c>
      <c r="I1473" t="n">
        <v>0.5411010000000001</v>
      </c>
      <c r="J1473" t="n">
        <v>0.002932</v>
      </c>
      <c r="K1473" s="4">
        <f>IFERROR(J1473/I1473,"")</f>
        <v/>
      </c>
      <c r="L1473" s="4">
        <f>IFERROR((D1473-E1473)/E1473,"")</f>
        <v/>
      </c>
      <c r="M1473" s="19">
        <f>IFERROR(F1473*G1473/10000,"")</f>
        <v/>
      </c>
    </row>
    <row r="1474">
      <c r="A1474" t="inlineStr">
        <is>
          <t>2026-10-30</t>
        </is>
      </c>
      <c r="B1474" t="inlineStr">
        <is>
          <t>560250</t>
        </is>
      </c>
      <c r="C1474" t="inlineStr">
        <is>
          <t>红利质量ETF富国</t>
        </is>
      </c>
      <c r="D1474" t="n">
        <v>12883.3</v>
      </c>
      <c r="E1474" t="n">
        <v>12883.3</v>
      </c>
      <c r="F1474" t="n">
        <v>0.9350000000000001</v>
      </c>
      <c r="G1474" t="n">
        <v>0</v>
      </c>
      <c r="H1474" t="n">
        <v>1.204589</v>
      </c>
      <c r="I1474" t="n">
        <v>1.2033</v>
      </c>
      <c r="J1474" t="n">
        <v>0.001289</v>
      </c>
      <c r="K1474" s="4">
        <f>IFERROR(J1474/I1474,"")</f>
        <v/>
      </c>
      <c r="L1474" s="4">
        <f>IFERROR((D1474-E1474)/E1474,"")</f>
        <v/>
      </c>
      <c r="M1474" s="19">
        <f>IFERROR(F1474*G1474/10000,"")</f>
        <v/>
      </c>
    </row>
    <row r="1475">
      <c r="A1475" t="inlineStr">
        <is>
          <t>2026-10-30</t>
        </is>
      </c>
      <c r="B1475" t="inlineStr">
        <is>
          <t>560260</t>
        </is>
      </c>
      <c r="C1475" t="inlineStr">
        <is>
          <t>医疗ETF广发</t>
        </is>
      </c>
      <c r="D1475" t="n">
        <v>168866.47</v>
      </c>
      <c r="E1475" t="n">
        <v>168866.47</v>
      </c>
      <c r="F1475" t="n">
        <v>0.844</v>
      </c>
      <c r="G1475" t="n">
        <v>0</v>
      </c>
      <c r="H1475" t="n">
        <v>14.25233</v>
      </c>
      <c r="I1475" t="n">
        <v>14.294563</v>
      </c>
      <c r="J1475" t="n">
        <v>-0.042233</v>
      </c>
      <c r="K1475" s="4">
        <f>IFERROR(J1475/I1475,"")</f>
        <v/>
      </c>
      <c r="L1475" s="4">
        <f>IFERROR((D1475-E1475)/E1475,"")</f>
        <v/>
      </c>
      <c r="M1475" s="19">
        <f>IFERROR(F1475*G1475/10000,"")</f>
        <v/>
      </c>
    </row>
    <row r="1476">
      <c r="A1476" t="inlineStr">
        <is>
          <t>2026-10-30</t>
        </is>
      </c>
      <c r="B1476" t="inlineStr">
        <is>
          <t>560270</t>
        </is>
      </c>
      <c r="C1476" t="inlineStr">
        <is>
          <t>电力ETF工银</t>
        </is>
      </c>
      <c r="D1476" t="n">
        <v>14993.9</v>
      </c>
      <c r="E1476" t="n">
        <v>14993.9</v>
      </c>
      <c r="F1476" t="n">
        <v>0.9379999999999999</v>
      </c>
      <c r="G1476" t="n">
        <v>0</v>
      </c>
      <c r="H1476" t="n">
        <v>1.406428</v>
      </c>
      <c r="I1476" t="n">
        <v>1.392933</v>
      </c>
      <c r="J1476" t="n">
        <v>0.013495</v>
      </c>
      <c r="K1476" s="4">
        <f>IFERROR(J1476/I1476,"")</f>
        <v/>
      </c>
      <c r="L1476" s="4">
        <f>IFERROR((D1476-E1476)/E1476,"")</f>
        <v/>
      </c>
      <c r="M1476" s="19">
        <f>IFERROR(F1476*G1476/10000,"")</f>
        <v/>
      </c>
    </row>
    <row r="1477">
      <c r="A1477" t="inlineStr">
        <is>
          <t>2026-10-30</t>
        </is>
      </c>
      <c r="B1477" t="inlineStr">
        <is>
          <t>560280</t>
        </is>
      </c>
      <c r="C1477" t="inlineStr">
        <is>
          <t>工程机械ETF广发</t>
        </is>
      </c>
      <c r="D1477" t="n">
        <v>108625.2</v>
      </c>
      <c r="E1477" t="n">
        <v>112725.2</v>
      </c>
      <c r="F1477" t="n">
        <v>1.332</v>
      </c>
      <c r="G1477" t="n">
        <v>-4100</v>
      </c>
      <c r="H1477" t="n">
        <v>15.014997</v>
      </c>
      <c r="I1477" t="n">
        <v>14.82186</v>
      </c>
      <c r="J1477" t="n">
        <v>0.193137</v>
      </c>
      <c r="K1477" s="4">
        <f>IFERROR(J1477/I1477,"")</f>
        <v/>
      </c>
      <c r="L1477" s="4">
        <f>IFERROR((D1477-E1477)/E1477,"")</f>
        <v/>
      </c>
      <c r="M1477" s="19">
        <f>IFERROR(F1477*G1477/10000,"")</f>
        <v/>
      </c>
    </row>
    <row r="1478">
      <c r="A1478" t="inlineStr">
        <is>
          <t>2026-10-30</t>
        </is>
      </c>
      <c r="B1478" t="inlineStr">
        <is>
          <t>560290</t>
        </is>
      </c>
      <c r="C1478" t="inlineStr">
        <is>
          <t>有色ETF景顺</t>
        </is>
      </c>
      <c r="D1478" t="n">
        <v>37969.4</v>
      </c>
      <c r="E1478" t="n">
        <v>38069.4</v>
      </c>
      <c r="F1478" t="n">
        <v>0.643</v>
      </c>
      <c r="G1478" t="n">
        <v>-100</v>
      </c>
      <c r="H1478" t="n">
        <v>2.447862</v>
      </c>
      <c r="I1478" t="n">
        <v>2.489739</v>
      </c>
      <c r="J1478" t="n">
        <v>-0.041877</v>
      </c>
      <c r="K1478" s="4">
        <f>IFERROR(J1478/I1478,"")</f>
        <v/>
      </c>
      <c r="L1478" s="4">
        <f>IFERROR((D1478-E1478)/E1478,"")</f>
        <v/>
      </c>
      <c r="M1478" s="19">
        <f>IFERROR(F1478*G1478/10000,"")</f>
        <v/>
      </c>
    </row>
    <row r="1479">
      <c r="A1479" t="inlineStr">
        <is>
          <t>2026-10-30</t>
        </is>
      </c>
      <c r="B1479" t="inlineStr">
        <is>
          <t>560300</t>
        </is>
      </c>
      <c r="C1479" t="inlineStr">
        <is>
          <t>电信ETF汇添富</t>
        </is>
      </c>
      <c r="D1479" t="n">
        <v>2580.34</v>
      </c>
      <c r="E1479" t="n">
        <v>2580.34</v>
      </c>
      <c r="F1479" t="n">
        <v>2.03</v>
      </c>
      <c r="G1479" t="n">
        <v>0</v>
      </c>
      <c r="H1479" t="n">
        <v>0.523809</v>
      </c>
      <c r="I1479" t="n">
        <v>0.59335</v>
      </c>
      <c r="J1479" t="n">
        <v>-0.06954100000000001</v>
      </c>
      <c r="K1479" s="4">
        <f>IFERROR(J1479/I1479,"")</f>
        <v/>
      </c>
      <c r="L1479" s="4">
        <f>IFERROR((D1479-E1479)/E1479,"")</f>
        <v/>
      </c>
      <c r="M1479" s="19">
        <f>IFERROR(F1479*G1479/10000,"")</f>
        <v/>
      </c>
    </row>
    <row r="1480">
      <c r="A1480" t="inlineStr">
        <is>
          <t>2026-10-30</t>
        </is>
      </c>
      <c r="B1480" t="inlineStr">
        <is>
          <t>560310</t>
        </is>
      </c>
      <c r="C1480" t="inlineStr">
        <is>
          <t>光伏ETF博时</t>
        </is>
      </c>
      <c r="D1480" t="n">
        <v>18812.2</v>
      </c>
      <c r="E1480" t="n">
        <v>19012.2</v>
      </c>
      <c r="F1480" t="n">
        <v>0.627</v>
      </c>
      <c r="G1480" t="n">
        <v>-200</v>
      </c>
      <c r="H1480" t="n">
        <v>1.192065</v>
      </c>
      <c r="I1480" t="n">
        <v>1.21488</v>
      </c>
      <c r="J1480" t="n">
        <v>-0.022815</v>
      </c>
      <c r="K1480" s="4">
        <f>IFERROR(J1480/I1480,"")</f>
        <v/>
      </c>
      <c r="L1480" s="4">
        <f>IFERROR((D1480-E1480)/E1480,"")</f>
        <v/>
      </c>
      <c r="M1480" s="19">
        <f>IFERROR(F1480*G1480/10000,"")</f>
        <v/>
      </c>
    </row>
    <row r="1481">
      <c r="A1481" t="inlineStr">
        <is>
          <t>2026-10-30</t>
        </is>
      </c>
      <c r="B1481" t="inlineStr">
        <is>
          <t>560320</t>
        </is>
      </c>
      <c r="C1481" t="inlineStr">
        <is>
          <t>食品ETF富国</t>
        </is>
      </c>
      <c r="D1481" t="n">
        <v>9933.200000000001</v>
      </c>
      <c r="E1481" t="n">
        <v>9833.200000000001</v>
      </c>
      <c r="F1481" t="n">
        <v>0.891</v>
      </c>
      <c r="G1481" t="n">
        <v>100</v>
      </c>
      <c r="H1481" t="n">
        <v>0.876138</v>
      </c>
      <c r="I1481" t="n">
        <v>0.880071</v>
      </c>
      <c r="J1481" t="n">
        <v>-0.003933</v>
      </c>
      <c r="K1481" s="4">
        <f>IFERROR(J1481/I1481,"")</f>
        <v/>
      </c>
      <c r="L1481" s="4">
        <f>IFERROR((D1481-E1481)/E1481,"")</f>
        <v/>
      </c>
      <c r="M1481" s="19">
        <f>IFERROR(F1481*G1481/10000,"")</f>
        <v/>
      </c>
    </row>
    <row r="1482">
      <c r="A1482" t="inlineStr">
        <is>
          <t>2026-10-30</t>
        </is>
      </c>
      <c r="B1482" t="inlineStr">
        <is>
          <t>560330</t>
        </is>
      </c>
      <c r="C1482" t="inlineStr">
        <is>
          <t>沪深300价值ETF申万菱信</t>
        </is>
      </c>
      <c r="D1482" t="n">
        <v>1613</v>
      </c>
      <c r="E1482" t="n">
        <v>1613</v>
      </c>
      <c r="F1482" t="n">
        <v>1.251</v>
      </c>
      <c r="G1482" t="n">
        <v>0</v>
      </c>
      <c r="H1482" t="n">
        <v>0.201786</v>
      </c>
      <c r="I1482" t="n">
        <v>0.199851</v>
      </c>
      <c r="J1482" t="n">
        <v>0.001935</v>
      </c>
      <c r="K1482" s="4">
        <f>IFERROR(J1482/I1482,"")</f>
        <v/>
      </c>
      <c r="L1482" s="4">
        <f>IFERROR((D1482-E1482)/E1482,"")</f>
        <v/>
      </c>
      <c r="M1482" s="19">
        <f>IFERROR(F1482*G1482/10000,"")</f>
        <v/>
      </c>
    </row>
    <row r="1483">
      <c r="A1483" t="inlineStr">
        <is>
          <t>2026-10-30</t>
        </is>
      </c>
      <c r="B1483" t="inlineStr">
        <is>
          <t>560350</t>
        </is>
      </c>
      <c r="C1483" t="inlineStr">
        <is>
          <t>中证A50ETF摩根</t>
        </is>
      </c>
      <c r="D1483" t="n">
        <v>80153.21000000001</v>
      </c>
      <c r="E1483" t="n">
        <v>79953.21000000001</v>
      </c>
      <c r="F1483" t="n">
        <v>1.123</v>
      </c>
      <c r="G1483" t="n">
        <v>200</v>
      </c>
      <c r="H1483" t="n">
        <v>8.978745999999999</v>
      </c>
      <c r="I1483" t="n">
        <v>9.025252</v>
      </c>
      <c r="J1483" t="n">
        <v>-0.046506</v>
      </c>
      <c r="K1483" s="4">
        <f>IFERROR(J1483/I1483,"")</f>
        <v/>
      </c>
      <c r="L1483" s="4">
        <f>IFERROR((D1483-E1483)/E1483,"")</f>
        <v/>
      </c>
      <c r="M1483" s="19">
        <f>IFERROR(F1483*G1483/10000,"")</f>
        <v/>
      </c>
    </row>
    <row r="1484">
      <c r="A1484" t="inlineStr">
        <is>
          <t>2026-10-30</t>
        </is>
      </c>
      <c r="B1484" t="inlineStr">
        <is>
          <t>560360</t>
        </is>
      </c>
      <c r="C1484" t="inlineStr">
        <is>
          <t>软件ETF万家</t>
        </is>
      </c>
      <c r="D1484" t="n">
        <v>22434.5</v>
      </c>
      <c r="E1484" t="n">
        <v>22334.5</v>
      </c>
      <c r="F1484" t="n">
        <v>1.113</v>
      </c>
      <c r="G1484" t="n">
        <v>100</v>
      </c>
      <c r="H1484" t="n">
        <v>2.48583</v>
      </c>
      <c r="I1484" t="n">
        <v>2.568468</v>
      </c>
      <c r="J1484" t="n">
        <v>-0.082638</v>
      </c>
      <c r="K1484" s="4">
        <f>IFERROR(J1484/I1484,"")</f>
        <v/>
      </c>
      <c r="L1484" s="4">
        <f>IFERROR((D1484-E1484)/E1484,"")</f>
        <v/>
      </c>
      <c r="M1484" s="19">
        <f>IFERROR(F1484*G1484/10000,"")</f>
        <v/>
      </c>
    </row>
    <row r="1485">
      <c r="A1485" t="inlineStr">
        <is>
          <t>2026-10-30</t>
        </is>
      </c>
      <c r="B1485" t="inlineStr">
        <is>
          <t>560370</t>
        </is>
      </c>
      <c r="C1485" t="inlineStr">
        <is>
          <t>红利质量ETF易方达</t>
        </is>
      </c>
      <c r="D1485" t="n">
        <v>21458.4</v>
      </c>
      <c r="E1485" t="n">
        <v>21458.4</v>
      </c>
      <c r="F1485" t="n">
        <v>0.844</v>
      </c>
      <c r="G1485" t="n">
        <v>0</v>
      </c>
      <c r="H1485" t="n">
        <v>1.811089</v>
      </c>
      <c r="I1485" t="n">
        <v>1.806797</v>
      </c>
      <c r="J1485" t="n">
        <v>0.004292</v>
      </c>
      <c r="K1485" s="4">
        <f>IFERROR(J1485/I1485,"")</f>
        <v/>
      </c>
      <c r="L1485" s="4">
        <f>IFERROR((D1485-E1485)/E1485,"")</f>
        <v/>
      </c>
      <c r="M1485" s="19">
        <f>IFERROR(F1485*G1485/10000,"")</f>
        <v/>
      </c>
    </row>
    <row r="1486">
      <c r="A1486" t="inlineStr">
        <is>
          <t>2026-10-30</t>
        </is>
      </c>
      <c r="B1486" t="inlineStr">
        <is>
          <t>560380</t>
        </is>
      </c>
      <c r="C1486" t="inlineStr">
        <is>
          <t>A100ETF南方</t>
        </is>
      </c>
      <c r="D1486" t="n">
        <v>14286.1</v>
      </c>
      <c r="E1486" t="n">
        <v>14286.1</v>
      </c>
      <c r="F1486" t="n">
        <v>1.104</v>
      </c>
      <c r="G1486" t="n">
        <v>0</v>
      </c>
      <c r="H1486" t="n">
        <v>1.577185</v>
      </c>
      <c r="I1486" t="n">
        <v>1.5929</v>
      </c>
      <c r="J1486" t="n">
        <v>-0.015715</v>
      </c>
      <c r="K1486" s="4">
        <f>IFERROR(J1486/I1486,"")</f>
        <v/>
      </c>
      <c r="L1486" s="4">
        <f>IFERROR((D1486-E1486)/E1486,"")</f>
        <v/>
      </c>
      <c r="M1486" s="19">
        <f>IFERROR(F1486*G1486/10000,"")</f>
        <v/>
      </c>
    </row>
    <row r="1487">
      <c r="A1487" t="inlineStr">
        <is>
          <t>2026-10-30</t>
        </is>
      </c>
      <c r="B1487" t="inlineStr">
        <is>
          <t>560390</t>
        </is>
      </c>
      <c r="C1487" t="inlineStr">
        <is>
          <t>电网设备ETF易方达</t>
        </is>
      </c>
      <c r="D1487" t="n">
        <v>247525.8</v>
      </c>
      <c r="E1487" t="n">
        <v>245725.8</v>
      </c>
      <c r="F1487" t="n">
        <v>0.705</v>
      </c>
      <c r="G1487" t="n">
        <v>1800</v>
      </c>
      <c r="H1487" t="n">
        <v>17.323669</v>
      </c>
      <c r="I1487" t="n">
        <v>17.922426</v>
      </c>
      <c r="J1487" t="n">
        <v>-0.598757</v>
      </c>
      <c r="K1487" s="4">
        <f>IFERROR(J1487/I1487,"")</f>
        <v/>
      </c>
      <c r="L1487" s="4">
        <f>IFERROR((D1487-E1487)/E1487,"")</f>
        <v/>
      </c>
      <c r="M1487" s="19">
        <f>IFERROR(F1487*G1487/10000,"")</f>
        <v/>
      </c>
    </row>
    <row r="1488">
      <c r="A1488" t="inlineStr">
        <is>
          <t>2026-10-30</t>
        </is>
      </c>
      <c r="B1488" t="inlineStr">
        <is>
          <t>560400</t>
        </is>
      </c>
      <c r="C1488" t="inlineStr">
        <is>
          <t>证券ETF华泰柏瑞</t>
        </is>
      </c>
      <c r="D1488" t="n">
        <v>18949.3</v>
      </c>
      <c r="E1488" t="n">
        <v>18949.3</v>
      </c>
      <c r="F1488" t="n">
        <v>0.887</v>
      </c>
      <c r="G1488" t="n">
        <v>0</v>
      </c>
      <c r="H1488" t="n">
        <v>1.680803</v>
      </c>
      <c r="I1488" t="n">
        <v>1.711122</v>
      </c>
      <c r="J1488" t="n">
        <v>-0.030319</v>
      </c>
      <c r="K1488" s="4">
        <f>IFERROR(J1488/I1488,"")</f>
        <v/>
      </c>
      <c r="L1488" s="4">
        <f>IFERROR((D1488-E1488)/E1488,"")</f>
        <v/>
      </c>
      <c r="M1488" s="19">
        <f>IFERROR(F1488*G1488/10000,"")</f>
        <v/>
      </c>
    </row>
    <row r="1489">
      <c r="A1489" t="inlineStr">
        <is>
          <t>2026-10-30</t>
        </is>
      </c>
      <c r="B1489" t="inlineStr">
        <is>
          <t>560410</t>
        </is>
      </c>
      <c r="C1489" t="inlineStr">
        <is>
          <t>电池ETF鹏华</t>
        </is>
      </c>
      <c r="D1489" t="n">
        <v>6178.61</v>
      </c>
      <c r="E1489" t="n">
        <v>6178.61</v>
      </c>
      <c r="F1489" t="n">
        <v>0.643</v>
      </c>
      <c r="G1489" t="n">
        <v>0</v>
      </c>
      <c r="H1489" t="n">
        <v>0.397285</v>
      </c>
      <c r="I1489" t="n">
        <v>0.408406</v>
      </c>
      <c r="J1489" t="n">
        <v>-0.011121</v>
      </c>
      <c r="K1489" s="4">
        <f>IFERROR(J1489/I1489,"")</f>
        <v/>
      </c>
      <c r="L1489" s="4">
        <f>IFERROR((D1489-E1489)/E1489,"")</f>
        <v/>
      </c>
      <c r="M1489" s="19">
        <f>IFERROR(F1489*G1489/10000,"")</f>
        <v/>
      </c>
    </row>
    <row r="1490">
      <c r="A1490" t="inlineStr">
        <is>
          <t>2026-10-30</t>
        </is>
      </c>
      <c r="B1490" t="inlineStr">
        <is>
          <t>560420</t>
        </is>
      </c>
      <c r="C1490" t="inlineStr">
        <is>
          <t>食品ETF前海开源</t>
        </is>
      </c>
      <c r="D1490" t="n">
        <v>11678.02</v>
      </c>
      <c r="E1490" t="n">
        <v>11678.02</v>
      </c>
      <c r="F1490" t="n">
        <v>0.888</v>
      </c>
      <c r="G1490" t="n">
        <v>0</v>
      </c>
      <c r="H1490" t="n">
        <v>1.037008</v>
      </c>
      <c r="I1490" t="n">
        <v>1.047518</v>
      </c>
      <c r="J1490" t="n">
        <v>-0.01051</v>
      </c>
      <c r="K1490" s="4">
        <f>IFERROR(J1490/I1490,"")</f>
        <v/>
      </c>
      <c r="L1490" s="4">
        <f>IFERROR((D1490-E1490)/E1490,"")</f>
        <v/>
      </c>
      <c r="M1490" s="19">
        <f>IFERROR(F1490*G1490/10000,"")</f>
        <v/>
      </c>
    </row>
    <row r="1491">
      <c r="A1491" t="inlineStr">
        <is>
          <t>2026-10-30</t>
        </is>
      </c>
      <c r="B1491" t="inlineStr">
        <is>
          <t>560450</t>
        </is>
      </c>
      <c r="C1491" t="inlineStr">
        <is>
          <t>电力ETF天弘</t>
        </is>
      </c>
      <c r="D1491" t="n">
        <v>22706.9</v>
      </c>
      <c r="E1491" t="n">
        <v>22906.9</v>
      </c>
      <c r="F1491" t="n">
        <v>0.931</v>
      </c>
      <c r="G1491" t="n">
        <v>-200</v>
      </c>
      <c r="H1491" t="n">
        <v>2.132632</v>
      </c>
      <c r="I1491" t="n">
        <v>2.116626</v>
      </c>
      <c r="J1491" t="n">
        <v>0.016006</v>
      </c>
      <c r="K1491" s="4">
        <f>IFERROR(J1491/I1491,"")</f>
        <v/>
      </c>
      <c r="L1491" s="4">
        <f>IFERROR((D1491-E1491)/E1491,"")</f>
        <v/>
      </c>
      <c r="M1491" s="19">
        <f>IFERROR(F1491*G1491/10000,"")</f>
        <v/>
      </c>
    </row>
    <row r="1492">
      <c r="A1492" t="inlineStr">
        <is>
          <t>2026-10-30</t>
        </is>
      </c>
      <c r="B1492" t="inlineStr">
        <is>
          <t>560460</t>
        </is>
      </c>
      <c r="C1492" t="inlineStr">
        <is>
          <t>电力ETF平安</t>
        </is>
      </c>
      <c r="D1492" t="n">
        <v>27103.7</v>
      </c>
      <c r="E1492" t="n">
        <v>27253.7</v>
      </c>
      <c r="F1492" t="n">
        <v>0.895</v>
      </c>
      <c r="G1492" t="n">
        <v>-150</v>
      </c>
      <c r="H1492" t="n">
        <v>2.439206</v>
      </c>
      <c r="I1492" t="n">
        <v>2.423538</v>
      </c>
      <c r="J1492" t="n">
        <v>0.015668</v>
      </c>
      <c r="K1492" s="4">
        <f>IFERROR(J1492/I1492,"")</f>
        <v/>
      </c>
      <c r="L1492" s="4">
        <f>IFERROR((D1492-E1492)/E1492,"")</f>
        <v/>
      </c>
      <c r="M1492" s="19">
        <f>IFERROR(F1492*G1492/10000,"")</f>
        <v/>
      </c>
    </row>
    <row r="1493">
      <c r="A1493" t="inlineStr">
        <is>
          <t>2026-10-30</t>
        </is>
      </c>
      <c r="B1493" t="inlineStr">
        <is>
          <t>560470</t>
        </is>
      </c>
      <c r="C1493" t="inlineStr">
        <is>
          <t>有色ETF易方达</t>
        </is>
      </c>
      <c r="D1493" t="n">
        <v>29934</v>
      </c>
      <c r="E1493" t="n">
        <v>29934</v>
      </c>
      <c r="F1493" t="n">
        <v>0.72</v>
      </c>
      <c r="G1493" t="n">
        <v>0</v>
      </c>
      <c r="H1493" t="n">
        <v>2.155248</v>
      </c>
      <c r="I1493" t="n">
        <v>2.191169</v>
      </c>
      <c r="J1493" t="n">
        <v>-0.035921</v>
      </c>
      <c r="K1493" s="4">
        <f>IFERROR(J1493/I1493,"")</f>
        <v/>
      </c>
      <c r="L1493" s="4">
        <f>IFERROR((D1493-E1493)/E1493,"")</f>
        <v/>
      </c>
      <c r="M1493" s="19">
        <f>IFERROR(F1493*G1493/10000,"")</f>
        <v/>
      </c>
    </row>
    <row r="1494">
      <c r="A1494" t="inlineStr">
        <is>
          <t>2026-10-30</t>
        </is>
      </c>
      <c r="B1494" t="inlineStr">
        <is>
          <t>560480</t>
        </is>
      </c>
      <c r="C1494" t="inlineStr">
        <is>
          <t>电力ETF招商</t>
        </is>
      </c>
      <c r="D1494" t="n">
        <v>11780.3</v>
      </c>
      <c r="E1494" t="n">
        <v>11880.3</v>
      </c>
      <c r="F1494" t="n">
        <v>0.887</v>
      </c>
      <c r="G1494" t="n">
        <v>-100</v>
      </c>
      <c r="H1494" t="n">
        <v>1.053783</v>
      </c>
      <c r="I1494" t="n">
        <v>1.045466</v>
      </c>
      <c r="J1494" t="n">
        <v>0.008317</v>
      </c>
      <c r="K1494" s="4">
        <f>IFERROR(J1494/I1494,"")</f>
        <v/>
      </c>
      <c r="L1494" s="4">
        <f>IFERROR((D1494-E1494)/E1494,"")</f>
        <v/>
      </c>
      <c r="M1494" s="19">
        <f>IFERROR(F1494*G1494/10000,"")</f>
        <v/>
      </c>
    </row>
    <row r="1495">
      <c r="A1495" t="inlineStr">
        <is>
          <t>2026-10-30</t>
        </is>
      </c>
      <c r="B1495" t="inlineStr">
        <is>
          <t>560490</t>
        </is>
      </c>
      <c r="C1495" t="inlineStr">
        <is>
          <t>工业有色ETF华泰柏瑞</t>
        </is>
      </c>
      <c r="D1495" t="n">
        <v>12748.2</v>
      </c>
      <c r="E1495" t="n">
        <v>12748.2</v>
      </c>
      <c r="F1495" t="n">
        <v>0.769</v>
      </c>
      <c r="G1495" t="n">
        <v>0</v>
      </c>
      <c r="H1495" t="n">
        <v>0.980337</v>
      </c>
      <c r="I1495" t="n">
        <v>0.996909</v>
      </c>
      <c r="J1495" t="n">
        <v>-0.016572</v>
      </c>
      <c r="K1495" s="4">
        <f>IFERROR(J1495/I1495,"")</f>
        <v/>
      </c>
      <c r="L1495" s="4">
        <f>IFERROR((D1495-E1495)/E1495,"")</f>
        <v/>
      </c>
      <c r="M1495" s="19">
        <f>IFERROR(F1495*G1495/10000,"")</f>
        <v/>
      </c>
    </row>
    <row r="1496">
      <c r="A1496" t="inlineStr">
        <is>
          <t>2026-10-30</t>
        </is>
      </c>
      <c r="B1496" t="inlineStr">
        <is>
          <t>560500</t>
        </is>
      </c>
      <c r="C1496" t="inlineStr">
        <is>
          <t>500质量成长ETF鹏扬</t>
        </is>
      </c>
      <c r="D1496" t="n">
        <v>27733.9</v>
      </c>
      <c r="E1496" t="n">
        <v>27633.9</v>
      </c>
      <c r="F1496" t="n">
        <v>1.217</v>
      </c>
      <c r="G1496" t="n">
        <v>100</v>
      </c>
      <c r="H1496" t="n">
        <v>3.363046</v>
      </c>
      <c r="I1496" t="n">
        <v>3.421077</v>
      </c>
      <c r="J1496" t="n">
        <v>-0.058031</v>
      </c>
      <c r="K1496" s="4">
        <f>IFERROR(J1496/I1496,"")</f>
        <v/>
      </c>
      <c r="L1496" s="4">
        <f>IFERROR((D1496-E1496)/E1496,"")</f>
        <v/>
      </c>
      <c r="M1496" s="19">
        <f>IFERROR(F1496*G1496/10000,"")</f>
        <v/>
      </c>
    </row>
    <row r="1497">
      <c r="A1497" t="inlineStr">
        <is>
          <t>2026-10-30</t>
        </is>
      </c>
      <c r="B1497" t="inlineStr">
        <is>
          <t>560510</t>
        </is>
      </c>
      <c r="C1497" t="inlineStr">
        <is>
          <t>中证A500ETF泰康</t>
        </is>
      </c>
      <c r="D1497" t="n">
        <v>261502.69</v>
      </c>
      <c r="E1497" t="n">
        <v>261502.69</v>
      </c>
      <c r="F1497" t="n">
        <v>1.014</v>
      </c>
      <c r="G1497" t="n">
        <v>0</v>
      </c>
      <c r="H1497" t="n">
        <v>26.516373</v>
      </c>
      <c r="I1497" t="n">
        <v>26.913317</v>
      </c>
      <c r="J1497" t="n">
        <v>-0.396944</v>
      </c>
      <c r="K1497" s="4">
        <f>IFERROR(J1497/I1497,"")</f>
        <v/>
      </c>
      <c r="L1497" s="4">
        <f>IFERROR((D1497-E1497)/E1497,"")</f>
        <v/>
      </c>
      <c r="M1497" s="19">
        <f>IFERROR(F1497*G1497/10000,"")</f>
        <v/>
      </c>
    </row>
    <row r="1498">
      <c r="A1498" t="inlineStr">
        <is>
          <t>2026-10-30</t>
        </is>
      </c>
      <c r="B1498" t="inlineStr">
        <is>
          <t>560520</t>
        </is>
      </c>
      <c r="C1498" t="inlineStr">
        <is>
          <t>红利低波100ETF大成</t>
        </is>
      </c>
      <c r="D1498" t="n">
        <v>5875.1</v>
      </c>
      <c r="E1498" t="n">
        <v>5775.1</v>
      </c>
      <c r="F1498" t="n">
        <v>1.121</v>
      </c>
      <c r="G1498" t="n">
        <v>100</v>
      </c>
      <c r="H1498" t="n">
        <v>0.647389</v>
      </c>
      <c r="I1498" t="n">
        <v>0.6439240000000001</v>
      </c>
      <c r="J1498" t="n">
        <v>0.003465</v>
      </c>
      <c r="K1498" s="4">
        <f>IFERROR(J1498/I1498,"")</f>
        <v/>
      </c>
      <c r="L1498" s="4">
        <f>IFERROR((D1498-E1498)/E1498,"")</f>
        <v/>
      </c>
      <c r="M1498" s="19">
        <f>IFERROR(F1498*G1498/10000,"")</f>
        <v/>
      </c>
    </row>
    <row r="1499">
      <c r="A1499" t="inlineStr">
        <is>
          <t>2026-10-30</t>
        </is>
      </c>
      <c r="B1499" t="inlineStr">
        <is>
          <t>560530</t>
        </is>
      </c>
      <c r="C1499" t="inlineStr">
        <is>
          <t>中证A500ETF摩根</t>
        </is>
      </c>
      <c r="D1499" t="n">
        <v>413862.37</v>
      </c>
      <c r="E1499" t="n">
        <v>413862.37</v>
      </c>
      <c r="F1499" t="n">
        <v>1.043</v>
      </c>
      <c r="G1499" t="n">
        <v>0</v>
      </c>
      <c r="H1499" t="n">
        <v>43.165845</v>
      </c>
      <c r="I1499" t="n">
        <v>43.923335</v>
      </c>
      <c r="J1499" t="n">
        <v>-0.75749</v>
      </c>
      <c r="K1499" s="4">
        <f>IFERROR(J1499/I1499,"")</f>
        <v/>
      </c>
      <c r="L1499" s="4">
        <f>IFERROR((D1499-E1499)/E1499,"")</f>
        <v/>
      </c>
      <c r="M1499" s="19">
        <f>IFERROR(F1499*G1499/10000,"")</f>
        <v/>
      </c>
    </row>
    <row r="1500">
      <c r="A1500" t="inlineStr">
        <is>
          <t>2026-10-30</t>
        </is>
      </c>
      <c r="B1500" t="inlineStr">
        <is>
          <t>560550</t>
        </is>
      </c>
      <c r="C1500" t="inlineStr">
        <is>
          <t>碳中和ETF广发</t>
        </is>
      </c>
      <c r="D1500" t="n">
        <v>12359.74</v>
      </c>
      <c r="E1500" t="n">
        <v>12359.74</v>
      </c>
      <c r="F1500" t="n">
        <v>0.8159999999999999</v>
      </c>
      <c r="G1500" t="n">
        <v>0</v>
      </c>
      <c r="H1500" t="n">
        <v>1.008555</v>
      </c>
      <c r="I1500" t="n">
        <v>1.013499</v>
      </c>
      <c r="J1500" t="n">
        <v>-0.004944</v>
      </c>
      <c r="K1500" s="4">
        <f>IFERROR(J1500/I1500,"")</f>
        <v/>
      </c>
      <c r="L1500" s="4">
        <f>IFERROR((D1500-E1500)/E1500,"")</f>
        <v/>
      </c>
      <c r="M1500" s="19">
        <f>IFERROR(F1500*G1500/10000,"")</f>
        <v/>
      </c>
    </row>
    <row r="1501">
      <c r="A1501" t="inlineStr">
        <is>
          <t>2026-10-30</t>
        </is>
      </c>
      <c r="B1501" t="inlineStr">
        <is>
          <t>560560</t>
        </is>
      </c>
      <c r="C1501" t="inlineStr">
        <is>
          <t>碳中和ETF泰康</t>
        </is>
      </c>
      <c r="D1501" t="n">
        <v>7219.01</v>
      </c>
      <c r="E1501" t="n">
        <v>7319.01</v>
      </c>
      <c r="F1501" t="n">
        <v>0.5649999999999999</v>
      </c>
      <c r="G1501" t="n">
        <v>-100</v>
      </c>
      <c r="H1501" t="n">
        <v>0.413524</v>
      </c>
      <c r="I1501" t="n">
        <v>0.412792</v>
      </c>
      <c r="J1501" t="n">
        <v>0.000732</v>
      </c>
      <c r="K1501" s="4">
        <f>IFERROR(J1501/I1501,"")</f>
        <v/>
      </c>
      <c r="L1501" s="4">
        <f>IFERROR((D1501-E1501)/E1501,"")</f>
        <v/>
      </c>
      <c r="M1501" s="19">
        <f>IFERROR(F1501*G1501/10000,"")</f>
        <v/>
      </c>
    </row>
    <row r="1502">
      <c r="A1502" t="inlineStr">
        <is>
          <t>2026-10-30</t>
        </is>
      </c>
      <c r="B1502" t="inlineStr">
        <is>
          <t>560570</t>
        </is>
      </c>
      <c r="C1502" t="inlineStr">
        <is>
          <t>A500红利ETF国联安</t>
        </is>
      </c>
      <c r="D1502" t="n">
        <v>117854.12</v>
      </c>
      <c r="E1502" t="n">
        <v>118154.12</v>
      </c>
      <c r="F1502" t="n">
        <v>1.039</v>
      </c>
      <c r="G1502" t="n">
        <v>-300</v>
      </c>
      <c r="H1502" t="n">
        <v>12.276213</v>
      </c>
      <c r="I1502" t="n">
        <v>12.199219</v>
      </c>
      <c r="J1502" t="n">
        <v>0.07699400000000001</v>
      </c>
      <c r="K1502" s="4">
        <f>IFERROR(J1502/I1502,"")</f>
        <v/>
      </c>
      <c r="L1502" s="4">
        <f>IFERROR((D1502-E1502)/E1502,"")</f>
        <v/>
      </c>
      <c r="M1502" s="19">
        <f>IFERROR(F1502*G1502/10000,"")</f>
        <v/>
      </c>
    </row>
    <row r="1503">
      <c r="A1503" t="inlineStr">
        <is>
          <t>2026-10-30</t>
        </is>
      </c>
      <c r="B1503" t="inlineStr">
        <is>
          <t>560580</t>
        </is>
      </c>
      <c r="C1503" t="inlineStr">
        <is>
          <t>电力ETF南方</t>
        </is>
      </c>
      <c r="D1503" t="n">
        <v>35800.3</v>
      </c>
      <c r="E1503" t="n">
        <v>36000.3</v>
      </c>
      <c r="F1503" t="n">
        <v>1.092</v>
      </c>
      <c r="G1503" t="n">
        <v>-200</v>
      </c>
      <c r="H1503" t="n">
        <v>3.931233</v>
      </c>
      <c r="I1503" t="n">
        <v>3.952982</v>
      </c>
      <c r="J1503" t="n">
        <v>-0.021749</v>
      </c>
      <c r="K1503" s="4">
        <f>IFERROR(J1503/I1503,"")</f>
        <v/>
      </c>
      <c r="L1503" s="4">
        <f>IFERROR((D1503-E1503)/E1503,"")</f>
        <v/>
      </c>
      <c r="M1503" s="19">
        <f>IFERROR(F1503*G1503/10000,"")</f>
        <v/>
      </c>
    </row>
    <row r="1504">
      <c r="A1504" t="inlineStr">
        <is>
          <t>2026-10-30</t>
        </is>
      </c>
      <c r="B1504" t="inlineStr">
        <is>
          <t>560590</t>
        </is>
      </c>
      <c r="C1504" t="inlineStr">
        <is>
          <t>中证1000增强ETF鹏华</t>
        </is>
      </c>
      <c r="D1504" t="n">
        <v>2271</v>
      </c>
      <c r="E1504" t="n">
        <v>2271</v>
      </c>
      <c r="F1504" t="n">
        <v>1.232</v>
      </c>
      <c r="G1504" t="n">
        <v>0</v>
      </c>
      <c r="H1504" t="n">
        <v>0.279787</v>
      </c>
      <c r="I1504" t="n">
        <v>0.286146</v>
      </c>
      <c r="J1504" t="n">
        <v>-0.006359</v>
      </c>
      <c r="K1504" s="4">
        <f>IFERROR(J1504/I1504,"")</f>
        <v/>
      </c>
      <c r="L1504" s="4">
        <f>IFERROR((D1504-E1504)/E1504,"")</f>
        <v/>
      </c>
      <c r="M1504" s="19">
        <f>IFERROR(F1504*G1504/10000,"")</f>
        <v/>
      </c>
    </row>
    <row r="1505">
      <c r="A1505" t="inlineStr">
        <is>
          <t>2026-10-30</t>
        </is>
      </c>
      <c r="B1505" t="inlineStr">
        <is>
          <t>560610</t>
        </is>
      </c>
      <c r="C1505" t="inlineStr">
        <is>
          <t>A500ETF招商</t>
        </is>
      </c>
      <c r="D1505" t="n">
        <v>529398.84</v>
      </c>
      <c r="E1505" t="n">
        <v>540798.84</v>
      </c>
      <c r="F1505" t="n">
        <v>1.013</v>
      </c>
      <c r="G1505" t="n">
        <v>-11400</v>
      </c>
      <c r="H1505" t="n">
        <v>54.782922</v>
      </c>
      <c r="I1505" t="n">
        <v>55.509231</v>
      </c>
      <c r="J1505" t="n">
        <v>-0.726309</v>
      </c>
      <c r="K1505" s="4">
        <f>IFERROR(J1505/I1505,"")</f>
        <v/>
      </c>
      <c r="L1505" s="4">
        <f>IFERROR((D1505-E1505)/E1505,"")</f>
        <v/>
      </c>
      <c r="M1505" s="19">
        <f>IFERROR(F1505*G1505/10000,"")</f>
        <v/>
      </c>
    </row>
    <row r="1506">
      <c r="A1506" t="inlineStr">
        <is>
          <t>2026-10-30</t>
        </is>
      </c>
      <c r="B1506" t="inlineStr">
        <is>
          <t>560620</t>
        </is>
      </c>
      <c r="C1506" t="inlineStr">
        <is>
          <t>公用事业ETF万家</t>
        </is>
      </c>
      <c r="D1506" t="n">
        <v>2536.7</v>
      </c>
      <c r="E1506" t="n">
        <v>2536.7</v>
      </c>
      <c r="F1506" t="n">
        <v>0.958</v>
      </c>
      <c r="G1506" t="n">
        <v>0</v>
      </c>
      <c r="H1506" t="n">
        <v>0.243016</v>
      </c>
      <c r="I1506" t="n">
        <v>0.240479</v>
      </c>
      <c r="J1506" t="n">
        <v>0.002537</v>
      </c>
      <c r="K1506" s="4">
        <f>IFERROR(J1506/I1506,"")</f>
        <v/>
      </c>
      <c r="L1506" s="4">
        <f>IFERROR((D1506-E1506)/E1506,"")</f>
        <v/>
      </c>
      <c r="M1506" s="19">
        <f>IFERROR(F1506*G1506/10000,"")</f>
        <v/>
      </c>
    </row>
    <row r="1507">
      <c r="A1507" t="inlineStr">
        <is>
          <t>2026-10-30</t>
        </is>
      </c>
      <c r="B1507" t="inlineStr">
        <is>
          <t>560630</t>
        </is>
      </c>
      <c r="C1507" t="inlineStr">
        <is>
          <t>机器人ETF万家</t>
        </is>
      </c>
      <c r="D1507" t="n">
        <v>15739.4</v>
      </c>
      <c r="E1507" t="n">
        <v>15639.4</v>
      </c>
      <c r="F1507" t="n">
        <v>0.982</v>
      </c>
      <c r="G1507" t="n">
        <v>100</v>
      </c>
      <c r="H1507" t="n">
        <v>1.535789</v>
      </c>
      <c r="I1507" t="n">
        <v>1.595975</v>
      </c>
      <c r="J1507" t="n">
        <v>-0.060186</v>
      </c>
      <c r="K1507" s="4">
        <f>IFERROR(J1507/I1507,"")</f>
        <v/>
      </c>
      <c r="L1507" s="4">
        <f>IFERROR((D1507-E1507)/E1507,"")</f>
        <v/>
      </c>
      <c r="M1507" s="19">
        <f>IFERROR(F1507*G1507/10000,"")</f>
        <v/>
      </c>
    </row>
    <row r="1508">
      <c r="A1508" t="inlineStr">
        <is>
          <t>2026-08-21</t>
        </is>
      </c>
      <c r="B1508" t="inlineStr">
        <is>
          <t>560650</t>
        </is>
      </c>
      <c r="C1508" t="inlineStr">
        <is>
          <t>核心50ETF民生加银</t>
        </is>
      </c>
      <c r="D1508" t="n">
        <v>791.92</v>
      </c>
      <c r="E1508" t="n">
        <v>791.92</v>
      </c>
      <c r="F1508" t="n">
        <v>1.068</v>
      </c>
      <c r="G1508" t="n">
        <v>0</v>
      </c>
      <c r="H1508" t="n">
        <v>0.084577</v>
      </c>
      <c r="I1508" t="n">
        <v>0.084577</v>
      </c>
      <c r="J1508" t="n">
        <v>0</v>
      </c>
      <c r="K1508" s="4">
        <f>IFERROR(J1508/I1508,"")</f>
        <v/>
      </c>
      <c r="L1508" s="4">
        <f>IFERROR((D1508-E1508)/E1508,"")</f>
        <v/>
      </c>
      <c r="M1508" s="19">
        <f>IFERROR(F1508*G1508/10000,"")</f>
        <v/>
      </c>
    </row>
    <row r="1509">
      <c r="A1509" t="inlineStr">
        <is>
          <t>2026-10-30</t>
        </is>
      </c>
      <c r="B1509" t="inlineStr">
        <is>
          <t>560660</t>
        </is>
      </c>
      <c r="C1509" t="inlineStr">
        <is>
          <t>云计算50ETF新华</t>
        </is>
      </c>
      <c r="D1509" t="n">
        <v>12093.8</v>
      </c>
      <c r="E1509" t="n">
        <v>12093.8</v>
      </c>
      <c r="F1509" t="n">
        <v>0.875</v>
      </c>
      <c r="G1509" t="n">
        <v>0</v>
      </c>
      <c r="H1509" t="n">
        <v>1.058208</v>
      </c>
      <c r="I1509" t="n">
        <v>1.109001</v>
      </c>
      <c r="J1509" t="n">
        <v>-0.050793</v>
      </c>
      <c r="K1509" s="4">
        <f>IFERROR(J1509/I1509,"")</f>
        <v/>
      </c>
      <c r="L1509" s="4">
        <f>IFERROR((D1509-E1509)/E1509,"")</f>
        <v/>
      </c>
      <c r="M1509" s="19">
        <f>IFERROR(F1509*G1509/10000,"")</f>
        <v/>
      </c>
    </row>
    <row r="1510">
      <c r="A1510" t="inlineStr">
        <is>
          <t>2026-10-30</t>
        </is>
      </c>
      <c r="B1510" t="inlineStr">
        <is>
          <t>560670</t>
        </is>
      </c>
      <c r="C1510" t="inlineStr">
        <is>
          <t>银行ETF华泰柏瑞</t>
        </is>
      </c>
      <c r="D1510" t="n">
        <v>4597.4</v>
      </c>
      <c r="E1510" t="n">
        <v>4697.4</v>
      </c>
      <c r="F1510" t="n">
        <v>1.145</v>
      </c>
      <c r="G1510" t="n">
        <v>-100</v>
      </c>
      <c r="H1510" t="n">
        <v>0.537852</v>
      </c>
      <c r="I1510" t="n">
        <v>0.487778</v>
      </c>
      <c r="J1510" t="n">
        <v>0.050074</v>
      </c>
      <c r="K1510" s="4">
        <f>IFERROR(J1510/I1510,"")</f>
        <v/>
      </c>
      <c r="L1510" s="4">
        <f>IFERROR((D1510-E1510)/E1510,"")</f>
        <v/>
      </c>
      <c r="M1510" s="19">
        <f>IFERROR(F1510*G1510/10000,"")</f>
        <v/>
      </c>
    </row>
    <row r="1511">
      <c r="A1511" t="inlineStr">
        <is>
          <t>2026-10-30</t>
        </is>
      </c>
      <c r="B1511" t="inlineStr">
        <is>
          <t>560680</t>
        </is>
      </c>
      <c r="C1511" t="inlineStr">
        <is>
          <t>消费ETF广发</t>
        </is>
      </c>
      <c r="D1511" t="n">
        <v>32172.56</v>
      </c>
      <c r="E1511" t="n">
        <v>32322.56</v>
      </c>
      <c r="F1511" t="n">
        <v>0.728</v>
      </c>
      <c r="G1511" t="n">
        <v>-150</v>
      </c>
      <c r="H1511" t="n">
        <v>2.353083</v>
      </c>
      <c r="I1511" t="n">
        <v>2.330457</v>
      </c>
      <c r="J1511" t="n">
        <v>0.022626</v>
      </c>
      <c r="K1511" s="4">
        <f>IFERROR(J1511/I1511,"")</f>
        <v/>
      </c>
      <c r="L1511" s="4">
        <f>IFERROR((D1511-E1511)/E1511,"")</f>
        <v/>
      </c>
      <c r="M1511" s="19">
        <f>IFERROR(F1511*G1511/10000,"")</f>
        <v/>
      </c>
    </row>
    <row r="1512">
      <c r="A1512" t="inlineStr">
        <is>
          <t>2026-10-30</t>
        </is>
      </c>
      <c r="B1512" t="inlineStr">
        <is>
          <t>560690</t>
        </is>
      </c>
      <c r="C1512" t="inlineStr">
        <is>
          <t>电信ETF鹏华</t>
        </is>
      </c>
      <c r="D1512" t="n">
        <v>2038.9</v>
      </c>
      <c r="E1512" t="n">
        <v>1888.9</v>
      </c>
      <c r="F1512" t="n">
        <v>1.949</v>
      </c>
      <c r="G1512" t="n">
        <v>150</v>
      </c>
      <c r="H1512" t="n">
        <v>0.368147</v>
      </c>
      <c r="I1512" t="n">
        <v>0.403702</v>
      </c>
      <c r="J1512" t="n">
        <v>-0.035555</v>
      </c>
      <c r="K1512" s="4">
        <f>IFERROR(J1512/I1512,"")</f>
        <v/>
      </c>
      <c r="L1512" s="4">
        <f>IFERROR((D1512-E1512)/E1512,"")</f>
        <v/>
      </c>
      <c r="M1512" s="19">
        <f>IFERROR(F1512*G1512/10000,"")</f>
        <v/>
      </c>
    </row>
    <row r="1513">
      <c r="A1513" t="inlineStr">
        <is>
          <t>2026-10-30</t>
        </is>
      </c>
      <c r="B1513" t="inlineStr">
        <is>
          <t>560700</t>
        </is>
      </c>
      <c r="C1513" t="inlineStr">
        <is>
          <t>央企红利ETF广发</t>
        </is>
      </c>
      <c r="D1513" t="n">
        <v>39453.69</v>
      </c>
      <c r="E1513" t="n">
        <v>39453.69</v>
      </c>
      <c r="F1513" t="n">
        <v>1.206</v>
      </c>
      <c r="G1513" t="n">
        <v>0</v>
      </c>
      <c r="H1513" t="n">
        <v>4.758114</v>
      </c>
      <c r="I1513" t="n">
        <v>4.724502</v>
      </c>
      <c r="J1513" t="n">
        <v>0.033612</v>
      </c>
      <c r="K1513" s="4">
        <f>IFERROR(J1513/I1513,"")</f>
        <v/>
      </c>
      <c r="L1513" s="4">
        <f>IFERROR((D1513-E1513)/E1513,"")</f>
        <v/>
      </c>
      <c r="M1513" s="19">
        <f>IFERROR(F1513*G1513/10000,"")</f>
        <v/>
      </c>
    </row>
    <row r="1514">
      <c r="A1514" t="inlineStr">
        <is>
          <t>2026-10-30</t>
        </is>
      </c>
      <c r="B1514" t="inlineStr">
        <is>
          <t>560710</t>
        </is>
      </c>
      <c r="C1514" t="inlineStr">
        <is>
          <t>船舶ETF富国</t>
        </is>
      </c>
      <c r="D1514" t="n">
        <v>161958</v>
      </c>
      <c r="E1514" t="n">
        <v>161858</v>
      </c>
      <c r="F1514" t="n">
        <v>0.889</v>
      </c>
      <c r="G1514" t="n">
        <v>100</v>
      </c>
      <c r="H1514" t="n">
        <v>14.389176</v>
      </c>
      <c r="I1514" t="n">
        <v>14.33747</v>
      </c>
      <c r="J1514" t="n">
        <v>0.051706</v>
      </c>
      <c r="K1514" s="4">
        <f>IFERROR(J1514/I1514,"")</f>
        <v/>
      </c>
      <c r="L1514" s="4">
        <f>IFERROR((D1514-E1514)/E1514,"")</f>
        <v/>
      </c>
      <c r="M1514" s="19">
        <f>IFERROR(F1514*G1514/10000,"")</f>
        <v/>
      </c>
    </row>
    <row r="1515">
      <c r="A1515" t="inlineStr">
        <is>
          <t>2026-10-30</t>
        </is>
      </c>
      <c r="B1515" t="inlineStr">
        <is>
          <t>560720</t>
        </is>
      </c>
      <c r="C1515" t="inlineStr">
        <is>
          <t>红利低波100ETF工银</t>
        </is>
      </c>
      <c r="D1515" t="n">
        <v>7854.8</v>
      </c>
      <c r="E1515" t="n">
        <v>8154.8</v>
      </c>
      <c r="F1515" t="n">
        <v>0.991</v>
      </c>
      <c r="G1515" t="n">
        <v>-300</v>
      </c>
      <c r="H1515" t="n">
        <v>0.808141</v>
      </c>
      <c r="I1515" t="n">
        <v>0.805694</v>
      </c>
      <c r="J1515" t="n">
        <v>0.002447</v>
      </c>
      <c r="K1515" s="4">
        <f>IFERROR(J1515/I1515,"")</f>
        <v/>
      </c>
      <c r="L1515" s="4">
        <f>IFERROR((D1515-E1515)/E1515,"")</f>
        <v/>
      </c>
      <c r="M1515" s="19">
        <f>IFERROR(F1515*G1515/10000,"")</f>
        <v/>
      </c>
    </row>
    <row r="1516">
      <c r="A1516" t="inlineStr">
        <is>
          <t>2026-10-30</t>
        </is>
      </c>
      <c r="B1516" t="inlineStr">
        <is>
          <t>560750</t>
        </is>
      </c>
      <c r="C1516" t="inlineStr">
        <is>
          <t>A500ETF申万菱信</t>
        </is>
      </c>
      <c r="D1516" t="n">
        <v>7555.48</v>
      </c>
      <c r="E1516" t="n">
        <v>7555.48</v>
      </c>
      <c r="F1516" t="n">
        <v>1.148</v>
      </c>
      <c r="G1516" t="n">
        <v>0</v>
      </c>
      <c r="H1516" t="n">
        <v>0.8673689999999999</v>
      </c>
      <c r="I1516" t="n">
        <v>0.879457</v>
      </c>
      <c r="J1516" t="n">
        <v>-0.012088</v>
      </c>
      <c r="K1516" s="4">
        <f>IFERROR(J1516/I1516,"")</f>
        <v/>
      </c>
      <c r="L1516" s="4">
        <f>IFERROR((D1516-E1516)/E1516,"")</f>
        <v/>
      </c>
      <c r="M1516" s="19">
        <f>IFERROR(F1516*G1516/10000,"")</f>
        <v/>
      </c>
    </row>
    <row r="1517">
      <c r="A1517" t="inlineStr">
        <is>
          <t>2026-10-30</t>
        </is>
      </c>
      <c r="B1517" t="inlineStr">
        <is>
          <t>560770</t>
        </is>
      </c>
      <c r="C1517" t="inlineStr">
        <is>
          <t>机器人ETF招商</t>
        </is>
      </c>
      <c r="D1517" t="n">
        <v>166213.3</v>
      </c>
      <c r="E1517" t="n">
        <v>165913.3</v>
      </c>
      <c r="F1517" t="n">
        <v>0.863</v>
      </c>
      <c r="G1517" t="n">
        <v>300</v>
      </c>
      <c r="H1517" t="n">
        <v>14.318318</v>
      </c>
      <c r="I1517" t="n">
        <v>14.833034</v>
      </c>
      <c r="J1517" t="n">
        <v>-0.514716</v>
      </c>
      <c r="K1517" s="4">
        <f>IFERROR(J1517/I1517,"")</f>
        <v/>
      </c>
      <c r="L1517" s="4">
        <f>IFERROR((D1517-E1517)/E1517,"")</f>
        <v/>
      </c>
      <c r="M1517" s="19">
        <f>IFERROR(F1517*G1517/10000,"")</f>
        <v/>
      </c>
    </row>
    <row r="1518">
      <c r="A1518" t="inlineStr">
        <is>
          <t>2026-10-30</t>
        </is>
      </c>
      <c r="B1518" t="inlineStr">
        <is>
          <t>560780</t>
        </is>
      </c>
      <c r="C1518" t="inlineStr">
        <is>
          <t>半导体设备ETF广发</t>
        </is>
      </c>
      <c r="D1518" t="n">
        <v>1161148.8</v>
      </c>
      <c r="E1518" t="n">
        <v>1168948.8</v>
      </c>
      <c r="F1518" t="n">
        <v>0.6919999999999999</v>
      </c>
      <c r="G1518" t="n">
        <v>-7800</v>
      </c>
      <c r="H1518" t="n">
        <v>80.891257</v>
      </c>
      <c r="I1518" t="n">
        <v>87.694562</v>
      </c>
      <c r="J1518" t="n">
        <v>-6.803305</v>
      </c>
      <c r="K1518" s="4">
        <f>IFERROR(J1518/I1518,"")</f>
        <v/>
      </c>
      <c r="L1518" s="4">
        <f>IFERROR((D1518-E1518)/E1518,"")</f>
        <v/>
      </c>
      <c r="M1518" s="19">
        <f>IFERROR(F1518*G1518/10000,"")</f>
        <v/>
      </c>
    </row>
    <row r="1519">
      <c r="A1519" t="inlineStr">
        <is>
          <t>2026-10-30</t>
        </is>
      </c>
      <c r="B1519" t="inlineStr">
        <is>
          <t>560790</t>
        </is>
      </c>
      <c r="C1519" t="inlineStr">
        <is>
          <t>软件ETF鹏华</t>
        </is>
      </c>
      <c r="D1519" t="n">
        <v>21045.59</v>
      </c>
      <c r="E1519" t="n">
        <v>20945.59</v>
      </c>
      <c r="F1519" t="n">
        <v>0.748</v>
      </c>
      <c r="G1519" t="n">
        <v>100</v>
      </c>
      <c r="H1519" t="n">
        <v>1.56673</v>
      </c>
      <c r="I1519" t="n">
        <v>1.617</v>
      </c>
      <c r="J1519" t="n">
        <v>-0.05027</v>
      </c>
      <c r="K1519" s="4">
        <f>IFERROR(J1519/I1519,"")</f>
        <v/>
      </c>
      <c r="L1519" s="4">
        <f>IFERROR((D1519-E1519)/E1519,"")</f>
        <v/>
      </c>
      <c r="M1519" s="19">
        <f>IFERROR(F1519*G1519/10000,"")</f>
        <v/>
      </c>
    </row>
    <row r="1520">
      <c r="A1520" t="inlineStr">
        <is>
          <t>2026-10-30</t>
        </is>
      </c>
      <c r="B1520" t="inlineStr">
        <is>
          <t>560800</t>
        </is>
      </c>
      <c r="C1520" t="inlineStr">
        <is>
          <t>数字经济ETF鹏扬</t>
        </is>
      </c>
      <c r="D1520" t="n">
        <v>30795.11</v>
      </c>
      <c r="E1520" t="n">
        <v>30595.11</v>
      </c>
      <c r="F1520" t="n">
        <v>0.913</v>
      </c>
      <c r="G1520" t="n">
        <v>200</v>
      </c>
      <c r="H1520" t="n">
        <v>2.793334</v>
      </c>
      <c r="I1520" t="n">
        <v>2.897357</v>
      </c>
      <c r="J1520" t="n">
        <v>-0.104023</v>
      </c>
      <c r="K1520" s="4">
        <f>IFERROR(J1520/I1520,"")</f>
        <v/>
      </c>
      <c r="L1520" s="4">
        <f>IFERROR((D1520-E1520)/E1520,"")</f>
        <v/>
      </c>
      <c r="M1520" s="19">
        <f>IFERROR(F1520*G1520/10000,"")</f>
        <v/>
      </c>
    </row>
    <row r="1521">
      <c r="A1521" t="inlineStr">
        <is>
          <t>2026-10-30</t>
        </is>
      </c>
      <c r="B1521" t="inlineStr">
        <is>
          <t>560810</t>
        </is>
      </c>
      <c r="C1521" t="inlineStr">
        <is>
          <t>央企ESGETF融通</t>
        </is>
      </c>
      <c r="D1521" t="n">
        <v>17611.6</v>
      </c>
      <c r="E1521" t="n">
        <v>17611.6</v>
      </c>
      <c r="F1521" t="n">
        <v>1.224</v>
      </c>
      <c r="G1521" t="n">
        <v>0</v>
      </c>
      <c r="H1521" t="n">
        <v>2.15566</v>
      </c>
      <c r="I1521" t="n">
        <v>2.146854</v>
      </c>
      <c r="J1521" t="n">
        <v>0.008806</v>
      </c>
      <c r="K1521" s="4">
        <f>IFERROR(J1521/I1521,"")</f>
        <v/>
      </c>
      <c r="L1521" s="4">
        <f>IFERROR((D1521-E1521)/E1521,"")</f>
        <v/>
      </c>
      <c r="M1521" s="19">
        <f>IFERROR(F1521*G1521/10000,"")</f>
        <v/>
      </c>
    </row>
    <row r="1522">
      <c r="A1522" t="inlineStr">
        <is>
          <t>2026-10-30</t>
        </is>
      </c>
      <c r="B1522" t="inlineStr">
        <is>
          <t>560820</t>
        </is>
      </c>
      <c r="C1522" t="inlineStr">
        <is>
          <t>中证A50ETF新华</t>
        </is>
      </c>
      <c r="D1522" t="n">
        <v>4092.6</v>
      </c>
      <c r="E1522" t="n">
        <v>4092.6</v>
      </c>
      <c r="F1522" t="n">
        <v>1.078</v>
      </c>
      <c r="G1522" t="n">
        <v>0</v>
      </c>
      <c r="H1522" t="n">
        <v>0.441182</v>
      </c>
      <c r="I1522" t="n">
        <v>0.439955</v>
      </c>
      <c r="J1522" t="n">
        <v>0.001227</v>
      </c>
      <c r="K1522" s="4">
        <f>IFERROR(J1522/I1522,"")</f>
        <v/>
      </c>
      <c r="L1522" s="4">
        <f>IFERROR((D1522-E1522)/E1522,"")</f>
        <v/>
      </c>
      <c r="M1522" s="19">
        <f>IFERROR(F1522*G1522/10000,"")</f>
        <v/>
      </c>
    </row>
    <row r="1523">
      <c r="A1523" t="inlineStr">
        <is>
          <t>2026-10-30</t>
        </is>
      </c>
      <c r="B1523" t="inlineStr">
        <is>
          <t>560830</t>
        </is>
      </c>
      <c r="C1523" t="inlineStr">
        <is>
          <t>电力ETF华夏</t>
        </is>
      </c>
      <c r="D1523" t="n">
        <v>61551.9</v>
      </c>
      <c r="E1523" t="n">
        <v>61851.9</v>
      </c>
      <c r="F1523" t="n">
        <v>0.895</v>
      </c>
      <c r="G1523" t="n">
        <v>-300</v>
      </c>
      <c r="H1523" t="n">
        <v>5.535745</v>
      </c>
      <c r="I1523" t="n">
        <v>5.499569</v>
      </c>
      <c r="J1523" t="n">
        <v>0.036176</v>
      </c>
      <c r="K1523" s="4">
        <f>IFERROR(J1523/I1523,"")</f>
        <v/>
      </c>
      <c r="L1523" s="4">
        <f>IFERROR((D1523-E1523)/E1523,"")</f>
        <v/>
      </c>
      <c r="M1523" s="19">
        <f>IFERROR(F1523*G1523/10000,"")</f>
        <v/>
      </c>
    </row>
    <row r="1524">
      <c r="A1524" t="inlineStr">
        <is>
          <t>2026-10-30</t>
        </is>
      </c>
      <c r="B1524" t="inlineStr">
        <is>
          <t>560850</t>
        </is>
      </c>
      <c r="C1524" t="inlineStr">
        <is>
          <t>信创ETF汇添富</t>
        </is>
      </c>
      <c r="D1524" t="n">
        <v>7416.4</v>
      </c>
      <c r="E1524" t="n">
        <v>7216.4</v>
      </c>
      <c r="F1524" t="n">
        <v>1.145</v>
      </c>
      <c r="G1524" t="n">
        <v>200</v>
      </c>
      <c r="H1524" t="n">
        <v>0.826278</v>
      </c>
      <c r="I1524" t="n">
        <v>0.864525</v>
      </c>
      <c r="J1524" t="n">
        <v>-0.038247</v>
      </c>
      <c r="K1524" s="4">
        <f>IFERROR(J1524/I1524,"")</f>
        <v/>
      </c>
      <c r="L1524" s="4">
        <f>IFERROR((D1524-E1524)/E1524,"")</f>
        <v/>
      </c>
      <c r="M1524" s="19">
        <f>IFERROR(F1524*G1524/10000,"")</f>
        <v/>
      </c>
    </row>
    <row r="1525">
      <c r="A1525" t="inlineStr">
        <is>
          <t>2026-10-30</t>
        </is>
      </c>
      <c r="B1525" t="inlineStr">
        <is>
          <t>560860</t>
        </is>
      </c>
      <c r="C1525" t="inlineStr">
        <is>
          <t>工业有色ETF万家</t>
        </is>
      </c>
      <c r="D1525" t="n">
        <v>463123.3</v>
      </c>
      <c r="E1525" t="n">
        <v>465923.3</v>
      </c>
      <c r="F1525" t="n">
        <v>1.288</v>
      </c>
      <c r="G1525" t="n">
        <v>-2800</v>
      </c>
      <c r="H1525" t="n">
        <v>60.010921</v>
      </c>
      <c r="I1525" t="n">
        <v>62.134219</v>
      </c>
      <c r="J1525" t="n">
        <v>-2.123298</v>
      </c>
      <c r="K1525" s="4">
        <f>IFERROR(J1525/I1525,"")</f>
        <v/>
      </c>
      <c r="L1525" s="4">
        <f>IFERROR((D1525-E1525)/E1525,"")</f>
        <v/>
      </c>
      <c r="M1525" s="19">
        <f>IFERROR(F1525*G1525/10000,"")</f>
        <v/>
      </c>
    </row>
    <row r="1526">
      <c r="A1526" t="inlineStr">
        <is>
          <t>2026-10-30</t>
        </is>
      </c>
      <c r="B1526" t="inlineStr">
        <is>
          <t>560870</t>
        </is>
      </c>
      <c r="C1526" t="inlineStr">
        <is>
          <t>工业有色ETF中银</t>
        </is>
      </c>
      <c r="D1526" t="n">
        <v>12335.19</v>
      </c>
      <c r="E1526" t="n">
        <v>12335.19</v>
      </c>
      <c r="F1526" t="n">
        <v>0.74</v>
      </c>
      <c r="G1526" t="n">
        <v>0</v>
      </c>
      <c r="H1526" t="n">
        <v>0.9128039999999999</v>
      </c>
      <c r="I1526" t="n">
        <v>0.912566</v>
      </c>
      <c r="J1526" t="n">
        <v>0.000238</v>
      </c>
      <c r="K1526" s="4">
        <f>IFERROR(J1526/I1526,"")</f>
        <v/>
      </c>
      <c r="L1526" s="4">
        <f>IFERROR((D1526-E1526)/E1526,"")</f>
        <v/>
      </c>
      <c r="M1526" s="19">
        <f>IFERROR(F1526*G1526/10000,"")</f>
        <v/>
      </c>
    </row>
    <row r="1527">
      <c r="A1527" t="inlineStr">
        <is>
          <t>2026-10-30</t>
        </is>
      </c>
      <c r="B1527" t="inlineStr">
        <is>
          <t>560880</t>
        </is>
      </c>
      <c r="C1527" t="inlineStr">
        <is>
          <t>家电ETF广发</t>
        </is>
      </c>
      <c r="D1527" t="n">
        <v>16823.2</v>
      </c>
      <c r="E1527" t="n">
        <v>16973.2</v>
      </c>
      <c r="F1527" t="n">
        <v>1.415</v>
      </c>
      <c r="G1527" t="n">
        <v>-150</v>
      </c>
      <c r="H1527" t="n">
        <v>2.401708</v>
      </c>
      <c r="I1527" t="n">
        <v>2.43226</v>
      </c>
      <c r="J1527" t="n">
        <v>-0.030552</v>
      </c>
      <c r="K1527" s="4">
        <f>IFERROR(J1527/I1527,"")</f>
        <v/>
      </c>
      <c r="L1527" s="4">
        <f>IFERROR((D1527-E1527)/E1527,"")</f>
        <v/>
      </c>
      <c r="M1527" s="19">
        <f>IFERROR(F1527*G1527/10000,"")</f>
        <v/>
      </c>
    </row>
    <row r="1528">
      <c r="A1528" t="inlineStr">
        <is>
          <t>2026-10-30</t>
        </is>
      </c>
      <c r="B1528" t="inlineStr">
        <is>
          <t>560900</t>
        </is>
      </c>
      <c r="C1528" t="inlineStr">
        <is>
          <t>创新药ETF摩根</t>
        </is>
      </c>
      <c r="D1528" t="n">
        <v>20196.91</v>
      </c>
      <c r="E1528" t="n">
        <v>20196.91</v>
      </c>
      <c r="F1528" t="n">
        <v>0.845</v>
      </c>
      <c r="G1528" t="n">
        <v>0</v>
      </c>
      <c r="H1528" t="n">
        <v>1.706639</v>
      </c>
      <c r="I1528" t="n">
        <v>1.718757</v>
      </c>
      <c r="J1528" t="n">
        <v>-0.012118</v>
      </c>
      <c r="K1528" s="4">
        <f>IFERROR(J1528/I1528,"")</f>
        <v/>
      </c>
      <c r="L1528" s="4">
        <f>IFERROR((D1528-E1528)/E1528,"")</f>
        <v/>
      </c>
      <c r="M1528" s="19">
        <f>IFERROR(F1528*G1528/10000,"")</f>
        <v/>
      </c>
    </row>
    <row r="1529">
      <c r="A1529" t="inlineStr">
        <is>
          <t>2026-10-30</t>
        </is>
      </c>
      <c r="B1529" t="inlineStr">
        <is>
          <t>560910</t>
        </is>
      </c>
      <c r="C1529" t="inlineStr">
        <is>
          <t>电池ETF华泰柏瑞</t>
        </is>
      </c>
      <c r="D1529" t="n">
        <v>22272.1</v>
      </c>
      <c r="E1529" t="n">
        <v>22372.1</v>
      </c>
      <c r="F1529" t="n">
        <v>0.582</v>
      </c>
      <c r="G1529" t="n">
        <v>-100</v>
      </c>
      <c r="H1529" t="n">
        <v>1.302056</v>
      </c>
      <c r="I1529" t="n">
        <v>1.343832</v>
      </c>
      <c r="J1529" t="n">
        <v>-0.041776</v>
      </c>
      <c r="K1529" s="4">
        <f>IFERROR(J1529/I1529,"")</f>
        <v/>
      </c>
      <c r="L1529" s="4">
        <f>IFERROR((D1529-E1529)/E1529,"")</f>
        <v/>
      </c>
      <c r="M1529" s="19">
        <f>IFERROR(F1529*G1529/10000,"")</f>
        <v/>
      </c>
    </row>
    <row r="1530">
      <c r="A1530" t="inlineStr">
        <is>
          <t>2026-10-30</t>
        </is>
      </c>
      <c r="B1530" t="inlineStr">
        <is>
          <t>560930</t>
        </is>
      </c>
      <c r="C1530" t="inlineStr">
        <is>
          <t>电力ETF易方达</t>
        </is>
      </c>
      <c r="D1530" t="n">
        <v>19702.4</v>
      </c>
      <c r="E1530" t="n">
        <v>19802.4</v>
      </c>
      <c r="F1530" t="n">
        <v>0.876</v>
      </c>
      <c r="G1530" t="n">
        <v>-100</v>
      </c>
      <c r="H1530" t="n">
        <v>1.73469</v>
      </c>
      <c r="I1530" t="n">
        <v>1.729519</v>
      </c>
      <c r="J1530" t="n">
        <v>0.005171</v>
      </c>
      <c r="K1530" s="4">
        <f>IFERROR(J1530/I1530,"")</f>
        <v/>
      </c>
      <c r="L1530" s="4">
        <f>IFERROR((D1530-E1530)/E1530,"")</f>
        <v/>
      </c>
      <c r="M1530" s="19">
        <f>IFERROR(F1530*G1530/10000,"")</f>
        <v/>
      </c>
    </row>
    <row r="1531">
      <c r="A1531" t="inlineStr">
        <is>
          <t>2026-10-30</t>
        </is>
      </c>
      <c r="B1531" t="inlineStr">
        <is>
          <t>560950</t>
        </is>
      </c>
      <c r="C1531" t="inlineStr">
        <is>
          <t>中证500增强ETF汇添富</t>
        </is>
      </c>
      <c r="D1531" t="n">
        <v>1548.3</v>
      </c>
      <c r="E1531" t="n">
        <v>1748.3</v>
      </c>
      <c r="F1531" t="n">
        <v>1.157</v>
      </c>
      <c r="G1531" t="n">
        <v>-200</v>
      </c>
      <c r="H1531" t="n">
        <v>0.202278</v>
      </c>
      <c r="I1531" t="n">
        <v>0.185177</v>
      </c>
      <c r="J1531" t="n">
        <v>0.017101</v>
      </c>
      <c r="K1531" s="4">
        <f>IFERROR(J1531/I1531,"")</f>
        <v/>
      </c>
      <c r="L1531" s="4">
        <f>IFERROR((D1531-E1531)/E1531,"")</f>
        <v/>
      </c>
      <c r="M1531" s="19">
        <f>IFERROR(F1531*G1531/10000,"")</f>
        <v/>
      </c>
    </row>
    <row r="1532">
      <c r="A1532" t="inlineStr">
        <is>
          <t>2026-10-30</t>
        </is>
      </c>
      <c r="B1532" t="inlineStr">
        <is>
          <t>560970</t>
        </is>
      </c>
      <c r="C1532" t="inlineStr">
        <is>
          <t>工业有色ETF平安</t>
        </is>
      </c>
      <c r="D1532" t="n">
        <v>6813.8</v>
      </c>
      <c r="E1532" t="n">
        <v>6813.8</v>
      </c>
      <c r="F1532" t="n">
        <v>0.754</v>
      </c>
      <c r="G1532" t="n">
        <v>0</v>
      </c>
      <c r="H1532" t="n">
        <v>0.513761</v>
      </c>
      <c r="I1532" t="n">
        <v>0.5233</v>
      </c>
      <c r="J1532" t="n">
        <v>-0.009539000000000001</v>
      </c>
      <c r="K1532" s="4">
        <f>IFERROR(J1532/I1532,"")</f>
        <v/>
      </c>
      <c r="L1532" s="4">
        <f>IFERROR((D1532-E1532)/E1532,"")</f>
        <v/>
      </c>
      <c r="M1532" s="19">
        <f>IFERROR(F1532*G1532/10000,"")</f>
        <v/>
      </c>
    </row>
    <row r="1533">
      <c r="A1533" t="inlineStr">
        <is>
          <t>2026-10-30</t>
        </is>
      </c>
      <c r="B1533" t="inlineStr">
        <is>
          <t>560980</t>
        </is>
      </c>
      <c r="C1533" t="inlineStr">
        <is>
          <t>光伏龙头ETF广发</t>
        </is>
      </c>
      <c r="D1533" t="n">
        <v>33152.2</v>
      </c>
      <c r="E1533" t="n">
        <v>33452.2</v>
      </c>
      <c r="F1533" t="n">
        <v>0.517</v>
      </c>
      <c r="G1533" t="n">
        <v>-300</v>
      </c>
      <c r="H1533" t="n">
        <v>1.729479</v>
      </c>
      <c r="I1533" t="n">
        <v>1.74955</v>
      </c>
      <c r="J1533" t="n">
        <v>-0.020071</v>
      </c>
      <c r="K1533" s="4">
        <f>IFERROR(J1533/I1533,"")</f>
        <v/>
      </c>
      <c r="L1533" s="4">
        <f>IFERROR((D1533-E1533)/E1533,"")</f>
        <v/>
      </c>
      <c r="M1533" s="19">
        <f>IFERROR(F1533*G1533/10000,"")</f>
        <v/>
      </c>
    </row>
    <row r="1534">
      <c r="A1534" t="inlineStr">
        <is>
          <t>2026-10-30</t>
        </is>
      </c>
      <c r="B1534" t="inlineStr">
        <is>
          <t>560990</t>
        </is>
      </c>
      <c r="C1534" t="inlineStr">
        <is>
          <t>科技先锋ETF中金</t>
        </is>
      </c>
      <c r="D1534" t="n">
        <v>1818.71</v>
      </c>
      <c r="E1534" t="n">
        <v>1818.71</v>
      </c>
      <c r="F1534" t="n">
        <v>0.909</v>
      </c>
      <c r="G1534" t="n">
        <v>0</v>
      </c>
      <c r="H1534" t="n">
        <v>0.165321</v>
      </c>
      <c r="I1534" t="n">
        <v>0.169322</v>
      </c>
      <c r="J1534" t="n">
        <v>-0.004001</v>
      </c>
      <c r="K1534" s="4">
        <f>IFERROR(J1534/I1534,"")</f>
        <v/>
      </c>
      <c r="L1534" s="4">
        <f>IFERROR((D1534-E1534)/E1534,"")</f>
        <v/>
      </c>
      <c r="M1534" s="19">
        <f>IFERROR(F1534*G1534/10000,"")</f>
        <v/>
      </c>
    </row>
    <row r="1535">
      <c r="A1535" t="inlineStr">
        <is>
          <t>2026-10-30</t>
        </is>
      </c>
      <c r="B1535" t="inlineStr">
        <is>
          <t>561000</t>
        </is>
      </c>
      <c r="C1535" t="inlineStr">
        <is>
          <t>沪深300增强ETF华安</t>
        </is>
      </c>
      <c r="D1535" t="n">
        <v>5492</v>
      </c>
      <c r="E1535" t="n">
        <v>5492</v>
      </c>
      <c r="F1535" t="n">
        <v>1.179</v>
      </c>
      <c r="G1535" t="n">
        <v>0</v>
      </c>
      <c r="H1535" t="n">
        <v>0.6475070000000001</v>
      </c>
      <c r="I1535" t="n">
        <v>0.650253</v>
      </c>
      <c r="J1535" t="n">
        <v>-0.002746</v>
      </c>
      <c r="K1535" s="4">
        <f>IFERROR(J1535/I1535,"")</f>
        <v/>
      </c>
      <c r="L1535" s="4">
        <f>IFERROR((D1535-E1535)/E1535,"")</f>
        <v/>
      </c>
      <c r="M1535" s="19">
        <f>IFERROR(F1535*G1535/10000,"")</f>
        <v/>
      </c>
    </row>
    <row r="1536">
      <c r="A1536" t="inlineStr">
        <is>
          <t>2026-10-30</t>
        </is>
      </c>
      <c r="B1536" t="inlineStr">
        <is>
          <t>561010</t>
        </is>
      </c>
      <c r="C1536" t="inlineStr">
        <is>
          <t>软件ETF华安</t>
        </is>
      </c>
      <c r="D1536" t="n">
        <v>30235.6</v>
      </c>
      <c r="E1536" t="n">
        <v>30035.6</v>
      </c>
      <c r="F1536" t="n">
        <v>0.796</v>
      </c>
      <c r="G1536" t="n">
        <v>200</v>
      </c>
      <c r="H1536" t="n">
        <v>2.390834</v>
      </c>
      <c r="I1536" t="n">
        <v>2.411937</v>
      </c>
      <c r="J1536" t="n">
        <v>-0.021103</v>
      </c>
      <c r="K1536" s="4">
        <f>IFERROR(J1536/I1536,"")</f>
        <v/>
      </c>
      <c r="L1536" s="4">
        <f>IFERROR((D1536-E1536)/E1536,"")</f>
        <v/>
      </c>
      <c r="M1536" s="19">
        <f>IFERROR(F1536*G1536/10000,"")</f>
        <v/>
      </c>
    </row>
    <row r="1537">
      <c r="A1537" t="inlineStr">
        <is>
          <t>2026-10-30</t>
        </is>
      </c>
      <c r="B1537" t="inlineStr">
        <is>
          <t>561030</t>
        </is>
      </c>
      <c r="C1537" t="inlineStr">
        <is>
          <t>工程机械ETF华泰柏瑞</t>
        </is>
      </c>
      <c r="D1537" t="n">
        <v>18155</v>
      </c>
      <c r="E1537" t="n">
        <v>18255</v>
      </c>
      <c r="F1537" t="n">
        <v>0.777</v>
      </c>
      <c r="G1537" t="n">
        <v>-100</v>
      </c>
      <c r="H1537" t="n">
        <v>1.418414</v>
      </c>
      <c r="I1537" t="n">
        <v>1.438494</v>
      </c>
      <c r="J1537" t="n">
        <v>-0.02008</v>
      </c>
      <c r="K1537" s="4">
        <f>IFERROR(J1537/I1537,"")</f>
        <v/>
      </c>
      <c r="L1537" s="4">
        <f>IFERROR((D1537-E1537)/E1537,"")</f>
        <v/>
      </c>
      <c r="M1537" s="19">
        <f>IFERROR(F1537*G1537/10000,"")</f>
        <v/>
      </c>
    </row>
    <row r="1538">
      <c r="A1538" t="inlineStr">
        <is>
          <t>2026-10-30</t>
        </is>
      </c>
      <c r="B1538" t="inlineStr">
        <is>
          <t>561050</t>
        </is>
      </c>
      <c r="C1538" t="inlineStr">
        <is>
          <t>稀有金属ETF易方达</t>
        </is>
      </c>
      <c r="D1538" t="n">
        <v>23525</v>
      </c>
      <c r="E1538" t="n">
        <v>23625</v>
      </c>
      <c r="F1538" t="n">
        <v>0.66</v>
      </c>
      <c r="G1538" t="n">
        <v>-100</v>
      </c>
      <c r="H1538" t="n">
        <v>1.55925</v>
      </c>
      <c r="I1538" t="n">
        <v>1.606183</v>
      </c>
      <c r="J1538" t="n">
        <v>-0.046933</v>
      </c>
      <c r="K1538" s="4">
        <f>IFERROR(J1538/I1538,"")</f>
        <v/>
      </c>
      <c r="L1538" s="4">
        <f>IFERROR((D1538-E1538)/E1538,"")</f>
        <v/>
      </c>
      <c r="M1538" s="19">
        <f>IFERROR(F1538*G1538/10000,"")</f>
        <v/>
      </c>
    </row>
    <row r="1539">
      <c r="A1539" t="inlineStr">
        <is>
          <t>2026-10-30</t>
        </is>
      </c>
      <c r="B1539" t="inlineStr">
        <is>
          <t>561060</t>
        </is>
      </c>
      <c r="C1539" t="inlineStr">
        <is>
          <t>国企红利ETF华安</t>
        </is>
      </c>
      <c r="D1539" t="n">
        <v>4306.5</v>
      </c>
      <c r="E1539" t="n">
        <v>4306.5</v>
      </c>
      <c r="F1539" t="n">
        <v>1.171</v>
      </c>
      <c r="G1539" t="n">
        <v>0</v>
      </c>
      <c r="H1539" t="n">
        <v>0.504291</v>
      </c>
      <c r="I1539" t="n">
        <v>0.499554</v>
      </c>
      <c r="J1539" t="n">
        <v>0.004737</v>
      </c>
      <c r="K1539" s="4">
        <f>IFERROR(J1539/I1539,"")</f>
        <v/>
      </c>
      <c r="L1539" s="4">
        <f>IFERROR((D1539-E1539)/E1539,"")</f>
        <v/>
      </c>
      <c r="M1539" s="19">
        <f>IFERROR(F1539*G1539/10000,"")</f>
        <v/>
      </c>
    </row>
    <row r="1540">
      <c r="A1540" t="inlineStr">
        <is>
          <t>2026-10-30</t>
        </is>
      </c>
      <c r="B1540" t="inlineStr">
        <is>
          <t>561080</t>
        </is>
      </c>
      <c r="C1540" t="inlineStr">
        <is>
          <t>全指现金流ETF华安</t>
        </is>
      </c>
      <c r="D1540" t="n">
        <v>2625</v>
      </c>
      <c r="E1540" t="n">
        <v>2625</v>
      </c>
      <c r="F1540" t="n">
        <v>1.121</v>
      </c>
      <c r="G1540" t="n">
        <v>0</v>
      </c>
      <c r="H1540" t="n">
        <v>0.294263</v>
      </c>
      <c r="I1540" t="n">
        <v>0.294525</v>
      </c>
      <c r="J1540" t="n">
        <v>-0.000262</v>
      </c>
      <c r="K1540" s="4">
        <f>IFERROR(J1540/I1540,"")</f>
        <v/>
      </c>
      <c r="L1540" s="4">
        <f>IFERROR((D1540-E1540)/E1540,"")</f>
        <v/>
      </c>
      <c r="M1540" s="19">
        <f>IFERROR(F1540*G1540/10000,"")</f>
        <v/>
      </c>
    </row>
    <row r="1541">
      <c r="A1541" t="inlineStr">
        <is>
          <t>2026-10-30</t>
        </is>
      </c>
      <c r="B1541" t="inlineStr">
        <is>
          <t>561090</t>
        </is>
      </c>
      <c r="C1541" t="inlineStr">
        <is>
          <t>A500增强ETF华安</t>
        </is>
      </c>
      <c r="D1541" t="n">
        <v>21597.4</v>
      </c>
      <c r="E1541" t="n">
        <v>21597.4</v>
      </c>
      <c r="F1541" t="n">
        <v>1.046</v>
      </c>
      <c r="G1541" t="n">
        <v>0</v>
      </c>
      <c r="H1541" t="n">
        <v>2.259088</v>
      </c>
      <c r="I1541" t="n">
        <v>2.297963</v>
      </c>
      <c r="J1541" t="n">
        <v>-0.038875</v>
      </c>
      <c r="K1541" s="4">
        <f>IFERROR(J1541/I1541,"")</f>
        <v/>
      </c>
      <c r="L1541" s="4">
        <f>IFERROR((D1541-E1541)/E1541,"")</f>
        <v/>
      </c>
      <c r="M1541" s="19">
        <f>IFERROR(F1541*G1541/10000,"")</f>
        <v/>
      </c>
    </row>
    <row r="1542">
      <c r="A1542" t="inlineStr">
        <is>
          <t>2026-10-30</t>
        </is>
      </c>
      <c r="B1542" t="inlineStr">
        <is>
          <t>561100</t>
        </is>
      </c>
      <c r="C1542" t="inlineStr">
        <is>
          <t>消费电子ETF富国</t>
        </is>
      </c>
      <c r="D1542" t="n">
        <v>55674.69</v>
      </c>
      <c r="E1542" t="n">
        <v>55674.69</v>
      </c>
      <c r="F1542" t="n">
        <v>1.245</v>
      </c>
      <c r="G1542" t="n">
        <v>0</v>
      </c>
      <c r="H1542" t="n">
        <v>6.931499</v>
      </c>
      <c r="I1542" t="n">
        <v>7.371985</v>
      </c>
      <c r="J1542" t="n">
        <v>-0.440486</v>
      </c>
      <c r="K1542" s="4">
        <f>IFERROR(J1542/I1542,"")</f>
        <v/>
      </c>
      <c r="L1542" s="4">
        <f>IFERROR((D1542-E1542)/E1542,"")</f>
        <v/>
      </c>
      <c r="M1542" s="19">
        <f>IFERROR(F1542*G1542/10000,"")</f>
        <v/>
      </c>
    </row>
    <row r="1543">
      <c r="A1543" t="inlineStr">
        <is>
          <t>2026-10-30</t>
        </is>
      </c>
      <c r="B1543" t="inlineStr">
        <is>
          <t>561120</t>
        </is>
      </c>
      <c r="C1543" t="inlineStr">
        <is>
          <t>家电ETF富国</t>
        </is>
      </c>
      <c r="D1543" t="n">
        <v>2815.99</v>
      </c>
      <c r="E1543" t="n">
        <v>2815.99</v>
      </c>
      <c r="F1543" t="n">
        <v>1.165</v>
      </c>
      <c r="G1543" t="n">
        <v>0</v>
      </c>
      <c r="H1543" t="n">
        <v>0.328063</v>
      </c>
      <c r="I1543" t="n">
        <v>0.331442</v>
      </c>
      <c r="J1543" t="n">
        <v>-0.003379</v>
      </c>
      <c r="K1543" s="4">
        <f>IFERROR(J1543/I1543,"")</f>
        <v/>
      </c>
      <c r="L1543" s="4">
        <f>IFERROR((D1543-E1543)/E1543,"")</f>
        <v/>
      </c>
      <c r="M1543" s="19">
        <f>IFERROR(F1543*G1543/10000,"")</f>
        <v/>
      </c>
    </row>
    <row r="1544">
      <c r="A1544" t="inlineStr">
        <is>
          <t>2026-10-30</t>
        </is>
      </c>
      <c r="B1544" t="inlineStr">
        <is>
          <t>561130</t>
        </is>
      </c>
      <c r="C1544" t="inlineStr">
        <is>
          <t>国货ETF富国</t>
        </is>
      </c>
      <c r="D1544" t="n">
        <v>8393.52</v>
      </c>
      <c r="E1544" t="n">
        <v>8393.52</v>
      </c>
      <c r="F1544" t="n">
        <v>0.887</v>
      </c>
      <c r="G1544" t="n">
        <v>0</v>
      </c>
      <c r="H1544" t="n">
        <v>0.744506</v>
      </c>
      <c r="I1544" t="n">
        <v>0.749542</v>
      </c>
      <c r="J1544" t="n">
        <v>-0.005036</v>
      </c>
      <c r="K1544" s="4">
        <f>IFERROR(J1544/I1544,"")</f>
        <v/>
      </c>
      <c r="L1544" s="4">
        <f>IFERROR((D1544-E1544)/E1544,"")</f>
        <v/>
      </c>
      <c r="M1544" s="19">
        <f>IFERROR(F1544*G1544/10000,"")</f>
        <v/>
      </c>
    </row>
    <row r="1545">
      <c r="A1545" t="inlineStr">
        <is>
          <t>2026-10-30</t>
        </is>
      </c>
      <c r="B1545" t="inlineStr">
        <is>
          <t>561160</t>
        </is>
      </c>
      <c r="C1545" t="inlineStr">
        <is>
          <t>电池ETF富国</t>
        </is>
      </c>
      <c r="D1545" t="n">
        <v>233483.5</v>
      </c>
      <c r="E1545" t="n">
        <v>233783.5</v>
      </c>
      <c r="F1545" t="n">
        <v>0.5600000000000001</v>
      </c>
      <c r="G1545" t="n">
        <v>-300</v>
      </c>
      <c r="H1545" t="n">
        <v>13.091876</v>
      </c>
      <c r="I1545" t="n">
        <v>13.48321</v>
      </c>
      <c r="J1545" t="n">
        <v>-0.391334</v>
      </c>
      <c r="K1545" s="4">
        <f>IFERROR(J1545/I1545,"")</f>
        <v/>
      </c>
      <c r="L1545" s="4">
        <f>IFERROR((D1545-E1545)/E1545,"")</f>
        <v/>
      </c>
      <c r="M1545" s="19">
        <f>IFERROR(F1545*G1545/10000,"")</f>
        <v/>
      </c>
    </row>
    <row r="1546">
      <c r="A1546" t="inlineStr">
        <is>
          <t>2026-10-30</t>
        </is>
      </c>
      <c r="B1546" t="inlineStr">
        <is>
          <t>561170</t>
        </is>
      </c>
      <c r="C1546" t="inlineStr">
        <is>
          <t>绿色电力ETF富国</t>
        </is>
      </c>
      <c r="D1546" t="n">
        <v>44953.27</v>
      </c>
      <c r="E1546" t="n">
        <v>45153.27</v>
      </c>
      <c r="F1546" t="n">
        <v>1.147</v>
      </c>
      <c r="G1546" t="n">
        <v>-200</v>
      </c>
      <c r="H1546" t="n">
        <v>5.17908</v>
      </c>
      <c r="I1546" t="n">
        <v>5.160071</v>
      </c>
      <c r="J1546" t="n">
        <v>0.019009</v>
      </c>
      <c r="K1546" s="4">
        <f>IFERROR(J1546/I1546,"")</f>
        <v/>
      </c>
      <c r="L1546" s="4">
        <f>IFERROR((D1546-E1546)/E1546,"")</f>
        <v/>
      </c>
      <c r="M1546" s="19">
        <f>IFERROR(F1546*G1546/10000,"")</f>
        <v/>
      </c>
    </row>
    <row r="1547">
      <c r="A1547" t="inlineStr">
        <is>
          <t>2026-10-30</t>
        </is>
      </c>
      <c r="B1547" t="inlineStr">
        <is>
          <t>561180</t>
        </is>
      </c>
      <c r="C1547" t="inlineStr">
        <is>
          <t>A100ETF富国</t>
        </is>
      </c>
      <c r="D1547" t="n">
        <v>5160.96</v>
      </c>
      <c r="E1547" t="n">
        <v>5160.96</v>
      </c>
      <c r="F1547" t="n">
        <v>1.143</v>
      </c>
      <c r="G1547" t="n">
        <v>0</v>
      </c>
      <c r="H1547" t="n">
        <v>0.589898</v>
      </c>
      <c r="I1547" t="n">
        <v>0.596091</v>
      </c>
      <c r="J1547" t="n">
        <v>-0.006193</v>
      </c>
      <c r="K1547" s="4">
        <f>IFERROR(J1547/I1547,"")</f>
        <v/>
      </c>
      <c r="L1547" s="4">
        <f>IFERROR((D1547-E1547)/E1547,"")</f>
        <v/>
      </c>
      <c r="M1547" s="19">
        <f>IFERROR(F1547*G1547/10000,"")</f>
        <v/>
      </c>
    </row>
    <row r="1548">
      <c r="A1548" t="inlineStr">
        <is>
          <t>2026-10-30</t>
        </is>
      </c>
      <c r="B1548" t="inlineStr">
        <is>
          <t>561190</t>
        </is>
      </c>
      <c r="C1548" t="inlineStr">
        <is>
          <t>碳中和ETF富国</t>
        </is>
      </c>
      <c r="D1548" t="n">
        <v>19831.8</v>
      </c>
      <c r="E1548" t="n">
        <v>19831.8</v>
      </c>
      <c r="F1548" t="n">
        <v>0.8169999999999999</v>
      </c>
      <c r="G1548" t="n">
        <v>0</v>
      </c>
      <c r="H1548" t="n">
        <v>1.620258</v>
      </c>
      <c r="I1548" t="n">
        <v>1.630174</v>
      </c>
      <c r="J1548" t="n">
        <v>-0.009915999999999999</v>
      </c>
      <c r="K1548" s="4">
        <f>IFERROR(J1548/I1548,"")</f>
        <v/>
      </c>
      <c r="L1548" s="4">
        <f>IFERROR((D1548-E1548)/E1548,"")</f>
        <v/>
      </c>
      <c r="M1548" s="19">
        <f>IFERROR(F1548*G1548/10000,"")</f>
        <v/>
      </c>
    </row>
    <row r="1549">
      <c r="A1549" t="inlineStr">
        <is>
          <t>2026-10-30</t>
        </is>
      </c>
      <c r="B1549" t="inlineStr">
        <is>
          <t>561200</t>
        </is>
      </c>
      <c r="C1549" t="inlineStr">
        <is>
          <t>中证A100ETF工银</t>
        </is>
      </c>
      <c r="D1549" t="n">
        <v>3347.05</v>
      </c>
      <c r="E1549" t="n">
        <v>3347.05</v>
      </c>
      <c r="F1549" t="n">
        <v>1.281</v>
      </c>
      <c r="G1549" t="n">
        <v>0</v>
      </c>
      <c r="H1549" t="n">
        <v>0.428757</v>
      </c>
      <c r="I1549" t="n">
        <v>0.432773</v>
      </c>
      <c r="J1549" t="n">
        <v>-0.004016</v>
      </c>
      <c r="K1549" s="4">
        <f>IFERROR(J1549/I1549,"")</f>
        <v/>
      </c>
      <c r="L1549" s="4">
        <f>IFERROR((D1549-E1549)/E1549,"")</f>
        <v/>
      </c>
      <c r="M1549" s="19">
        <f>IFERROR(F1549*G1549/10000,"")</f>
        <v/>
      </c>
    </row>
    <row r="1550">
      <c r="A1550" t="inlineStr">
        <is>
          <t>2026-10-30</t>
        </is>
      </c>
      <c r="B1550" t="inlineStr">
        <is>
          <t>561220</t>
        </is>
      </c>
      <c r="C1550" t="inlineStr">
        <is>
          <t>数字经济ETF工银</t>
        </is>
      </c>
      <c r="D1550" t="n">
        <v>4155.3</v>
      </c>
      <c r="E1550" t="n">
        <v>4155.3</v>
      </c>
      <c r="F1550" t="n">
        <v>1.353</v>
      </c>
      <c r="G1550" t="n">
        <v>0</v>
      </c>
      <c r="H1550" t="n">
        <v>0.562212</v>
      </c>
      <c r="I1550" t="n">
        <v>0.603603</v>
      </c>
      <c r="J1550" t="n">
        <v>-0.041391</v>
      </c>
      <c r="K1550" s="4">
        <f>IFERROR(J1550/I1550,"")</f>
        <v/>
      </c>
      <c r="L1550" s="4">
        <f>IFERROR((D1550-E1550)/E1550,"")</f>
        <v/>
      </c>
      <c r="M1550" s="19">
        <f>IFERROR(F1550*G1550/10000,"")</f>
        <v/>
      </c>
    </row>
    <row r="1551">
      <c r="A1551" t="inlineStr">
        <is>
          <t>2026-10-30</t>
        </is>
      </c>
      <c r="B1551" t="inlineStr">
        <is>
          <t>561230</t>
        </is>
      </c>
      <c r="C1551" t="inlineStr">
        <is>
          <t>中证A50ETF工银</t>
        </is>
      </c>
      <c r="D1551" t="n">
        <v>45647.78</v>
      </c>
      <c r="E1551" t="n">
        <v>45647.78</v>
      </c>
      <c r="F1551" t="n">
        <v>1.188</v>
      </c>
      <c r="G1551" t="n">
        <v>0</v>
      </c>
      <c r="H1551" t="n">
        <v>5.422957</v>
      </c>
      <c r="I1551" t="n">
        <v>5.470477</v>
      </c>
      <c r="J1551" t="n">
        <v>-0.04752</v>
      </c>
      <c r="K1551" s="4">
        <f>IFERROR(J1551/I1551,"")</f>
        <v/>
      </c>
      <c r="L1551" s="4">
        <f>IFERROR((D1551-E1551)/E1551,"")</f>
        <v/>
      </c>
      <c r="M1551" s="19">
        <f>IFERROR(F1551*G1551/10000,"")</f>
        <v/>
      </c>
    </row>
    <row r="1552">
      <c r="A1552" t="inlineStr">
        <is>
          <t>2026-10-30</t>
        </is>
      </c>
      <c r="B1552" t="inlineStr">
        <is>
          <t>561260</t>
        </is>
      </c>
      <c r="C1552" t="inlineStr">
        <is>
          <t>能源ETF工银</t>
        </is>
      </c>
      <c r="D1552" t="n">
        <v>2709.52</v>
      </c>
      <c r="E1552" t="n">
        <v>2709.52</v>
      </c>
      <c r="F1552" t="n">
        <v>1.242</v>
      </c>
      <c r="G1552" t="n">
        <v>0</v>
      </c>
      <c r="H1552" t="n">
        <v>0.336523</v>
      </c>
      <c r="I1552" t="n">
        <v>0.334355</v>
      </c>
      <c r="J1552" t="n">
        <v>0.002168</v>
      </c>
      <c r="K1552" s="4">
        <f>IFERROR(J1552/I1552,"")</f>
        <v/>
      </c>
      <c r="L1552" s="4">
        <f>IFERROR((D1552-E1552)/E1552,"")</f>
        <v/>
      </c>
      <c r="M1552" s="19">
        <f>IFERROR(F1552*G1552/10000,"")</f>
        <v/>
      </c>
    </row>
    <row r="1553">
      <c r="A1553" t="inlineStr">
        <is>
          <t>2026-10-30</t>
        </is>
      </c>
      <c r="B1553" t="inlineStr">
        <is>
          <t>561280</t>
        </is>
      </c>
      <c r="C1553" t="inlineStr">
        <is>
          <t>中证1000增强ETF工银</t>
        </is>
      </c>
      <c r="D1553" t="n">
        <v>8484.77</v>
      </c>
      <c r="E1553" t="n">
        <v>8484.77</v>
      </c>
      <c r="F1553" t="n">
        <v>1.38</v>
      </c>
      <c r="G1553" t="n">
        <v>0</v>
      </c>
      <c r="H1553" t="n">
        <v>1.170898</v>
      </c>
      <c r="I1553" t="n">
        <v>1.207382</v>
      </c>
      <c r="J1553" t="n">
        <v>-0.036484</v>
      </c>
      <c r="K1553" s="4">
        <f>IFERROR(J1553/I1553,"")</f>
        <v/>
      </c>
      <c r="L1553" s="4">
        <f>IFERROR((D1553-E1553)/E1553,"")</f>
        <v/>
      </c>
      <c r="M1553" s="19">
        <f>IFERROR(F1553*G1553/10000,"")</f>
        <v/>
      </c>
    </row>
    <row r="1554">
      <c r="A1554" t="inlineStr">
        <is>
          <t>2026-10-30</t>
        </is>
      </c>
      <c r="B1554" t="inlineStr">
        <is>
          <t>561300</t>
        </is>
      </c>
      <c r="C1554" t="inlineStr">
        <is>
          <t>沪深300增强ETF国泰</t>
        </is>
      </c>
      <c r="D1554" t="n">
        <v>81796.5</v>
      </c>
      <c r="E1554" t="n">
        <v>73996.5</v>
      </c>
      <c r="F1554" t="n">
        <v>0.952</v>
      </c>
      <c r="G1554" t="n">
        <v>7800</v>
      </c>
      <c r="H1554" t="n">
        <v>7.044467</v>
      </c>
      <c r="I1554" t="n">
        <v>6.592123</v>
      </c>
      <c r="J1554" t="n">
        <v>0.452344</v>
      </c>
      <c r="K1554" s="4">
        <f>IFERROR(J1554/I1554,"")</f>
        <v/>
      </c>
      <c r="L1554" s="4">
        <f>IFERROR((D1554-E1554)/E1554,"")</f>
        <v/>
      </c>
      <c r="M1554" s="19">
        <f>IFERROR(F1554*G1554/10000,"")</f>
        <v/>
      </c>
    </row>
    <row r="1555">
      <c r="A1555" t="inlineStr">
        <is>
          <t>2026-10-30</t>
        </is>
      </c>
      <c r="B1555" t="inlineStr">
        <is>
          <t>561310</t>
        </is>
      </c>
      <c r="C1555" t="inlineStr">
        <is>
          <t>消电ETF国泰</t>
        </is>
      </c>
      <c r="D1555" t="n">
        <v>9883.309999999999</v>
      </c>
      <c r="E1555" t="n">
        <v>9883.309999999999</v>
      </c>
      <c r="F1555" t="n">
        <v>0.544</v>
      </c>
      <c r="G1555" t="n">
        <v>0</v>
      </c>
      <c r="H1555" t="n">
        <v>0.537652</v>
      </c>
      <c r="I1555" t="n">
        <v>0.564337</v>
      </c>
      <c r="J1555" t="n">
        <v>-0.026685</v>
      </c>
      <c r="K1555" s="4">
        <f>IFERROR(J1555/I1555,"")</f>
        <v/>
      </c>
      <c r="L1555" s="4">
        <f>IFERROR((D1555-E1555)/E1555,"")</f>
        <v/>
      </c>
      <c r="M1555" s="19">
        <f>IFERROR(F1555*G1555/10000,"")</f>
        <v/>
      </c>
    </row>
    <row r="1556">
      <c r="A1556" t="inlineStr">
        <is>
          <t>2026-10-30</t>
        </is>
      </c>
      <c r="B1556" t="inlineStr">
        <is>
          <t>561320</t>
        </is>
      </c>
      <c r="C1556" t="inlineStr">
        <is>
          <t>交运ETF国泰</t>
        </is>
      </c>
      <c r="D1556" t="n">
        <v>4136.9</v>
      </c>
      <c r="E1556" t="n">
        <v>4136.9</v>
      </c>
      <c r="F1556" t="n">
        <v>0.946</v>
      </c>
      <c r="G1556" t="n">
        <v>0</v>
      </c>
      <c r="H1556" t="n">
        <v>0.391351</v>
      </c>
      <c r="I1556" t="n">
        <v>0.389282</v>
      </c>
      <c r="J1556" t="n">
        <v>0.002069</v>
      </c>
      <c r="K1556" s="4">
        <f>IFERROR(J1556/I1556,"")</f>
        <v/>
      </c>
      <c r="L1556" s="4">
        <f>IFERROR((D1556-E1556)/E1556,"")</f>
        <v/>
      </c>
      <c r="M1556" s="19">
        <f>IFERROR(F1556*G1556/10000,"")</f>
        <v/>
      </c>
    </row>
    <row r="1557">
      <c r="A1557" t="inlineStr">
        <is>
          <t>2026-10-30</t>
        </is>
      </c>
      <c r="B1557" t="inlineStr">
        <is>
          <t>561330</t>
        </is>
      </c>
      <c r="C1557" t="inlineStr">
        <is>
          <t>矿业ETF国泰</t>
        </is>
      </c>
      <c r="D1557" t="n">
        <v>174039.21</v>
      </c>
      <c r="E1557" t="n">
        <v>174639.21</v>
      </c>
      <c r="F1557" t="n">
        <v>0.747</v>
      </c>
      <c r="G1557" t="n">
        <v>-600</v>
      </c>
      <c r="H1557" t="n">
        <v>13.045549</v>
      </c>
      <c r="I1557" t="n">
        <v>13.269408</v>
      </c>
      <c r="J1557" t="n">
        <v>-0.223859</v>
      </c>
      <c r="K1557" s="4">
        <f>IFERROR(J1557/I1557,"")</f>
        <v/>
      </c>
      <c r="L1557" s="4">
        <f>IFERROR((D1557-E1557)/E1557,"")</f>
        <v/>
      </c>
      <c r="M1557" s="19">
        <f>IFERROR(F1557*G1557/10000,"")</f>
        <v/>
      </c>
    </row>
    <row r="1558">
      <c r="A1558" t="inlineStr">
        <is>
          <t>2026-10-30</t>
        </is>
      </c>
      <c r="B1558" t="inlineStr">
        <is>
          <t>561350</t>
        </is>
      </c>
      <c r="C1558" t="inlineStr">
        <is>
          <t>中证500ETF国泰</t>
        </is>
      </c>
      <c r="D1558" t="n">
        <v>10070</v>
      </c>
      <c r="E1558" t="n">
        <v>10370</v>
      </c>
      <c r="F1558" t="n">
        <v>1.031</v>
      </c>
      <c r="G1558" t="n">
        <v>-300</v>
      </c>
      <c r="H1558" t="n">
        <v>1.069147</v>
      </c>
      <c r="I1558" t="n">
        <v>1.06742</v>
      </c>
      <c r="J1558" t="n">
        <v>0.001727</v>
      </c>
      <c r="K1558" s="4">
        <f>IFERROR(J1558/I1558,"")</f>
        <v/>
      </c>
      <c r="L1558" s="4">
        <f>IFERROR((D1558-E1558)/E1558,"")</f>
        <v/>
      </c>
      <c r="M1558" s="19">
        <f>IFERROR(F1558*G1558/10000,"")</f>
        <v/>
      </c>
    </row>
    <row r="1559">
      <c r="A1559" t="inlineStr">
        <is>
          <t>2026-10-30</t>
        </is>
      </c>
      <c r="B1559" t="inlineStr">
        <is>
          <t>561360</t>
        </is>
      </c>
      <c r="C1559" t="inlineStr">
        <is>
          <t>石油ETF国泰</t>
        </is>
      </c>
      <c r="D1559" t="n">
        <v>114914.8</v>
      </c>
      <c r="E1559" t="n">
        <v>115214.8</v>
      </c>
      <c r="F1559" t="n">
        <v>1.413</v>
      </c>
      <c r="G1559" t="n">
        <v>-300</v>
      </c>
      <c r="H1559" t="n">
        <v>16.279851</v>
      </c>
      <c r="I1559" t="n">
        <v>16.356896</v>
      </c>
      <c r="J1559" t="n">
        <v>-0.077045</v>
      </c>
      <c r="K1559" s="4">
        <f>IFERROR(J1559/I1559,"")</f>
        <v/>
      </c>
      <c r="L1559" s="4">
        <f>IFERROR((D1559-E1559)/E1559,"")</f>
        <v/>
      </c>
      <c r="M1559" s="19">
        <f>IFERROR(F1559*G1559/10000,"")</f>
        <v/>
      </c>
    </row>
    <row r="1560">
      <c r="A1560" t="inlineStr">
        <is>
          <t>2026-10-30</t>
        </is>
      </c>
      <c r="B1560" t="inlineStr">
        <is>
          <t>561370</t>
        </is>
      </c>
      <c r="C1560" t="inlineStr">
        <is>
          <t>中证2000ETF国泰</t>
        </is>
      </c>
      <c r="D1560" t="n">
        <v>3635.6</v>
      </c>
      <c r="E1560" t="n">
        <v>3635.6</v>
      </c>
      <c r="F1560" t="n">
        <v>1.236</v>
      </c>
      <c r="G1560" t="n">
        <v>0</v>
      </c>
      <c r="H1560" t="n">
        <v>0.44936</v>
      </c>
      <c r="I1560" t="n">
        <v>0.466447</v>
      </c>
      <c r="J1560" t="n">
        <v>-0.017087</v>
      </c>
      <c r="K1560" s="4">
        <f>IFERROR(J1560/I1560,"")</f>
        <v/>
      </c>
      <c r="L1560" s="4">
        <f>IFERROR((D1560-E1560)/E1560,"")</f>
        <v/>
      </c>
      <c r="M1560" s="19">
        <f>IFERROR(F1560*G1560/10000,"")</f>
        <v/>
      </c>
    </row>
    <row r="1561">
      <c r="A1561" t="inlineStr">
        <is>
          <t>2026-10-30</t>
        </is>
      </c>
      <c r="B1561" t="inlineStr">
        <is>
          <t>561380</t>
        </is>
      </c>
      <c r="C1561" t="inlineStr">
        <is>
          <t>电网设备ETF国泰</t>
        </is>
      </c>
      <c r="D1561" t="n">
        <v>568603.4</v>
      </c>
      <c r="E1561" t="n">
        <v>572603.4</v>
      </c>
      <c r="F1561" t="n">
        <v>0.594</v>
      </c>
      <c r="G1561" t="n">
        <v>-4000</v>
      </c>
      <c r="H1561" t="n">
        <v>34.012642</v>
      </c>
      <c r="I1561" t="n">
        <v>35.361113</v>
      </c>
      <c r="J1561" t="n">
        <v>-1.348471</v>
      </c>
      <c r="K1561" s="4">
        <f>IFERROR(J1561/I1561,"")</f>
        <v/>
      </c>
      <c r="L1561" s="4">
        <f>IFERROR((D1561-E1561)/E1561,"")</f>
        <v/>
      </c>
      <c r="M1561" s="19">
        <f>IFERROR(F1561*G1561/10000,"")</f>
        <v/>
      </c>
    </row>
    <row r="1562">
      <c r="A1562" t="inlineStr">
        <is>
          <t>2026-10-30</t>
        </is>
      </c>
      <c r="B1562" t="inlineStr">
        <is>
          <t>561500</t>
        </is>
      </c>
      <c r="C1562" t="inlineStr">
        <is>
          <t>漂亮50ETF华泰柏瑞</t>
        </is>
      </c>
      <c r="D1562" t="n">
        <v>5760.03</v>
      </c>
      <c r="E1562" t="n">
        <v>5760.03</v>
      </c>
      <c r="F1562" t="n">
        <v>0.6929999999999999</v>
      </c>
      <c r="G1562" t="n">
        <v>0</v>
      </c>
      <c r="H1562" t="n">
        <v>0.39917</v>
      </c>
      <c r="I1562" t="n">
        <v>0.402626</v>
      </c>
      <c r="J1562" t="n">
        <v>-0.003456</v>
      </c>
      <c r="K1562" s="4">
        <f>IFERROR(J1562/I1562,"")</f>
        <v/>
      </c>
      <c r="L1562" s="4">
        <f>IFERROR((D1562-E1562)/E1562,"")</f>
        <v/>
      </c>
      <c r="M1562" s="19">
        <f>IFERROR(F1562*G1562/10000,"")</f>
        <v/>
      </c>
    </row>
    <row r="1563">
      <c r="A1563" t="inlineStr">
        <is>
          <t>2026-10-30</t>
        </is>
      </c>
      <c r="B1563" t="inlineStr">
        <is>
          <t>561510</t>
        </is>
      </c>
      <c r="C1563" t="inlineStr">
        <is>
          <t>中药ETF华泰柏瑞</t>
        </is>
      </c>
      <c r="D1563" t="n">
        <v>6320.6</v>
      </c>
      <c r="E1563" t="n">
        <v>6320.6</v>
      </c>
      <c r="F1563" t="n">
        <v>0.918</v>
      </c>
      <c r="G1563" t="n">
        <v>0</v>
      </c>
      <c r="H1563" t="n">
        <v>0.5802310000000001</v>
      </c>
      <c r="I1563" t="n">
        <v>0.58592</v>
      </c>
      <c r="J1563" t="n">
        <v>-0.005689</v>
      </c>
      <c r="K1563" s="4">
        <f>IFERROR(J1563/I1563,"")</f>
        <v/>
      </c>
      <c r="L1563" s="4">
        <f>IFERROR((D1563-E1563)/E1563,"")</f>
        <v/>
      </c>
      <c r="M1563" s="19">
        <f>IFERROR(F1563*G1563/10000,"")</f>
        <v/>
      </c>
    </row>
    <row r="1564">
      <c r="A1564" t="inlineStr">
        <is>
          <t>2026-10-30</t>
        </is>
      </c>
      <c r="B1564" t="inlineStr">
        <is>
          <t>561550</t>
        </is>
      </c>
      <c r="C1564" t="inlineStr">
        <is>
          <t>中证500增强ETF华泰柏瑞</t>
        </is>
      </c>
      <c r="D1564" t="n">
        <v>157348.96</v>
      </c>
      <c r="E1564" t="n">
        <v>155848.96</v>
      </c>
      <c r="F1564" t="n">
        <v>1.141</v>
      </c>
      <c r="G1564" t="n">
        <v>1500</v>
      </c>
      <c r="H1564" t="n">
        <v>17.782366</v>
      </c>
      <c r="I1564" t="n">
        <v>18.065502</v>
      </c>
      <c r="J1564" t="n">
        <v>-0.283136</v>
      </c>
      <c r="K1564" s="4">
        <f>IFERROR(J1564/I1564,"")</f>
        <v/>
      </c>
      <c r="L1564" s="4">
        <f>IFERROR((D1564-E1564)/E1564,"")</f>
        <v/>
      </c>
      <c r="M1564" s="19">
        <f>IFERROR(F1564*G1564/10000,"")</f>
        <v/>
      </c>
    </row>
    <row r="1565">
      <c r="A1565" t="inlineStr">
        <is>
          <t>2026-10-30</t>
        </is>
      </c>
      <c r="B1565" t="inlineStr">
        <is>
          <t>561560</t>
        </is>
      </c>
      <c r="C1565" t="inlineStr">
        <is>
          <t>电力ETF华泰柏瑞</t>
        </is>
      </c>
      <c r="D1565" t="n">
        <v>139112.42</v>
      </c>
      <c r="E1565" t="n">
        <v>139662.42</v>
      </c>
      <c r="F1565" t="n">
        <v>1.256</v>
      </c>
      <c r="G1565" t="n">
        <v>-550</v>
      </c>
      <c r="H1565" t="n">
        <v>17.5416</v>
      </c>
      <c r="I1565" t="n">
        <v>17.406646</v>
      </c>
      <c r="J1565" t="n">
        <v>0.134954</v>
      </c>
      <c r="K1565" s="4">
        <f>IFERROR(J1565/I1565,"")</f>
        <v/>
      </c>
      <c r="L1565" s="4">
        <f>IFERROR((D1565-E1565)/E1565,"")</f>
        <v/>
      </c>
      <c r="M1565" s="19">
        <f>IFERROR(F1565*G1565/10000,"")</f>
        <v/>
      </c>
    </row>
    <row r="1566">
      <c r="A1566" t="inlineStr">
        <is>
          <t>2026-10-30</t>
        </is>
      </c>
      <c r="B1566" t="inlineStr">
        <is>
          <t>561570</t>
        </is>
      </c>
      <c r="C1566" t="inlineStr">
        <is>
          <t>油气ETF华泰柏瑞</t>
        </is>
      </c>
      <c r="D1566" t="n">
        <v>7114.7</v>
      </c>
      <c r="E1566" t="n">
        <v>7114.7</v>
      </c>
      <c r="F1566" t="n">
        <v>1.336</v>
      </c>
      <c r="G1566" t="n">
        <v>0</v>
      </c>
      <c r="H1566" t="n">
        <v>0.950524</v>
      </c>
      <c r="I1566" t="n">
        <v>0.950524</v>
      </c>
      <c r="J1566" t="n">
        <v>0</v>
      </c>
      <c r="K1566" s="4">
        <f>IFERROR(J1566/I1566,"")</f>
        <v/>
      </c>
      <c r="L1566" s="4">
        <f>IFERROR((D1566-E1566)/E1566,"")</f>
        <v/>
      </c>
      <c r="M1566" s="19">
        <f>IFERROR(F1566*G1566/10000,"")</f>
        <v/>
      </c>
    </row>
    <row r="1567">
      <c r="A1567" t="inlineStr">
        <is>
          <t>2026-10-30</t>
        </is>
      </c>
      <c r="B1567" t="inlineStr">
        <is>
          <t>561580</t>
        </is>
      </c>
      <c r="C1567" t="inlineStr">
        <is>
          <t>央企红利ETF华泰柏瑞</t>
        </is>
      </c>
      <c r="D1567" t="n">
        <v>212337.07</v>
      </c>
      <c r="E1567" t="n">
        <v>213437.07</v>
      </c>
      <c r="F1567" t="n">
        <v>1.284</v>
      </c>
      <c r="G1567" t="n">
        <v>-1100</v>
      </c>
      <c r="H1567" t="n">
        <v>27.405319</v>
      </c>
      <c r="I1567" t="n">
        <v>26.915776</v>
      </c>
      <c r="J1567" t="n">
        <v>0.489543</v>
      </c>
      <c r="K1567" s="4">
        <f>IFERROR(J1567/I1567,"")</f>
        <v/>
      </c>
      <c r="L1567" s="4">
        <f>IFERROR((D1567-E1567)/E1567,"")</f>
        <v/>
      </c>
      <c r="M1567" s="19">
        <f>IFERROR(F1567*G1567/10000,"")</f>
        <v/>
      </c>
    </row>
    <row r="1568">
      <c r="A1568" t="inlineStr">
        <is>
          <t>2026-10-30</t>
        </is>
      </c>
      <c r="B1568" t="inlineStr">
        <is>
          <t>561590</t>
        </is>
      </c>
      <c r="C1568" t="inlineStr">
        <is>
          <t>中证1000增强ETF华泰柏瑞</t>
        </is>
      </c>
      <c r="D1568" t="n">
        <v>10399.96</v>
      </c>
      <c r="E1568" t="n">
        <v>10399.96</v>
      </c>
      <c r="F1568" t="n">
        <v>1.277</v>
      </c>
      <c r="G1568" t="n">
        <v>0</v>
      </c>
      <c r="H1568" t="n">
        <v>1.328075</v>
      </c>
      <c r="I1568" t="n">
        <v>1.363435</v>
      </c>
      <c r="J1568" t="n">
        <v>-0.03536</v>
      </c>
      <c r="K1568" s="4">
        <f>IFERROR(J1568/I1568,"")</f>
        <v/>
      </c>
      <c r="L1568" s="4">
        <f>IFERROR((D1568-E1568)/E1568,"")</f>
        <v/>
      </c>
      <c r="M1568" s="19">
        <f>IFERROR(F1568*G1568/10000,"")</f>
        <v/>
      </c>
    </row>
    <row r="1569">
      <c r="A1569" t="inlineStr">
        <is>
          <t>2026-10-30</t>
        </is>
      </c>
      <c r="B1569" t="inlineStr">
        <is>
          <t>561600</t>
        </is>
      </c>
      <c r="C1569" t="inlineStr">
        <is>
          <t>消费电子ETF平安</t>
        </is>
      </c>
      <c r="D1569" t="n">
        <v>28854.8</v>
      </c>
      <c r="E1569" t="n">
        <v>28854.8</v>
      </c>
      <c r="F1569" t="n">
        <v>0.5679999999999999</v>
      </c>
      <c r="G1569" t="n">
        <v>0</v>
      </c>
      <c r="H1569" t="n">
        <v>1.638953</v>
      </c>
      <c r="I1569" t="n">
        <v>1.767426</v>
      </c>
      <c r="J1569" t="n">
        <v>-0.128473</v>
      </c>
      <c r="K1569" s="4">
        <f>IFERROR(J1569/I1569,"")</f>
        <v/>
      </c>
      <c r="L1569" s="4">
        <f>IFERROR((D1569-E1569)/E1569,"")</f>
        <v/>
      </c>
      <c r="M1569" s="19">
        <f>IFERROR(F1569*G1569/10000,"")</f>
        <v/>
      </c>
    </row>
    <row r="1570">
      <c r="A1570" t="inlineStr">
        <is>
          <t>2026-10-30</t>
        </is>
      </c>
      <c r="B1570" t="inlineStr">
        <is>
          <t>561660</t>
        </is>
      </c>
      <c r="C1570" t="inlineStr">
        <is>
          <t>通用航空ETF平安</t>
        </is>
      </c>
      <c r="D1570" t="n">
        <v>6571</v>
      </c>
      <c r="E1570" t="n">
        <v>6671</v>
      </c>
      <c r="F1570" t="n">
        <v>0.822</v>
      </c>
      <c r="G1570" t="n">
        <v>-100</v>
      </c>
      <c r="H1570" t="n">
        <v>0.548356</v>
      </c>
      <c r="I1570" t="n">
        <v>0.535537</v>
      </c>
      <c r="J1570" t="n">
        <v>0.012819</v>
      </c>
      <c r="K1570" s="4">
        <f>IFERROR(J1570/I1570,"")</f>
        <v/>
      </c>
      <c r="L1570" s="4">
        <f>IFERROR((D1570-E1570)/E1570,"")</f>
        <v/>
      </c>
      <c r="M1570" s="19">
        <f>IFERROR(F1570*G1570/10000,"")</f>
        <v/>
      </c>
    </row>
    <row r="1571">
      <c r="A1571" t="inlineStr">
        <is>
          <t>2026-10-30</t>
        </is>
      </c>
      <c r="B1571" t="inlineStr">
        <is>
          <t>561680</t>
        </is>
      </c>
      <c r="C1571" t="inlineStr">
        <is>
          <t>A500红利低波ETF平安</t>
        </is>
      </c>
      <c r="D1571" t="n">
        <v>36616.9</v>
      </c>
      <c r="E1571" t="n">
        <v>36616.9</v>
      </c>
      <c r="F1571" t="n">
        <v>1.039</v>
      </c>
      <c r="G1571" t="n">
        <v>0</v>
      </c>
      <c r="H1571" t="n">
        <v>3.804496</v>
      </c>
      <c r="I1571" t="n">
        <v>3.771541</v>
      </c>
      <c r="J1571" t="n">
        <v>0.032955</v>
      </c>
      <c r="K1571" s="4">
        <f>IFERROR(J1571/I1571,"")</f>
        <v/>
      </c>
      <c r="L1571" s="4">
        <f>IFERROR((D1571-E1571)/E1571,"")</f>
        <v/>
      </c>
      <c r="M1571" s="19">
        <f>IFERROR(F1571*G1571/10000,"")</f>
        <v/>
      </c>
    </row>
    <row r="1572">
      <c r="A1572" t="inlineStr">
        <is>
          <t>2026-10-30</t>
        </is>
      </c>
      <c r="B1572" t="inlineStr">
        <is>
          <t>561700</t>
        </is>
      </c>
      <c r="C1572" t="inlineStr">
        <is>
          <t>电力ETF博时</t>
        </is>
      </c>
      <c r="D1572" t="n">
        <v>31431.36</v>
      </c>
      <c r="E1572" t="n">
        <v>31481.36</v>
      </c>
      <c r="F1572" t="n">
        <v>1.097</v>
      </c>
      <c r="G1572" t="n">
        <v>-50</v>
      </c>
      <c r="H1572" t="n">
        <v>3.453505</v>
      </c>
      <c r="I1572" t="n">
        <v>3.432894</v>
      </c>
      <c r="J1572" t="n">
        <v>0.020611</v>
      </c>
      <c r="K1572" s="4">
        <f>IFERROR(J1572/I1572,"")</f>
        <v/>
      </c>
      <c r="L1572" s="4">
        <f>IFERROR((D1572-E1572)/E1572,"")</f>
        <v/>
      </c>
      <c r="M1572" s="19">
        <f>IFERROR(F1572*G1572/10000,"")</f>
        <v/>
      </c>
    </row>
    <row r="1573">
      <c r="A1573" t="inlineStr">
        <is>
          <t>2026-10-30</t>
        </is>
      </c>
      <c r="B1573" t="inlineStr">
        <is>
          <t>561750</t>
        </is>
      </c>
      <c r="C1573" t="inlineStr">
        <is>
          <t>A50ETF博时</t>
        </is>
      </c>
      <c r="D1573" t="n">
        <v>6299.6</v>
      </c>
      <c r="E1573" t="n">
        <v>6299.6</v>
      </c>
      <c r="F1573" t="n">
        <v>1.043</v>
      </c>
      <c r="G1573" t="n">
        <v>0</v>
      </c>
      <c r="H1573" t="n">
        <v>0.657048</v>
      </c>
      <c r="I1573" t="n">
        <v>0.657678</v>
      </c>
      <c r="J1573" t="n">
        <v>-0.00063</v>
      </c>
      <c r="K1573" s="4">
        <f>IFERROR(J1573/I1573,"")</f>
        <v/>
      </c>
      <c r="L1573" s="4">
        <f>IFERROR((D1573-E1573)/E1573,"")</f>
        <v/>
      </c>
      <c r="M1573" s="19">
        <f>IFERROR(F1573*G1573/10000,"")</f>
        <v/>
      </c>
    </row>
    <row r="1574">
      <c r="A1574" t="inlineStr">
        <is>
          <t>2026-10-30</t>
        </is>
      </c>
      <c r="B1574" t="inlineStr">
        <is>
          <t>561760</t>
        </is>
      </c>
      <c r="C1574" t="inlineStr">
        <is>
          <t>油气ETF博时</t>
        </is>
      </c>
      <c r="D1574" t="n">
        <v>16369.5</v>
      </c>
      <c r="E1574" t="n">
        <v>16369.5</v>
      </c>
      <c r="F1574" t="n">
        <v>1.322</v>
      </c>
      <c r="G1574" t="n">
        <v>0</v>
      </c>
      <c r="H1574" t="n">
        <v>2.164048</v>
      </c>
      <c r="I1574" t="n">
        <v>2.170596</v>
      </c>
      <c r="J1574" t="n">
        <v>-0.006548</v>
      </c>
      <c r="K1574" s="4">
        <f>IFERROR(J1574/I1574,"")</f>
        <v/>
      </c>
      <c r="L1574" s="4">
        <f>IFERROR((D1574-E1574)/E1574,"")</f>
        <v/>
      </c>
      <c r="M1574" s="19">
        <f>IFERROR(F1574*G1574/10000,"")</f>
        <v/>
      </c>
    </row>
    <row r="1575">
      <c r="A1575" t="inlineStr">
        <is>
          <t>2026-10-30</t>
        </is>
      </c>
      <c r="B1575" t="inlineStr">
        <is>
          <t>561770</t>
        </is>
      </c>
      <c r="C1575" t="inlineStr">
        <is>
          <t>A100ETF博时</t>
        </is>
      </c>
      <c r="D1575" t="n">
        <v>3755</v>
      </c>
      <c r="E1575" t="n">
        <v>3755</v>
      </c>
      <c r="F1575" t="n">
        <v>1.091</v>
      </c>
      <c r="G1575" t="n">
        <v>0</v>
      </c>
      <c r="H1575" t="n">
        <v>0.409671</v>
      </c>
      <c r="I1575" t="n">
        <v>0.412675</v>
      </c>
      <c r="J1575" t="n">
        <v>-0.003004</v>
      </c>
      <c r="K1575" s="4">
        <f>IFERROR(J1575/I1575,"")</f>
        <v/>
      </c>
      <c r="L1575" s="4">
        <f>IFERROR((D1575-E1575)/E1575,"")</f>
        <v/>
      </c>
      <c r="M1575" s="19">
        <f>IFERROR(F1575*G1575/10000,"")</f>
        <v/>
      </c>
    </row>
    <row r="1576">
      <c r="A1576" t="inlineStr">
        <is>
          <t>2026-10-30</t>
        </is>
      </c>
      <c r="B1576" t="inlineStr">
        <is>
          <t>561780</t>
        </is>
      </c>
      <c r="C1576" t="inlineStr">
        <is>
          <t>1000增强ETF博时</t>
        </is>
      </c>
      <c r="D1576" t="n">
        <v>2335.58</v>
      </c>
      <c r="E1576" t="n">
        <v>2335.58</v>
      </c>
      <c r="F1576" t="n">
        <v>1.337</v>
      </c>
      <c r="G1576" t="n">
        <v>0</v>
      </c>
      <c r="H1576" t="n">
        <v>0.312267</v>
      </c>
      <c r="I1576" t="n">
        <v>0.321376</v>
      </c>
      <c r="J1576" t="n">
        <v>-0.009109000000000001</v>
      </c>
      <c r="K1576" s="4">
        <f>IFERROR(J1576/I1576,"")</f>
        <v/>
      </c>
      <c r="L1576" s="4">
        <f>IFERROR((D1576-E1576)/E1576,"")</f>
        <v/>
      </c>
      <c r="M1576" s="19">
        <f>IFERROR(F1576*G1576/10000,"")</f>
        <v/>
      </c>
    </row>
    <row r="1577">
      <c r="A1577" t="inlineStr">
        <is>
          <t>2026-10-30</t>
        </is>
      </c>
      <c r="B1577" t="inlineStr">
        <is>
          <t>561790</t>
        </is>
      </c>
      <c r="C1577" t="inlineStr">
        <is>
          <t>央企能源ETF博时</t>
        </is>
      </c>
      <c r="D1577" t="n">
        <v>5573.4</v>
      </c>
      <c r="E1577" t="n">
        <v>5633.4</v>
      </c>
      <c r="F1577" t="n">
        <v>1.255</v>
      </c>
      <c r="G1577" t="n">
        <v>-60</v>
      </c>
      <c r="H1577" t="n">
        <v>0.706992</v>
      </c>
      <c r="I1577" t="n">
        <v>0.697624</v>
      </c>
      <c r="J1577" t="n">
        <v>0.009368</v>
      </c>
      <c r="K1577" s="4">
        <f>IFERROR(J1577/I1577,"")</f>
        <v/>
      </c>
      <c r="L1577" s="4">
        <f>IFERROR((D1577-E1577)/E1577,"")</f>
        <v/>
      </c>
      <c r="M1577" s="19">
        <f>IFERROR(F1577*G1577/10000,"")</f>
        <v/>
      </c>
    </row>
    <row r="1578">
      <c r="A1578" t="inlineStr">
        <is>
          <t>2026-10-30</t>
        </is>
      </c>
      <c r="B1578" t="inlineStr">
        <is>
          <t>561800</t>
        </is>
      </c>
      <c r="C1578" t="inlineStr">
        <is>
          <t>稀有金属ETF华富</t>
        </is>
      </c>
      <c r="D1578" t="n">
        <v>24257.72</v>
      </c>
      <c r="E1578" t="n">
        <v>24307.72</v>
      </c>
      <c r="F1578" t="n">
        <v>0.764</v>
      </c>
      <c r="G1578" t="n">
        <v>-50</v>
      </c>
      <c r="H1578" t="n">
        <v>1.85711</v>
      </c>
      <c r="I1578" t="n">
        <v>1.908156</v>
      </c>
      <c r="J1578" t="n">
        <v>-0.051046</v>
      </c>
      <c r="K1578" s="4">
        <f>IFERROR(J1578/I1578,"")</f>
        <v/>
      </c>
      <c r="L1578" s="4">
        <f>IFERROR((D1578-E1578)/E1578,"")</f>
        <v/>
      </c>
      <c r="M1578" s="19">
        <f>IFERROR(F1578*G1578/10000,"")</f>
        <v/>
      </c>
    </row>
    <row r="1579">
      <c r="A1579" t="inlineStr">
        <is>
          <t>2026-10-30</t>
        </is>
      </c>
      <c r="B1579" t="inlineStr">
        <is>
          <t>561870</t>
        </is>
      </c>
      <c r="C1579" t="inlineStr">
        <is>
          <t>现金流全指ETF华富</t>
        </is>
      </c>
      <c r="D1579" t="n">
        <v>8476.5</v>
      </c>
      <c r="E1579" t="n">
        <v>8476.5</v>
      </c>
      <c r="F1579" t="n">
        <v>1.1</v>
      </c>
      <c r="G1579" t="n">
        <v>0</v>
      </c>
      <c r="H1579" t="n">
        <v>0.932415</v>
      </c>
      <c r="I1579" t="n">
        <v>0.932415</v>
      </c>
      <c r="J1579" t="n">
        <v>0</v>
      </c>
      <c r="K1579" s="4">
        <f>IFERROR(J1579/I1579,"")</f>
        <v/>
      </c>
      <c r="L1579" s="4">
        <f>IFERROR((D1579-E1579)/E1579,"")</f>
        <v/>
      </c>
      <c r="M1579" s="19">
        <f>IFERROR(F1579*G1579/10000,"")</f>
        <v/>
      </c>
    </row>
    <row r="1580">
      <c r="A1580" t="inlineStr">
        <is>
          <t>2026-10-30</t>
        </is>
      </c>
      <c r="B1580" t="inlineStr">
        <is>
          <t>561880</t>
        </is>
      </c>
      <c r="C1580" t="inlineStr">
        <is>
          <t>A100ETF华富</t>
        </is>
      </c>
      <c r="D1580" t="n">
        <v>8238.9</v>
      </c>
      <c r="E1580" t="n">
        <v>8238.9</v>
      </c>
      <c r="F1580" t="n">
        <v>1.106</v>
      </c>
      <c r="G1580" t="n">
        <v>0</v>
      </c>
      <c r="H1580" t="n">
        <v>0.911222</v>
      </c>
      <c r="I1580" t="n">
        <v>0.944313</v>
      </c>
      <c r="J1580" t="n">
        <v>-0.033091</v>
      </c>
      <c r="K1580" s="4">
        <f>IFERROR(J1580/I1580,"")</f>
        <v/>
      </c>
      <c r="L1580" s="4">
        <f>IFERROR((D1580-E1580)/E1580,"")</f>
        <v/>
      </c>
      <c r="M1580" s="19">
        <f>IFERROR(F1580*G1580/10000,"")</f>
        <v/>
      </c>
    </row>
    <row r="1581">
      <c r="A1581" t="inlineStr">
        <is>
          <t>2026-10-30</t>
        </is>
      </c>
      <c r="B1581" t="inlineStr">
        <is>
          <t>561900</t>
        </is>
      </c>
      <c r="C1581" t="inlineStr">
        <is>
          <t>沪深300ESGETF招商</t>
        </is>
      </c>
      <c r="D1581" t="n">
        <v>3233.44</v>
      </c>
      <c r="E1581" t="n">
        <v>3233.44</v>
      </c>
      <c r="F1581" t="n">
        <v>0.88</v>
      </c>
      <c r="G1581" t="n">
        <v>0</v>
      </c>
      <c r="H1581" t="n">
        <v>0.284542</v>
      </c>
      <c r="I1581" t="n">
        <v>0.286806</v>
      </c>
      <c r="J1581" t="n">
        <v>-0.002264</v>
      </c>
      <c r="K1581" s="4">
        <f>IFERROR(J1581/I1581,"")</f>
        <v/>
      </c>
      <c r="L1581" s="4">
        <f>IFERROR((D1581-E1581)/E1581,"")</f>
        <v/>
      </c>
      <c r="M1581" s="19">
        <f>IFERROR(F1581*G1581/10000,"")</f>
        <v/>
      </c>
    </row>
    <row r="1582">
      <c r="A1582" t="inlineStr">
        <is>
          <t>2026-10-30</t>
        </is>
      </c>
      <c r="B1582" t="inlineStr">
        <is>
          <t>561910</t>
        </is>
      </c>
      <c r="C1582" t="inlineStr">
        <is>
          <t>电池ETF招商</t>
        </is>
      </c>
      <c r="D1582" t="n">
        <v>476907.66</v>
      </c>
      <c r="E1582" t="n">
        <v>476407.66</v>
      </c>
      <c r="F1582" t="n">
        <v>0.556</v>
      </c>
      <c r="G1582" t="n">
        <v>500</v>
      </c>
      <c r="H1582" t="n">
        <v>26.488266</v>
      </c>
      <c r="I1582" t="n">
        <v>27.294237</v>
      </c>
      <c r="J1582" t="n">
        <v>-0.805971</v>
      </c>
      <c r="K1582" s="4">
        <f>IFERROR(J1582/I1582,"")</f>
        <v/>
      </c>
      <c r="L1582" s="4">
        <f>IFERROR((D1582-E1582)/E1582,"")</f>
        <v/>
      </c>
      <c r="M1582" s="19">
        <f>IFERROR(F1582*G1582/10000,"")</f>
        <v/>
      </c>
    </row>
    <row r="1583">
      <c r="A1583" t="inlineStr">
        <is>
          <t>2026-10-30</t>
        </is>
      </c>
      <c r="B1583" t="inlineStr">
        <is>
          <t>561920</t>
        </is>
      </c>
      <c r="C1583" t="inlineStr">
        <is>
          <t>疫苗ETF招商</t>
        </is>
      </c>
      <c r="D1583" t="n">
        <v>4869.2</v>
      </c>
      <c r="E1583" t="n">
        <v>4869.2</v>
      </c>
      <c r="F1583" t="n">
        <v>0.595</v>
      </c>
      <c r="G1583" t="n">
        <v>0</v>
      </c>
      <c r="H1583" t="n">
        <v>0.289717</v>
      </c>
      <c r="I1583" t="n">
        <v>0.296047</v>
      </c>
      <c r="J1583" t="n">
        <v>-0.00633</v>
      </c>
      <c r="K1583" s="4">
        <f>IFERROR(J1583/I1583,"")</f>
        <v/>
      </c>
      <c r="L1583" s="4">
        <f>IFERROR((D1583-E1583)/E1583,"")</f>
        <v/>
      </c>
      <c r="M1583" s="19">
        <f>IFERROR(F1583*G1583/10000,"")</f>
        <v/>
      </c>
    </row>
    <row r="1584">
      <c r="A1584" t="inlineStr">
        <is>
          <t>2026-10-30</t>
        </is>
      </c>
      <c r="B1584" t="inlineStr">
        <is>
          <t>561930</t>
        </is>
      </c>
      <c r="C1584" t="inlineStr">
        <is>
          <t>沪深300ETF招商</t>
        </is>
      </c>
      <c r="D1584" t="n">
        <v>20826.06</v>
      </c>
      <c r="E1584" t="n">
        <v>20826.06</v>
      </c>
      <c r="F1584" t="n">
        <v>1.391</v>
      </c>
      <c r="G1584" t="n">
        <v>0</v>
      </c>
      <c r="H1584" t="n">
        <v>2.896905</v>
      </c>
      <c r="I1584" t="n">
        <v>2.921897</v>
      </c>
      <c r="J1584" t="n">
        <v>-0.024992</v>
      </c>
      <c r="K1584" s="4">
        <f>IFERROR(J1584/I1584,"")</f>
        <v/>
      </c>
      <c r="L1584" s="4">
        <f>IFERROR((D1584-E1584)/E1584,"")</f>
        <v/>
      </c>
      <c r="M1584" s="19">
        <f>IFERROR(F1584*G1584/10000,"")</f>
        <v/>
      </c>
    </row>
    <row r="1585">
      <c r="A1585" t="inlineStr">
        <is>
          <t>2026-10-30</t>
        </is>
      </c>
      <c r="B1585" t="inlineStr">
        <is>
          <t>561950</t>
        </is>
      </c>
      <c r="C1585" t="inlineStr">
        <is>
          <t>中证500增强ETF招商</t>
        </is>
      </c>
      <c r="D1585" t="n">
        <v>8265.6</v>
      </c>
      <c r="E1585" t="n">
        <v>8265.6</v>
      </c>
      <c r="F1585" t="n">
        <v>1.164</v>
      </c>
      <c r="G1585" t="n">
        <v>0</v>
      </c>
      <c r="H1585" t="n">
        <v>0.962116</v>
      </c>
      <c r="I1585" t="n">
        <v>0.989392</v>
      </c>
      <c r="J1585" t="n">
        <v>-0.027276</v>
      </c>
      <c r="K1585" s="4">
        <f>IFERROR(J1585/I1585,"")</f>
        <v/>
      </c>
      <c r="L1585" s="4">
        <f>IFERROR((D1585-E1585)/E1585,"")</f>
        <v/>
      </c>
      <c r="M1585" s="19">
        <f>IFERROR(F1585*G1585/10000,"")</f>
        <v/>
      </c>
    </row>
    <row r="1586">
      <c r="A1586" t="inlineStr">
        <is>
          <t>2026-10-30</t>
        </is>
      </c>
      <c r="B1586" t="inlineStr">
        <is>
          <t>561960</t>
        </is>
      </c>
      <c r="C1586" t="inlineStr">
        <is>
          <t>央企回报ETF招商</t>
        </is>
      </c>
      <c r="D1586" t="n">
        <v>5418.52</v>
      </c>
      <c r="E1586" t="n">
        <v>5418.52</v>
      </c>
      <c r="F1586" t="n">
        <v>1.278</v>
      </c>
      <c r="G1586" t="n">
        <v>0</v>
      </c>
      <c r="H1586" t="n">
        <v>0.692487</v>
      </c>
      <c r="I1586" t="n">
        <v>0.684902</v>
      </c>
      <c r="J1586" t="n">
        <v>0.007585</v>
      </c>
      <c r="K1586" s="4">
        <f>IFERROR(J1586/I1586,"")</f>
        <v/>
      </c>
      <c r="L1586" s="4">
        <f>IFERROR((D1586-E1586)/E1586,"")</f>
        <v/>
      </c>
      <c r="M1586" s="19">
        <f>IFERROR(F1586*G1586/10000,"")</f>
        <v/>
      </c>
    </row>
    <row r="1587">
      <c r="A1587" t="inlineStr">
        <is>
          <t>2026-10-30</t>
        </is>
      </c>
      <c r="B1587" t="inlineStr">
        <is>
          <t>561980</t>
        </is>
      </c>
      <c r="C1587" t="inlineStr">
        <is>
          <t>半导体设备ETF招商</t>
        </is>
      </c>
      <c r="D1587" t="n">
        <v>849055</v>
      </c>
      <c r="E1587" t="n">
        <v>852055</v>
      </c>
      <c r="F1587" t="n">
        <v>0.474</v>
      </c>
      <c r="G1587" t="n">
        <v>-3000</v>
      </c>
      <c r="H1587" t="n">
        <v>40.387407</v>
      </c>
      <c r="I1587" t="n">
        <v>43.27775</v>
      </c>
      <c r="J1587" t="n">
        <v>-2.890343</v>
      </c>
      <c r="K1587" s="4">
        <f>IFERROR(J1587/I1587,"")</f>
        <v/>
      </c>
      <c r="L1587" s="4">
        <f>IFERROR((D1587-E1587)/E1587,"")</f>
        <v/>
      </c>
      <c r="M1587" s="19">
        <f>IFERROR(F1587*G1587/10000,"")</f>
        <v/>
      </c>
    </row>
    <row r="1588">
      <c r="A1588" t="inlineStr">
        <is>
          <t>2026-10-30</t>
        </is>
      </c>
      <c r="B1588" t="inlineStr">
        <is>
          <t>561990</t>
        </is>
      </c>
      <c r="C1588" t="inlineStr">
        <is>
          <t>沪深300增强ETF招商</t>
        </is>
      </c>
      <c r="D1588" t="n">
        <v>31964.92</v>
      </c>
      <c r="E1588" t="n">
        <v>31964.92</v>
      </c>
      <c r="F1588" t="n">
        <v>0.923</v>
      </c>
      <c r="G1588" t="n">
        <v>0</v>
      </c>
      <c r="H1588" t="n">
        <v>2.950363</v>
      </c>
      <c r="I1588" t="n">
        <v>2.98872</v>
      </c>
      <c r="J1588" t="n">
        <v>-0.038357</v>
      </c>
      <c r="K1588" s="4">
        <f>IFERROR(J1588/I1588,"")</f>
        <v/>
      </c>
      <c r="L1588" s="4">
        <f>IFERROR((D1588-E1588)/E1588,"")</f>
        <v/>
      </c>
      <c r="M1588" s="19">
        <f>IFERROR(F1588*G1588/10000,"")</f>
        <v/>
      </c>
    </row>
    <row r="1589">
      <c r="A1589" t="inlineStr">
        <is>
          <t>2026-10-30</t>
        </is>
      </c>
      <c r="B1589" t="inlineStr">
        <is>
          <t>562000</t>
        </is>
      </c>
      <c r="C1589" t="inlineStr">
        <is>
          <t>A100ETF华宝</t>
        </is>
      </c>
      <c r="D1589" t="n">
        <v>59273.79</v>
      </c>
      <c r="E1589" t="n">
        <v>59273.79</v>
      </c>
      <c r="F1589" t="n">
        <v>0.526</v>
      </c>
      <c r="G1589" t="n">
        <v>0</v>
      </c>
      <c r="H1589" t="n">
        <v>3.117801</v>
      </c>
      <c r="I1589" t="n">
        <v>3.147438</v>
      </c>
      <c r="J1589" t="n">
        <v>-0.029637</v>
      </c>
      <c r="K1589" s="4">
        <f>IFERROR(J1589/I1589,"")</f>
        <v/>
      </c>
      <c r="L1589" s="4">
        <f>IFERROR((D1589-E1589)/E1589,"")</f>
        <v/>
      </c>
      <c r="M1589" s="19">
        <f>IFERROR(F1589*G1589/10000,"")</f>
        <v/>
      </c>
    </row>
    <row r="1590">
      <c r="A1590" t="inlineStr">
        <is>
          <t>2026-10-30</t>
        </is>
      </c>
      <c r="B1590" t="inlineStr">
        <is>
          <t>562010</t>
        </is>
      </c>
      <c r="C1590" t="inlineStr">
        <is>
          <t>绿色能源ETF华宝</t>
        </is>
      </c>
      <c r="D1590" t="n">
        <v>2429.87</v>
      </c>
      <c r="E1590" t="n">
        <v>1829.87</v>
      </c>
      <c r="F1590" t="n">
        <v>0.706</v>
      </c>
      <c r="G1590" t="n">
        <v>600</v>
      </c>
      <c r="H1590" t="n">
        <v>0.129189</v>
      </c>
      <c r="I1590" t="n">
        <v>0.131019</v>
      </c>
      <c r="J1590" t="n">
        <v>-0.00183</v>
      </c>
      <c r="K1590" s="4">
        <f>IFERROR(J1590/I1590,"")</f>
        <v/>
      </c>
      <c r="L1590" s="4">
        <f>IFERROR((D1590-E1590)/E1590,"")</f>
        <v/>
      </c>
      <c r="M1590" s="19">
        <f>IFERROR(F1590*G1590/10000,"")</f>
        <v/>
      </c>
    </row>
    <row r="1591">
      <c r="A1591" t="inlineStr">
        <is>
          <t>2026-10-30</t>
        </is>
      </c>
      <c r="B1591" t="inlineStr">
        <is>
          <t>562030</t>
        </is>
      </c>
      <c r="C1591" t="inlineStr">
        <is>
          <t>信创ETF华宝</t>
        </is>
      </c>
      <c r="D1591" t="n">
        <v>14297.39</v>
      </c>
      <c r="E1591" t="n">
        <v>14197.39</v>
      </c>
      <c r="F1591" t="n">
        <v>0.431</v>
      </c>
      <c r="G1591" t="n">
        <v>100</v>
      </c>
      <c r="H1591" t="n">
        <v>0.611907</v>
      </c>
      <c r="I1591" t="n">
        <v>0.610082</v>
      </c>
      <c r="J1591" t="n">
        <v>0.001825</v>
      </c>
      <c r="K1591" s="4">
        <f>IFERROR(J1591/I1591,"")</f>
        <v/>
      </c>
      <c r="L1591" s="4">
        <f>IFERROR((D1591-E1591)/E1591,"")</f>
        <v/>
      </c>
      <c r="M1591" s="19">
        <f>IFERROR(F1591*G1591/10000,"")</f>
        <v/>
      </c>
    </row>
    <row r="1592">
      <c r="A1592" t="inlineStr">
        <is>
          <t>2026-10-30</t>
        </is>
      </c>
      <c r="B1592" t="inlineStr">
        <is>
          <t>562050</t>
        </is>
      </c>
      <c r="C1592" t="inlineStr">
        <is>
          <t>药ETF华宝</t>
        </is>
      </c>
      <c r="D1592" t="n">
        <v>12346.8</v>
      </c>
      <c r="E1592" t="n">
        <v>12546.8</v>
      </c>
      <c r="F1592" t="n">
        <v>0.873</v>
      </c>
      <c r="G1592" t="n">
        <v>-200</v>
      </c>
      <c r="H1592" t="n">
        <v>1.095336</v>
      </c>
      <c r="I1592" t="n">
        <v>1.105373</v>
      </c>
      <c r="J1592" t="n">
        <v>-0.010037</v>
      </c>
      <c r="K1592" s="4">
        <f>IFERROR(J1592/I1592,"")</f>
        <v/>
      </c>
      <c r="L1592" s="4">
        <f>IFERROR((D1592-E1592)/E1592,"")</f>
        <v/>
      </c>
      <c r="M1592" s="19">
        <f>IFERROR(F1592*G1592/10000,"")</f>
        <v/>
      </c>
    </row>
    <row r="1593">
      <c r="A1593" t="inlineStr">
        <is>
          <t>2026-10-30</t>
        </is>
      </c>
      <c r="B1593" t="inlineStr">
        <is>
          <t>562060</t>
        </is>
      </c>
      <c r="C1593" t="inlineStr">
        <is>
          <t>标普A股红利ETF华宝</t>
        </is>
      </c>
      <c r="D1593" t="n">
        <v>433579.26</v>
      </c>
      <c r="E1593" t="n">
        <v>433979.26</v>
      </c>
      <c r="F1593" t="n">
        <v>0.596</v>
      </c>
      <c r="G1593" t="n">
        <v>-400</v>
      </c>
      <c r="H1593" t="n">
        <v>25.865164</v>
      </c>
      <c r="I1593" t="n">
        <v>25.780372</v>
      </c>
      <c r="J1593" t="n">
        <v>0.08479200000000001</v>
      </c>
      <c r="K1593" s="4">
        <f>IFERROR(J1593/I1593,"")</f>
        <v/>
      </c>
      <c r="L1593" s="4">
        <f>IFERROR((D1593-E1593)/E1593,"")</f>
        <v/>
      </c>
      <c r="M1593" s="19">
        <f>IFERROR(F1593*G1593/10000,"")</f>
        <v/>
      </c>
    </row>
    <row r="1594">
      <c r="A1594" t="inlineStr">
        <is>
          <t>2026-10-30</t>
        </is>
      </c>
      <c r="B1594" t="inlineStr">
        <is>
          <t>562070</t>
        </is>
      </c>
      <c r="C1594" t="inlineStr">
        <is>
          <t>沪深300指增ETF华宝</t>
        </is>
      </c>
      <c r="D1594" t="n">
        <v>64554.2</v>
      </c>
      <c r="E1594" t="n">
        <v>64554.2</v>
      </c>
      <c r="F1594" t="n">
        <v>0.9389999999999999</v>
      </c>
      <c r="G1594" t="n">
        <v>0</v>
      </c>
      <c r="H1594" t="n">
        <v>6.061639</v>
      </c>
      <c r="I1594" t="n">
        <v>6.106827</v>
      </c>
      <c r="J1594" t="n">
        <v>-0.045188</v>
      </c>
      <c r="K1594" s="4">
        <f>IFERROR(J1594/I1594,"")</f>
        <v/>
      </c>
      <c r="L1594" s="4">
        <f>IFERROR((D1594-E1594)/E1594,"")</f>
        <v/>
      </c>
      <c r="M1594" s="19">
        <f>IFERROR(F1594*G1594/10000,"")</f>
        <v/>
      </c>
    </row>
    <row r="1595">
      <c r="A1595" t="inlineStr">
        <is>
          <t>2026-10-30</t>
        </is>
      </c>
      <c r="B1595" t="inlineStr">
        <is>
          <t>562080</t>
        </is>
      </c>
      <c r="C1595" t="inlineStr">
        <is>
          <t>300现金流ETF华宝</t>
        </is>
      </c>
      <c r="D1595" t="n">
        <v>55875.72</v>
      </c>
      <c r="E1595" t="n">
        <v>55675.72</v>
      </c>
      <c r="F1595" t="n">
        <v>0.634</v>
      </c>
      <c r="G1595" t="n">
        <v>200</v>
      </c>
      <c r="H1595" t="n">
        <v>3.529841</v>
      </c>
      <c r="I1595" t="n">
        <v>3.52286</v>
      </c>
      <c r="J1595" t="n">
        <v>0.006981</v>
      </c>
      <c r="K1595" s="4">
        <f>IFERROR(J1595/I1595,"")</f>
        <v/>
      </c>
      <c r="L1595" s="4">
        <f>IFERROR((D1595-E1595)/E1595,"")</f>
        <v/>
      </c>
      <c r="M1595" s="19">
        <f>IFERROR(F1595*G1595/10000,"")</f>
        <v/>
      </c>
    </row>
    <row r="1596">
      <c r="A1596" t="inlineStr">
        <is>
          <t>2026-10-30</t>
        </is>
      </c>
      <c r="B1596" t="inlineStr">
        <is>
          <t>562300</t>
        </is>
      </c>
      <c r="C1596" t="inlineStr">
        <is>
          <t>碳中和ETF银华</t>
        </is>
      </c>
      <c r="D1596" t="n">
        <v>6049.5</v>
      </c>
      <c r="E1596" t="n">
        <v>5849.5</v>
      </c>
      <c r="F1596" t="n">
        <v>0.5639999999999999</v>
      </c>
      <c r="G1596" t="n">
        <v>200</v>
      </c>
      <c r="H1596" t="n">
        <v>0.329912</v>
      </c>
      <c r="I1596" t="n">
        <v>0.329912</v>
      </c>
      <c r="J1596" t="n">
        <v>0</v>
      </c>
      <c r="K1596" s="4">
        <f>IFERROR(J1596/I1596,"")</f>
        <v/>
      </c>
      <c r="L1596" s="4">
        <f>IFERROR((D1596-E1596)/E1596,"")</f>
        <v/>
      </c>
      <c r="M1596" s="19">
        <f>IFERROR(F1596*G1596/10000,"")</f>
        <v/>
      </c>
    </row>
    <row r="1597">
      <c r="A1597" t="inlineStr">
        <is>
          <t>2026-10-30</t>
        </is>
      </c>
      <c r="B1597" t="inlineStr">
        <is>
          <t>562310</t>
        </is>
      </c>
      <c r="C1597" t="inlineStr">
        <is>
          <t>沪深300成长ETF银华</t>
        </is>
      </c>
      <c r="D1597" t="n">
        <v>47857.23</v>
      </c>
      <c r="E1597" t="n">
        <v>47857.23</v>
      </c>
      <c r="F1597" t="n">
        <v>0.854</v>
      </c>
      <c r="G1597" t="n">
        <v>0</v>
      </c>
      <c r="H1597" t="n">
        <v>4.087007</v>
      </c>
      <c r="I1597" t="n">
        <v>4.187507</v>
      </c>
      <c r="J1597" t="n">
        <v>-0.1005</v>
      </c>
      <c r="K1597" s="4">
        <f>IFERROR(J1597/I1597,"")</f>
        <v/>
      </c>
      <c r="L1597" s="4">
        <f>IFERROR((D1597-E1597)/E1597,"")</f>
        <v/>
      </c>
      <c r="M1597" s="19">
        <f>IFERROR(F1597*G1597/10000,"")</f>
        <v/>
      </c>
    </row>
    <row r="1598">
      <c r="A1598" t="inlineStr">
        <is>
          <t>2026-10-30</t>
        </is>
      </c>
      <c r="B1598" t="inlineStr">
        <is>
          <t>562320</t>
        </is>
      </c>
      <c r="C1598" t="inlineStr">
        <is>
          <t>沪深300价值ETF银华</t>
        </is>
      </c>
      <c r="D1598" t="n">
        <v>5229.55</v>
      </c>
      <c r="E1598" t="n">
        <v>5229.55</v>
      </c>
      <c r="F1598" t="n">
        <v>1.351</v>
      </c>
      <c r="G1598" t="n">
        <v>0</v>
      </c>
      <c r="H1598" t="n">
        <v>0.706512</v>
      </c>
      <c r="I1598" t="n">
        <v>0.698668</v>
      </c>
      <c r="J1598" t="n">
        <v>0.007844</v>
      </c>
      <c r="K1598" s="4">
        <f>IFERROR(J1598/I1598,"")</f>
        <v/>
      </c>
      <c r="L1598" s="4">
        <f>IFERROR((D1598-E1598)/E1598,"")</f>
        <v/>
      </c>
      <c r="M1598" s="19">
        <f>IFERROR(F1598*G1598/10000,"")</f>
        <v/>
      </c>
    </row>
    <row r="1599">
      <c r="A1599" t="inlineStr">
        <is>
          <t>2026-10-30</t>
        </is>
      </c>
      <c r="B1599" t="inlineStr">
        <is>
          <t>562330</t>
        </is>
      </c>
      <c r="C1599" t="inlineStr">
        <is>
          <t>中证500价值ETF银华</t>
        </is>
      </c>
      <c r="D1599" t="n">
        <v>1201.89</v>
      </c>
      <c r="E1599" t="n">
        <v>1201.89</v>
      </c>
      <c r="F1599" t="n">
        <v>1.157</v>
      </c>
      <c r="G1599" t="n">
        <v>0</v>
      </c>
      <c r="H1599" t="n">
        <v>0.139059</v>
      </c>
      <c r="I1599" t="n">
        <v>0.139419</v>
      </c>
      <c r="J1599" t="n">
        <v>-0.00036</v>
      </c>
      <c r="K1599" s="4">
        <f>IFERROR(J1599/I1599,"")</f>
        <v/>
      </c>
      <c r="L1599" s="4">
        <f>IFERROR((D1599-E1599)/E1599,"")</f>
        <v/>
      </c>
      <c r="M1599" s="19">
        <f>IFERROR(F1599*G1599/10000,"")</f>
        <v/>
      </c>
    </row>
    <row r="1600">
      <c r="A1600" t="inlineStr">
        <is>
          <t>2026-10-30</t>
        </is>
      </c>
      <c r="B1600" t="inlineStr">
        <is>
          <t>562340</t>
        </is>
      </c>
      <c r="C1600" t="inlineStr">
        <is>
          <t>中证500成长ETF银华</t>
        </is>
      </c>
      <c r="D1600" t="n">
        <v>1214.43</v>
      </c>
      <c r="E1600" t="n">
        <v>1214.43</v>
      </c>
      <c r="F1600" t="n">
        <v>1.244</v>
      </c>
      <c r="G1600" t="n">
        <v>0</v>
      </c>
      <c r="H1600" t="n">
        <v>0.151076</v>
      </c>
      <c r="I1600" t="n">
        <v>0.153626</v>
      </c>
      <c r="J1600" t="n">
        <v>-0.00255</v>
      </c>
      <c r="K1600" s="4">
        <f>IFERROR(J1600/I1600,"")</f>
        <v/>
      </c>
      <c r="L1600" s="4">
        <f>IFERROR((D1600-E1600)/E1600,"")</f>
        <v/>
      </c>
      <c r="M1600" s="19">
        <f>IFERROR(F1600*G1600/10000,"")</f>
        <v/>
      </c>
    </row>
    <row r="1601">
      <c r="A1601" t="inlineStr">
        <is>
          <t>2026-10-30</t>
        </is>
      </c>
      <c r="B1601" t="inlineStr">
        <is>
          <t>562350</t>
        </is>
      </c>
      <c r="C1601" t="inlineStr">
        <is>
          <t>电力ETF银华</t>
        </is>
      </c>
      <c r="D1601" t="n">
        <v>11141.09</v>
      </c>
      <c r="E1601" t="n">
        <v>11141.09</v>
      </c>
      <c r="F1601" t="n">
        <v>1.085</v>
      </c>
      <c r="G1601" t="n">
        <v>0</v>
      </c>
      <c r="H1601" t="n">
        <v>1.208808</v>
      </c>
      <c r="I1601" t="n">
        <v>1.199895</v>
      </c>
      <c r="J1601" t="n">
        <v>0.008913000000000001</v>
      </c>
      <c r="K1601" s="4">
        <f>IFERROR(J1601/I1601,"")</f>
        <v/>
      </c>
      <c r="L1601" s="4">
        <f>IFERROR((D1601-E1601)/E1601,"")</f>
        <v/>
      </c>
      <c r="M1601" s="19">
        <f>IFERROR(F1601*G1601/10000,"")</f>
        <v/>
      </c>
    </row>
    <row r="1602">
      <c r="A1602" t="inlineStr">
        <is>
          <t>2026-10-30</t>
        </is>
      </c>
      <c r="B1602" t="inlineStr">
        <is>
          <t>562360</t>
        </is>
      </c>
      <c r="C1602" t="inlineStr">
        <is>
          <t>机器人ETF银华</t>
        </is>
      </c>
      <c r="D1602" t="n">
        <v>30647.4</v>
      </c>
      <c r="E1602" t="n">
        <v>31047.4</v>
      </c>
      <c r="F1602" t="n">
        <v>0.93</v>
      </c>
      <c r="G1602" t="n">
        <v>-400</v>
      </c>
      <c r="H1602" t="n">
        <v>2.887408</v>
      </c>
      <c r="I1602" t="n">
        <v>2.993265</v>
      </c>
      <c r="J1602" t="n">
        <v>-0.105857</v>
      </c>
      <c r="K1602" s="4">
        <f>IFERROR(J1602/I1602,"")</f>
        <v/>
      </c>
      <c r="L1602" s="4">
        <f>IFERROR((D1602-E1602)/E1602,"")</f>
        <v/>
      </c>
      <c r="M1602" s="19">
        <f>IFERROR(F1602*G1602/10000,"")</f>
        <v/>
      </c>
    </row>
    <row r="1603">
      <c r="A1603" t="inlineStr">
        <is>
          <t>2026-10-30</t>
        </is>
      </c>
      <c r="B1603" t="inlineStr">
        <is>
          <t>562380</t>
        </is>
      </c>
      <c r="C1603" t="inlineStr">
        <is>
          <t>央企科技ETF银华</t>
        </is>
      </c>
      <c r="D1603" t="n">
        <v>8012.89</v>
      </c>
      <c r="E1603" t="n">
        <v>7662.89</v>
      </c>
      <c r="F1603" t="n">
        <v>1.04</v>
      </c>
      <c r="G1603" t="n">
        <v>350</v>
      </c>
      <c r="H1603" t="n">
        <v>0.79694</v>
      </c>
      <c r="I1603" t="n">
        <v>0.845659</v>
      </c>
      <c r="J1603" t="n">
        <v>-0.048719</v>
      </c>
      <c r="K1603" s="4">
        <f>IFERROR(J1603/I1603,"")</f>
        <v/>
      </c>
      <c r="L1603" s="4">
        <f>IFERROR((D1603-E1603)/E1603,"")</f>
        <v/>
      </c>
      <c r="M1603" s="19">
        <f>IFERROR(F1603*G1603/10000,"")</f>
        <v/>
      </c>
    </row>
    <row r="1604">
      <c r="A1604" t="inlineStr">
        <is>
          <t>2026-10-30</t>
        </is>
      </c>
      <c r="B1604" t="inlineStr">
        <is>
          <t>562390</t>
        </is>
      </c>
      <c r="C1604" t="inlineStr">
        <is>
          <t>中药ETF银华</t>
        </is>
      </c>
      <c r="D1604" t="n">
        <v>8142.9</v>
      </c>
      <c r="E1604" t="n">
        <v>8142.9</v>
      </c>
      <c r="F1604" t="n">
        <v>0.849</v>
      </c>
      <c r="G1604" t="n">
        <v>0</v>
      </c>
      <c r="H1604" t="n">
        <v>0.6913319999999999</v>
      </c>
      <c r="I1604" t="n">
        <v>0.7002890000000001</v>
      </c>
      <c r="J1604" t="n">
        <v>-0.008957</v>
      </c>
      <c r="K1604" s="4">
        <f>IFERROR(J1604/I1604,"")</f>
        <v/>
      </c>
      <c r="L1604" s="4">
        <f>IFERROR((D1604-E1604)/E1604,"")</f>
        <v/>
      </c>
      <c r="M1604" s="19">
        <f>IFERROR(F1604*G1604/10000,"")</f>
        <v/>
      </c>
    </row>
    <row r="1605">
      <c r="A1605" t="inlineStr">
        <is>
          <t>2026-10-30</t>
        </is>
      </c>
      <c r="B1605" t="inlineStr">
        <is>
          <t>562500</t>
        </is>
      </c>
      <c r="C1605" t="inlineStr">
        <is>
          <t>机器人ETF华夏</t>
        </is>
      </c>
      <c r="D1605" t="n">
        <v>1872868.73</v>
      </c>
      <c r="E1605" t="n">
        <v>1864318.73</v>
      </c>
      <c r="F1605" t="n">
        <v>0.862</v>
      </c>
      <c r="G1605" t="n">
        <v>8550</v>
      </c>
      <c r="H1605" t="n">
        <v>160.704274</v>
      </c>
      <c r="I1605" t="n">
        <v>165.724117</v>
      </c>
      <c r="J1605" t="n">
        <v>-5.019843</v>
      </c>
      <c r="K1605" s="4">
        <f>IFERROR(J1605/I1605,"")</f>
        <v/>
      </c>
      <c r="L1605" s="4">
        <f>IFERROR((D1605-E1605)/E1605,"")</f>
        <v/>
      </c>
      <c r="M1605" s="19">
        <f>IFERROR(F1605*G1605/10000,"")</f>
        <v/>
      </c>
    </row>
    <row r="1606">
      <c r="A1606" t="inlineStr">
        <is>
          <t>2026-10-30</t>
        </is>
      </c>
      <c r="B1606" t="inlineStr">
        <is>
          <t>562510</t>
        </is>
      </c>
      <c r="C1606" t="inlineStr">
        <is>
          <t>旅游ETF华夏</t>
        </is>
      </c>
      <c r="D1606" t="n">
        <v>108109.5</v>
      </c>
      <c r="E1606" t="n">
        <v>109209.5</v>
      </c>
      <c r="F1606" t="n">
        <v>0.527</v>
      </c>
      <c r="G1606" t="n">
        <v>-1100</v>
      </c>
      <c r="H1606" t="n">
        <v>5.755341</v>
      </c>
      <c r="I1606" t="n">
        <v>5.757976</v>
      </c>
      <c r="J1606" t="n">
        <v>-0.002635</v>
      </c>
      <c r="K1606" s="4">
        <f>IFERROR(J1606/I1606,"")</f>
        <v/>
      </c>
      <c r="L1606" s="4">
        <f>IFERROR((D1606-E1606)/E1606,"")</f>
        <v/>
      </c>
      <c r="M1606" s="19">
        <f>IFERROR(F1606*G1606/10000,"")</f>
        <v/>
      </c>
    </row>
    <row r="1607">
      <c r="A1607" t="inlineStr">
        <is>
          <t>2026-10-30</t>
        </is>
      </c>
      <c r="B1607" t="inlineStr">
        <is>
          <t>562520</t>
        </is>
      </c>
      <c r="C1607" t="inlineStr">
        <is>
          <t>中证1000成长ETF华夏</t>
        </is>
      </c>
      <c r="D1607" t="n">
        <v>3056.8</v>
      </c>
      <c r="E1607" t="n">
        <v>3256.8</v>
      </c>
      <c r="F1607" t="n">
        <v>1.194</v>
      </c>
      <c r="G1607" t="n">
        <v>-200</v>
      </c>
      <c r="H1607" t="n">
        <v>0.388862</v>
      </c>
      <c r="I1607" t="n">
        <v>0.398633</v>
      </c>
      <c r="J1607" t="n">
        <v>-0.009771</v>
      </c>
      <c r="K1607" s="4">
        <f>IFERROR(J1607/I1607,"")</f>
        <v/>
      </c>
      <c r="L1607" s="4">
        <f>IFERROR((D1607-E1607)/E1607,"")</f>
        <v/>
      </c>
      <c r="M1607" s="19">
        <f>IFERROR(F1607*G1607/10000,"")</f>
        <v/>
      </c>
    </row>
    <row r="1608">
      <c r="A1608" t="inlineStr">
        <is>
          <t>2026-10-30</t>
        </is>
      </c>
      <c r="B1608" t="inlineStr">
        <is>
          <t>562530</t>
        </is>
      </c>
      <c r="C1608" t="inlineStr">
        <is>
          <t>中证1000价值ETF华夏</t>
        </is>
      </c>
      <c r="D1608" t="n">
        <v>14214.4</v>
      </c>
      <c r="E1608" t="n">
        <v>14214.4</v>
      </c>
      <c r="F1608" t="n">
        <v>1.21</v>
      </c>
      <c r="G1608" t="n">
        <v>0</v>
      </c>
      <c r="H1608" t="n">
        <v>1.719942</v>
      </c>
      <c r="I1608" t="n">
        <v>1.734156</v>
      </c>
      <c r="J1608" t="n">
        <v>-0.014214</v>
      </c>
      <c r="K1608" s="4">
        <f>IFERROR(J1608/I1608,"")</f>
        <v/>
      </c>
      <c r="L1608" s="4">
        <f>IFERROR((D1608-E1608)/E1608,"")</f>
        <v/>
      </c>
      <c r="M1608" s="19">
        <f>IFERROR(F1608*G1608/10000,"")</f>
        <v/>
      </c>
    </row>
    <row r="1609">
      <c r="A1609" t="inlineStr">
        <is>
          <t>2026-10-30</t>
        </is>
      </c>
      <c r="B1609" t="inlineStr">
        <is>
          <t>562550</t>
        </is>
      </c>
      <c r="C1609" t="inlineStr">
        <is>
          <t>绿电ETF华夏</t>
        </is>
      </c>
      <c r="D1609" t="n">
        <v>124591.93</v>
      </c>
      <c r="E1609" t="n">
        <v>125841.93</v>
      </c>
      <c r="F1609" t="n">
        <v>1.137</v>
      </c>
      <c r="G1609" t="n">
        <v>-1250</v>
      </c>
      <c r="H1609" t="n">
        <v>14.308228</v>
      </c>
      <c r="I1609" t="n">
        <v>14.226102</v>
      </c>
      <c r="J1609" t="n">
        <v>0.082126</v>
      </c>
      <c r="K1609" s="4">
        <f>IFERROR(J1609/I1609,"")</f>
        <v/>
      </c>
      <c r="L1609" s="4">
        <f>IFERROR((D1609-E1609)/E1609,"")</f>
        <v/>
      </c>
      <c r="M1609" s="19">
        <f>IFERROR(F1609*G1609/10000,"")</f>
        <v/>
      </c>
    </row>
    <row r="1610">
      <c r="A1610" t="inlineStr">
        <is>
          <t>2026-10-30</t>
        </is>
      </c>
      <c r="B1610" t="inlineStr">
        <is>
          <t>562560</t>
        </is>
      </c>
      <c r="C1610" t="inlineStr">
        <is>
          <t>信息技术ETF华夏</t>
        </is>
      </c>
      <c r="D1610" t="n">
        <v>2426.55</v>
      </c>
      <c r="E1610" t="n">
        <v>2426.55</v>
      </c>
      <c r="F1610" t="n">
        <v>1.69</v>
      </c>
      <c r="G1610" t="n">
        <v>0</v>
      </c>
      <c r="H1610" t="n">
        <v>0.410087</v>
      </c>
      <c r="I1610" t="n">
        <v>0.431441</v>
      </c>
      <c r="J1610" t="n">
        <v>-0.021354</v>
      </c>
      <c r="K1610" s="4">
        <f>IFERROR(J1610/I1610,"")</f>
        <v/>
      </c>
      <c r="L1610" s="4">
        <f>IFERROR((D1610-E1610)/E1610,"")</f>
        <v/>
      </c>
      <c r="M1610" s="19">
        <f>IFERROR(F1610*G1610/10000,"")</f>
        <v/>
      </c>
    </row>
    <row r="1611">
      <c r="A1611" t="inlineStr">
        <is>
          <t>2026-10-30</t>
        </is>
      </c>
      <c r="B1611" t="inlineStr">
        <is>
          <t>562570</t>
        </is>
      </c>
      <c r="C1611" t="inlineStr">
        <is>
          <t>信创ETF华夏</t>
        </is>
      </c>
      <c r="D1611" t="n">
        <v>33528.1</v>
      </c>
      <c r="E1611" t="n">
        <v>33228.1</v>
      </c>
      <c r="F1611" t="n">
        <v>1.166</v>
      </c>
      <c r="G1611" t="n">
        <v>300</v>
      </c>
      <c r="H1611" t="n">
        <v>3.874396</v>
      </c>
      <c r="I1611" t="n">
        <v>4.045942</v>
      </c>
      <c r="J1611" t="n">
        <v>-0.171546</v>
      </c>
      <c r="K1611" s="4">
        <f>IFERROR(J1611/I1611,"")</f>
        <v/>
      </c>
      <c r="L1611" s="4">
        <f>IFERROR((D1611-E1611)/E1611,"")</f>
        <v/>
      </c>
      <c r="M1611" s="19">
        <f>IFERROR(F1611*G1611/10000,"")</f>
        <v/>
      </c>
    </row>
    <row r="1612">
      <c r="A1612" t="inlineStr">
        <is>
          <t>2026-10-30</t>
        </is>
      </c>
      <c r="B1612" t="inlineStr">
        <is>
          <t>562580</t>
        </is>
      </c>
      <c r="C1612" t="inlineStr">
        <is>
          <t>可选消费ETF华夏</t>
        </is>
      </c>
      <c r="D1612" t="n">
        <v>4072.33</v>
      </c>
      <c r="E1612" t="n">
        <v>4072.33</v>
      </c>
      <c r="F1612" t="n">
        <v>1.004</v>
      </c>
      <c r="G1612" t="n">
        <v>0</v>
      </c>
      <c r="H1612" t="n">
        <v>0.408862</v>
      </c>
      <c r="I1612" t="n">
        <v>0.397724</v>
      </c>
      <c r="J1612" t="n">
        <v>0.011138</v>
      </c>
      <c r="K1612" s="4">
        <f>IFERROR(J1612/I1612,"")</f>
        <v/>
      </c>
      <c r="L1612" s="4">
        <f>IFERROR((D1612-E1612)/E1612,"")</f>
        <v/>
      </c>
      <c r="M1612" s="19">
        <f>IFERROR(F1612*G1612/10000,"")</f>
        <v/>
      </c>
    </row>
    <row r="1613">
      <c r="A1613" t="inlineStr">
        <is>
          <t>2026-10-30</t>
        </is>
      </c>
      <c r="B1613" t="inlineStr">
        <is>
          <t>562590</t>
        </is>
      </c>
      <c r="C1613" t="inlineStr">
        <is>
          <t>半导体设备ETF华夏</t>
        </is>
      </c>
      <c r="D1613" t="n">
        <v>841998.9</v>
      </c>
      <c r="E1613" t="n">
        <v>847098.9</v>
      </c>
      <c r="F1613" t="n">
        <v>0.664</v>
      </c>
      <c r="G1613" t="n">
        <v>-5100</v>
      </c>
      <c r="H1613" t="n">
        <v>56.247367</v>
      </c>
      <c r="I1613" t="n">
        <v>60.860723</v>
      </c>
      <c r="J1613" t="n">
        <v>-4.613356</v>
      </c>
      <c r="K1613" s="4">
        <f>IFERROR(J1613/I1613,"")</f>
        <v/>
      </c>
      <c r="L1613" s="4">
        <f>IFERROR((D1613-E1613)/E1613,"")</f>
        <v/>
      </c>
      <c r="M1613" s="19">
        <f>IFERROR(F1613*G1613/10000,"")</f>
        <v/>
      </c>
    </row>
    <row r="1614">
      <c r="A1614" t="inlineStr">
        <is>
          <t>2026-10-30</t>
        </is>
      </c>
      <c r="B1614" t="inlineStr">
        <is>
          <t>562600</t>
        </is>
      </c>
      <c r="C1614" t="inlineStr">
        <is>
          <t>医疗器械ETF华夏</t>
        </is>
      </c>
      <c r="D1614" t="n">
        <v>43593.74</v>
      </c>
      <c r="E1614" t="n">
        <v>43693.74</v>
      </c>
      <c r="F1614" t="n">
        <v>0.777</v>
      </c>
      <c r="G1614" t="n">
        <v>-100</v>
      </c>
      <c r="H1614" t="n">
        <v>3.395004</v>
      </c>
      <c r="I1614" t="n">
        <v>3.439312</v>
      </c>
      <c r="J1614" t="n">
        <v>-0.044308</v>
      </c>
      <c r="K1614" s="4">
        <f>IFERROR(J1614/I1614,"")</f>
        <v/>
      </c>
      <c r="L1614" s="4">
        <f>IFERROR((D1614-E1614)/E1614,"")</f>
        <v/>
      </c>
      <c r="M1614" s="19">
        <f>IFERROR(F1614*G1614/10000,"")</f>
        <v/>
      </c>
    </row>
    <row r="1615">
      <c r="A1615" t="inlineStr">
        <is>
          <t>2026-10-30</t>
        </is>
      </c>
      <c r="B1615" t="inlineStr">
        <is>
          <t>562660</t>
        </is>
      </c>
      <c r="C1615" t="inlineStr">
        <is>
          <t>中证2000ETF华夏</t>
        </is>
      </c>
      <c r="D1615" t="n">
        <v>36087.4</v>
      </c>
      <c r="E1615" t="n">
        <v>36287.4</v>
      </c>
      <c r="F1615" t="n">
        <v>1.689</v>
      </c>
      <c r="G1615" t="n">
        <v>-200</v>
      </c>
      <c r="H1615" t="n">
        <v>6.128942</v>
      </c>
      <c r="I1615" t="n">
        <v>6.290034</v>
      </c>
      <c r="J1615" t="n">
        <v>-0.161092</v>
      </c>
      <c r="K1615" s="4">
        <f>IFERROR(J1615/I1615,"")</f>
        <v/>
      </c>
      <c r="L1615" s="4">
        <f>IFERROR((D1615-E1615)/E1615,"")</f>
        <v/>
      </c>
      <c r="M1615" s="19">
        <f>IFERROR(F1615*G1615/10000,"")</f>
        <v/>
      </c>
    </row>
    <row r="1616">
      <c r="A1616" t="inlineStr">
        <is>
          <t>2026-10-30</t>
        </is>
      </c>
      <c r="B1616" t="inlineStr">
        <is>
          <t>562700</t>
        </is>
      </c>
      <c r="C1616" t="inlineStr">
        <is>
          <t>汽车零部件ETF华夏</t>
        </is>
      </c>
      <c r="D1616" t="n">
        <v>9775</v>
      </c>
      <c r="E1616" t="n">
        <v>9775</v>
      </c>
      <c r="F1616" t="n">
        <v>1.12</v>
      </c>
      <c r="G1616" t="n">
        <v>0</v>
      </c>
      <c r="H1616" t="n">
        <v>1.0948</v>
      </c>
      <c r="I1616" t="n">
        <v>1.075313</v>
      </c>
      <c r="J1616" t="n">
        <v>0.019487</v>
      </c>
      <c r="K1616" s="4">
        <f>IFERROR(J1616/I1616,"")</f>
        <v/>
      </c>
      <c r="L1616" s="4">
        <f>IFERROR((D1616-E1616)/E1616,"")</f>
        <v/>
      </c>
      <c r="M1616" s="19">
        <f>IFERROR(F1616*G1616/10000,"")</f>
        <v/>
      </c>
    </row>
    <row r="1617">
      <c r="A1617" t="inlineStr">
        <is>
          <t>2026-10-30</t>
        </is>
      </c>
      <c r="B1617" t="inlineStr">
        <is>
          <t>562800</t>
        </is>
      </c>
      <c r="C1617" t="inlineStr">
        <is>
          <t>稀有金属ETF嘉实</t>
        </is>
      </c>
      <c r="D1617" t="n">
        <v>518129.5</v>
      </c>
      <c r="E1617" t="n">
        <v>518669.5</v>
      </c>
      <c r="F1617" t="n">
        <v>0.705</v>
      </c>
      <c r="G1617" t="n">
        <v>-540</v>
      </c>
      <c r="H1617" t="n">
        <v>36.5662</v>
      </c>
      <c r="I1617" t="n">
        <v>37.714572</v>
      </c>
      <c r="J1617" t="n">
        <v>-1.148372</v>
      </c>
      <c r="K1617" s="4">
        <f>IFERROR(J1617/I1617,"")</f>
        <v/>
      </c>
      <c r="L1617" s="4">
        <f>IFERROR((D1617-E1617)/E1617,"")</f>
        <v/>
      </c>
      <c r="M1617" s="19">
        <f>IFERROR(F1617*G1617/10000,"")</f>
        <v/>
      </c>
    </row>
    <row r="1618">
      <c r="A1618" t="inlineStr">
        <is>
          <t>2026-10-30</t>
        </is>
      </c>
      <c r="B1618" t="inlineStr">
        <is>
          <t>562810</t>
        </is>
      </c>
      <c r="C1618" t="inlineStr">
        <is>
          <t>上证指数增强ETF嘉实</t>
        </is>
      </c>
      <c r="D1618" t="n">
        <v>5795.1</v>
      </c>
      <c r="E1618" t="n">
        <v>5795.1</v>
      </c>
      <c r="F1618" t="n">
        <v>1.092</v>
      </c>
      <c r="G1618" t="n">
        <v>0</v>
      </c>
      <c r="H1618" t="n">
        <v>0.632825</v>
      </c>
      <c r="I1618" t="n">
        <v>0.635143</v>
      </c>
      <c r="J1618" t="n">
        <v>-0.002318</v>
      </c>
      <c r="K1618" s="4">
        <f>IFERROR(J1618/I1618,"")</f>
        <v/>
      </c>
      <c r="L1618" s="4">
        <f>IFERROR((D1618-E1618)/E1618,"")</f>
        <v/>
      </c>
      <c r="M1618" s="19">
        <f>IFERROR(F1618*G1618/10000,"")</f>
        <v/>
      </c>
    </row>
    <row r="1619">
      <c r="A1619" t="inlineStr">
        <is>
          <t>2026-10-30</t>
        </is>
      </c>
      <c r="B1619" t="inlineStr">
        <is>
          <t>562820</t>
        </is>
      </c>
      <c r="C1619" t="inlineStr">
        <is>
          <t>集成电路ETF嘉实</t>
        </is>
      </c>
      <c r="D1619" t="n">
        <v>43140.8</v>
      </c>
      <c r="E1619" t="n">
        <v>43140.8</v>
      </c>
      <c r="F1619" t="n">
        <v>0.744</v>
      </c>
      <c r="G1619" t="n">
        <v>0</v>
      </c>
      <c r="H1619" t="n">
        <v>3.209676</v>
      </c>
      <c r="I1619" t="n">
        <v>3.473881</v>
      </c>
      <c r="J1619" t="n">
        <v>-0.264205</v>
      </c>
      <c r="K1619" s="4">
        <f>IFERROR(J1619/I1619,"")</f>
        <v/>
      </c>
      <c r="L1619" s="4">
        <f>IFERROR((D1619-E1619)/E1619,"")</f>
        <v/>
      </c>
      <c r="M1619" s="19">
        <f>IFERROR(F1619*G1619/10000,"")</f>
        <v/>
      </c>
    </row>
    <row r="1620">
      <c r="A1620" t="inlineStr">
        <is>
          <t>2026-10-30</t>
        </is>
      </c>
      <c r="B1620" t="inlineStr">
        <is>
          <t>562850</t>
        </is>
      </c>
      <c r="C1620" t="inlineStr">
        <is>
          <t>央企能源ETF嘉实</t>
        </is>
      </c>
      <c r="D1620" t="n">
        <v>16298.15</v>
      </c>
      <c r="E1620" t="n">
        <v>16498.15</v>
      </c>
      <c r="F1620" t="n">
        <v>1.26</v>
      </c>
      <c r="G1620" t="n">
        <v>-200</v>
      </c>
      <c r="H1620" t="n">
        <v>2.078766</v>
      </c>
      <c r="I1620" t="n">
        <v>2.101448</v>
      </c>
      <c r="J1620" t="n">
        <v>-0.022682</v>
      </c>
      <c r="K1620" s="4">
        <f>IFERROR(J1620/I1620,"")</f>
        <v/>
      </c>
      <c r="L1620" s="4">
        <f>IFERROR((D1620-E1620)/E1620,"")</f>
        <v/>
      </c>
      <c r="M1620" s="19">
        <f>IFERROR(F1620*G1620/10000,"")</f>
        <v/>
      </c>
    </row>
    <row r="1621">
      <c r="A1621" t="inlineStr">
        <is>
          <t>2026-10-30</t>
        </is>
      </c>
      <c r="B1621" t="inlineStr">
        <is>
          <t>562860</t>
        </is>
      </c>
      <c r="C1621" t="inlineStr">
        <is>
          <t>疫苗ETF嘉实</t>
        </is>
      </c>
      <c r="D1621" t="n">
        <v>34089.5</v>
      </c>
      <c r="E1621" t="n">
        <v>34089.5</v>
      </c>
      <c r="F1621" t="n">
        <v>0.589</v>
      </c>
      <c r="G1621" t="n">
        <v>0</v>
      </c>
      <c r="H1621" t="n">
        <v>2.007871</v>
      </c>
      <c r="I1621" t="n">
        <v>2.055597</v>
      </c>
      <c r="J1621" t="n">
        <v>-0.047726</v>
      </c>
      <c r="K1621" s="4">
        <f>IFERROR(J1621/I1621,"")</f>
        <v/>
      </c>
      <c r="L1621" s="4">
        <f>IFERROR((D1621-E1621)/E1621,"")</f>
        <v/>
      </c>
      <c r="M1621" s="19">
        <f>IFERROR(F1621*G1621/10000,"")</f>
        <v/>
      </c>
    </row>
    <row r="1622">
      <c r="A1622" t="inlineStr">
        <is>
          <t>2026-10-30</t>
        </is>
      </c>
      <c r="B1622" t="inlineStr">
        <is>
          <t>562870</t>
        </is>
      </c>
      <c r="C1622" t="inlineStr">
        <is>
          <t>证券ETF嘉实</t>
        </is>
      </c>
      <c r="D1622" t="n">
        <v>60250.52</v>
      </c>
      <c r="E1622" t="n">
        <v>59950.52</v>
      </c>
      <c r="F1622" t="n">
        <v>0.828</v>
      </c>
      <c r="G1622" t="n">
        <v>300</v>
      </c>
      <c r="H1622" t="n">
        <v>4.963903</v>
      </c>
      <c r="I1622" t="n">
        <v>5.059824</v>
      </c>
      <c r="J1622" t="n">
        <v>-0.09592100000000001</v>
      </c>
      <c r="K1622" s="4">
        <f>IFERROR(J1622/I1622,"")</f>
        <v/>
      </c>
      <c r="L1622" s="4">
        <f>IFERROR((D1622-E1622)/E1622,"")</f>
        <v/>
      </c>
      <c r="M1622" s="19">
        <f>IFERROR(F1622*G1622/10000,"")</f>
        <v/>
      </c>
    </row>
    <row r="1623">
      <c r="A1623" t="inlineStr">
        <is>
          <t>2026-10-30</t>
        </is>
      </c>
      <c r="B1623" t="inlineStr">
        <is>
          <t>562880</t>
        </is>
      </c>
      <c r="C1623" t="inlineStr">
        <is>
          <t>电池ETF嘉实</t>
        </is>
      </c>
      <c r="D1623" t="n">
        <v>86839.96000000001</v>
      </c>
      <c r="E1623" t="n">
        <v>87289.96000000001</v>
      </c>
      <c r="F1623" t="n">
        <v>0.577</v>
      </c>
      <c r="G1623" t="n">
        <v>-450</v>
      </c>
      <c r="H1623" t="n">
        <v>5.036631</v>
      </c>
      <c r="I1623" t="n">
        <v>5.176446</v>
      </c>
      <c r="J1623" t="n">
        <v>-0.139815</v>
      </c>
      <c r="K1623" s="4">
        <f>IFERROR(J1623/I1623,"")</f>
        <v/>
      </c>
      <c r="L1623" s="4">
        <f>IFERROR((D1623-E1623)/E1623,"")</f>
        <v/>
      </c>
      <c r="M1623" s="19">
        <f>IFERROR(F1623*G1623/10000,"")</f>
        <v/>
      </c>
    </row>
    <row r="1624">
      <c r="A1624" t="inlineStr">
        <is>
          <t>2026-10-30</t>
        </is>
      </c>
      <c r="B1624" t="inlineStr">
        <is>
          <t>562890</t>
        </is>
      </c>
      <c r="C1624" t="inlineStr">
        <is>
          <t>A50ETF嘉实</t>
        </is>
      </c>
      <c r="D1624" t="n">
        <v>28705.1</v>
      </c>
      <c r="E1624" t="n">
        <v>28855.1</v>
      </c>
      <c r="F1624" t="n">
        <v>1.235</v>
      </c>
      <c r="G1624" t="n">
        <v>-150</v>
      </c>
      <c r="H1624" t="n">
        <v>3.563605</v>
      </c>
      <c r="I1624" t="n">
        <v>3.587931</v>
      </c>
      <c r="J1624" t="n">
        <v>-0.024326</v>
      </c>
      <c r="K1624" s="4">
        <f>IFERROR(J1624/I1624,"")</f>
        <v/>
      </c>
      <c r="L1624" s="4">
        <f>IFERROR((D1624-E1624)/E1624,"")</f>
        <v/>
      </c>
      <c r="M1624" s="19">
        <f>IFERROR(F1624*G1624/10000,"")</f>
        <v/>
      </c>
    </row>
    <row r="1625">
      <c r="A1625" t="inlineStr">
        <is>
          <t>2026-10-30</t>
        </is>
      </c>
      <c r="B1625" t="inlineStr">
        <is>
          <t>562900</t>
        </is>
      </c>
      <c r="C1625" t="inlineStr">
        <is>
          <t>农业ETF易方达</t>
        </is>
      </c>
      <c r="D1625" t="n">
        <v>20170.63</v>
      </c>
      <c r="E1625" t="n">
        <v>20170.63</v>
      </c>
      <c r="F1625" t="n">
        <v>0.6830000000000001</v>
      </c>
      <c r="G1625" t="n">
        <v>0</v>
      </c>
      <c r="H1625" t="n">
        <v>1.377654</v>
      </c>
      <c r="I1625" t="n">
        <v>1.37362</v>
      </c>
      <c r="J1625" t="n">
        <v>0.004034</v>
      </c>
      <c r="K1625" s="4">
        <f>IFERROR(J1625/I1625,"")</f>
        <v/>
      </c>
      <c r="L1625" s="4">
        <f>IFERROR((D1625-E1625)/E1625,"")</f>
        <v/>
      </c>
      <c r="M1625" s="19">
        <f>IFERROR(F1625*G1625/10000,"")</f>
        <v/>
      </c>
    </row>
    <row r="1626">
      <c r="A1626" t="inlineStr">
        <is>
          <t>2026-10-30</t>
        </is>
      </c>
      <c r="B1626" t="inlineStr">
        <is>
          <t>562910</t>
        </is>
      </c>
      <c r="C1626" t="inlineStr">
        <is>
          <t>高端制造ETF易方达</t>
        </is>
      </c>
      <c r="D1626" t="n">
        <v>34222.73</v>
      </c>
      <c r="E1626" t="n">
        <v>34022.73</v>
      </c>
      <c r="F1626" t="n">
        <v>0.6899999999999999</v>
      </c>
      <c r="G1626" t="n">
        <v>200</v>
      </c>
      <c r="H1626" t="n">
        <v>2.347568</v>
      </c>
      <c r="I1626" t="n">
        <v>2.193307</v>
      </c>
      <c r="J1626" t="n">
        <v>0.154261</v>
      </c>
      <c r="K1626" s="4">
        <f>IFERROR(J1626/I1626,"")</f>
        <v/>
      </c>
      <c r="L1626" s="4">
        <f>IFERROR((D1626-E1626)/E1626,"")</f>
        <v/>
      </c>
      <c r="M1626" s="19">
        <f>IFERROR(F1626*G1626/10000,"")</f>
        <v/>
      </c>
    </row>
    <row r="1627">
      <c r="A1627" t="inlineStr">
        <is>
          <t>2026-10-30</t>
        </is>
      </c>
      <c r="B1627" t="inlineStr">
        <is>
          <t>562920</t>
        </is>
      </c>
      <c r="C1627" t="inlineStr">
        <is>
          <t>信息安全ETF易方达</t>
        </is>
      </c>
      <c r="D1627" t="n">
        <v>9606.9</v>
      </c>
      <c r="E1627" t="n">
        <v>9506.9</v>
      </c>
      <c r="F1627" t="n">
        <v>0.8179999999999999</v>
      </c>
      <c r="G1627" t="n">
        <v>100</v>
      </c>
      <c r="H1627" t="n">
        <v>0.777664</v>
      </c>
      <c r="I1627" t="n">
        <v>0.815626</v>
      </c>
      <c r="J1627" t="n">
        <v>-0.037962</v>
      </c>
      <c r="K1627" s="4">
        <f>IFERROR(J1627/I1627,"")</f>
        <v/>
      </c>
      <c r="L1627" s="4">
        <f>IFERROR((D1627-E1627)/E1627,"")</f>
        <v/>
      </c>
      <c r="M1627" s="19">
        <f>IFERROR(F1627*G1627/10000,"")</f>
        <v/>
      </c>
    </row>
    <row r="1628">
      <c r="A1628" t="inlineStr">
        <is>
          <t>2026-10-30</t>
        </is>
      </c>
      <c r="B1628" t="inlineStr">
        <is>
          <t>562930</t>
        </is>
      </c>
      <c r="C1628" t="inlineStr">
        <is>
          <t>软件ETF易方达</t>
        </is>
      </c>
      <c r="D1628" t="n">
        <v>180643.7</v>
      </c>
      <c r="E1628" t="n">
        <v>178343.7</v>
      </c>
      <c r="F1628" t="n">
        <v>0.638</v>
      </c>
      <c r="G1628" t="n">
        <v>2300</v>
      </c>
      <c r="H1628" t="n">
        <v>11.378328</v>
      </c>
      <c r="I1628" t="n">
        <v>11.73308</v>
      </c>
      <c r="J1628" t="n">
        <v>-0.354752</v>
      </c>
      <c r="K1628" s="4">
        <f>IFERROR(J1628/I1628,"")</f>
        <v/>
      </c>
      <c r="L1628" s="4">
        <f>IFERROR((D1628-E1628)/E1628,"")</f>
        <v/>
      </c>
      <c r="M1628" s="19">
        <f>IFERROR(F1628*G1628/10000,"")</f>
        <v/>
      </c>
    </row>
    <row r="1629">
      <c r="A1629" t="inlineStr">
        <is>
          <t>2026-10-30</t>
        </is>
      </c>
      <c r="B1629" t="inlineStr">
        <is>
          <t>562950</t>
        </is>
      </c>
      <c r="C1629" t="inlineStr">
        <is>
          <t>消费电子ETF易方达</t>
        </is>
      </c>
      <c r="D1629" t="n">
        <v>97625.83</v>
      </c>
      <c r="E1629" t="n">
        <v>98725.83</v>
      </c>
      <c r="F1629" t="n">
        <v>1.201</v>
      </c>
      <c r="G1629" t="n">
        <v>-1100</v>
      </c>
      <c r="H1629" t="n">
        <v>11.856972</v>
      </c>
      <c r="I1629" t="n">
        <v>12.567425</v>
      </c>
      <c r="J1629" t="n">
        <v>-0.710453</v>
      </c>
      <c r="K1629" s="4">
        <f>IFERROR(J1629/I1629,"")</f>
        <v/>
      </c>
      <c r="L1629" s="4">
        <f>IFERROR((D1629-E1629)/E1629,"")</f>
        <v/>
      </c>
      <c r="M1629" s="19">
        <f>IFERROR(F1629*G1629/10000,"")</f>
        <v/>
      </c>
    </row>
    <row r="1630">
      <c r="A1630" t="inlineStr">
        <is>
          <t>2026-10-30</t>
        </is>
      </c>
      <c r="B1630" t="inlineStr">
        <is>
          <t>562960</t>
        </is>
      </c>
      <c r="C1630" t="inlineStr">
        <is>
          <t>绿色电力ETF易方达</t>
        </is>
      </c>
      <c r="D1630" t="n">
        <v>107039.1</v>
      </c>
      <c r="E1630" t="n">
        <v>107489.1</v>
      </c>
      <c r="F1630" t="n">
        <v>1.14</v>
      </c>
      <c r="G1630" t="n">
        <v>-450</v>
      </c>
      <c r="H1630" t="n">
        <v>12.253757</v>
      </c>
      <c r="I1630" t="n">
        <v>12.152454</v>
      </c>
      <c r="J1630" t="n">
        <v>0.101303</v>
      </c>
      <c r="K1630" s="4">
        <f>IFERROR(J1630/I1630,"")</f>
        <v/>
      </c>
      <c r="L1630" s="4">
        <f>IFERROR((D1630-E1630)/E1630,"")</f>
        <v/>
      </c>
      <c r="M1630" s="19">
        <f>IFERROR(F1630*G1630/10000,"")</f>
        <v/>
      </c>
    </row>
    <row r="1631">
      <c r="A1631" t="inlineStr">
        <is>
          <t>2026-10-30</t>
        </is>
      </c>
      <c r="B1631" t="inlineStr">
        <is>
          <t>562970</t>
        </is>
      </c>
      <c r="C1631" t="inlineStr">
        <is>
          <t>光伏ETF易方达</t>
        </is>
      </c>
      <c r="D1631" t="n">
        <v>35244.8</v>
      </c>
      <c r="E1631" t="n">
        <v>35844.8</v>
      </c>
      <c r="F1631" t="n">
        <v>0.8120000000000001</v>
      </c>
      <c r="G1631" t="n">
        <v>-600</v>
      </c>
      <c r="H1631" t="n">
        <v>2.910598</v>
      </c>
      <c r="I1631" t="n">
        <v>2.943109</v>
      </c>
      <c r="J1631" t="n">
        <v>-0.032511</v>
      </c>
      <c r="K1631" s="4">
        <f>IFERROR(J1631/I1631,"")</f>
        <v/>
      </c>
      <c r="L1631" s="4">
        <f>IFERROR((D1631-E1631)/E1631,"")</f>
        <v/>
      </c>
      <c r="M1631" s="19">
        <f>IFERROR(F1631*G1631/10000,"")</f>
        <v/>
      </c>
    </row>
    <row r="1632">
      <c r="A1632" t="inlineStr">
        <is>
          <t>2026-10-30</t>
        </is>
      </c>
      <c r="B1632" t="inlineStr">
        <is>
          <t>562990</t>
        </is>
      </c>
      <c r="C1632" t="inlineStr">
        <is>
          <t>碳中和ETF易方达</t>
        </is>
      </c>
      <c r="D1632" t="n">
        <v>38575.6</v>
      </c>
      <c r="E1632" t="n">
        <v>38475.6</v>
      </c>
      <c r="F1632" t="n">
        <v>0.822</v>
      </c>
      <c r="G1632" t="n">
        <v>100</v>
      </c>
      <c r="H1632" t="n">
        <v>3.162694</v>
      </c>
      <c r="I1632" t="n">
        <v>3.174237</v>
      </c>
      <c r="J1632" t="n">
        <v>-0.011543</v>
      </c>
      <c r="K1632" s="4">
        <f>IFERROR(J1632/I1632,"")</f>
        <v/>
      </c>
      <c r="L1632" s="4">
        <f>IFERROR((D1632-E1632)/E1632,"")</f>
        <v/>
      </c>
      <c r="M1632" s="19">
        <f>IFERROR(F1632*G1632/10000,"")</f>
        <v/>
      </c>
    </row>
    <row r="1633">
      <c r="A1633" t="inlineStr">
        <is>
          <t>2026-10-30</t>
        </is>
      </c>
      <c r="B1633" t="inlineStr">
        <is>
          <t>563000</t>
        </is>
      </c>
      <c r="C1633" t="inlineStr">
        <is>
          <t>中国A50ETF易方达</t>
        </is>
      </c>
      <c r="D1633" t="n">
        <v>142345.11</v>
      </c>
      <c r="E1633" t="n">
        <v>142095.11</v>
      </c>
      <c r="F1633" t="n">
        <v>0.972</v>
      </c>
      <c r="G1633" t="n">
        <v>250</v>
      </c>
      <c r="H1633" t="n">
        <v>13.811645</v>
      </c>
      <c r="I1633" t="n">
        <v>14.031359</v>
      </c>
      <c r="J1633" t="n">
        <v>-0.219714</v>
      </c>
      <c r="K1633" s="4">
        <f>IFERROR(J1633/I1633,"")</f>
        <v/>
      </c>
      <c r="L1633" s="4">
        <f>IFERROR((D1633-E1633)/E1633,"")</f>
        <v/>
      </c>
      <c r="M1633" s="19">
        <f>IFERROR(F1633*G1633/10000,"")</f>
        <v/>
      </c>
    </row>
    <row r="1634">
      <c r="A1634" t="inlineStr">
        <is>
          <t>2026-10-30</t>
        </is>
      </c>
      <c r="B1634" t="inlineStr">
        <is>
          <t>563010</t>
        </is>
      </c>
      <c r="C1634" t="inlineStr">
        <is>
          <t>电信ETF易方达</t>
        </is>
      </c>
      <c r="D1634" t="n">
        <v>9418.93</v>
      </c>
      <c r="E1634" t="n">
        <v>9418.93</v>
      </c>
      <c r="F1634" t="n">
        <v>1.936</v>
      </c>
      <c r="G1634" t="n">
        <v>0</v>
      </c>
      <c r="H1634" t="n">
        <v>1.823505</v>
      </c>
      <c r="I1634" t="n">
        <v>1.89012</v>
      </c>
      <c r="J1634" t="n">
        <v>-0.06661499999999999</v>
      </c>
      <c r="K1634" s="4">
        <f>IFERROR(J1634/I1634,"")</f>
        <v/>
      </c>
      <c r="L1634" s="4">
        <f>IFERROR((D1634-E1634)/E1634,"")</f>
        <v/>
      </c>
      <c r="M1634" s="19">
        <f>IFERROR(F1634*G1634/10000,"")</f>
        <v/>
      </c>
    </row>
    <row r="1635">
      <c r="A1635" t="inlineStr">
        <is>
          <t>2026-10-30</t>
        </is>
      </c>
      <c r="B1635" t="inlineStr">
        <is>
          <t>563020</t>
        </is>
      </c>
      <c r="C1635" t="inlineStr">
        <is>
          <t>红利低波ETF易方达</t>
        </is>
      </c>
      <c r="D1635" t="n">
        <v>1193691</v>
      </c>
      <c r="E1635" t="n">
        <v>1201691</v>
      </c>
      <c r="F1635" t="n">
        <v>1.213</v>
      </c>
      <c r="G1635" t="n">
        <v>-8000</v>
      </c>
      <c r="H1635" t="n">
        <v>145.765118</v>
      </c>
      <c r="I1635" t="n">
        <v>143.279724</v>
      </c>
      <c r="J1635" t="n">
        <v>2.485394</v>
      </c>
      <c r="K1635" s="4">
        <f>IFERROR(J1635/I1635,"")</f>
        <v/>
      </c>
      <c r="L1635" s="4">
        <f>IFERROR((D1635-E1635)/E1635,"")</f>
        <v/>
      </c>
      <c r="M1635" s="19">
        <f>IFERROR(F1635*G1635/10000,"")</f>
        <v/>
      </c>
    </row>
    <row r="1636">
      <c r="A1636" t="inlineStr">
        <is>
          <t>2026-10-30</t>
        </is>
      </c>
      <c r="B1636" t="inlineStr">
        <is>
          <t>563030</t>
        </is>
      </c>
      <c r="C1636" t="inlineStr">
        <is>
          <t>中证500增强ETF易方达</t>
        </is>
      </c>
      <c r="D1636" t="n">
        <v>16616.9</v>
      </c>
      <c r="E1636" t="n">
        <v>16616.9</v>
      </c>
      <c r="F1636" t="n">
        <v>1.306</v>
      </c>
      <c r="G1636" t="n">
        <v>0</v>
      </c>
      <c r="H1636" t="n">
        <v>2.170167</v>
      </c>
      <c r="I1636" t="n">
        <v>2.234973</v>
      </c>
      <c r="J1636" t="n">
        <v>-0.064806</v>
      </c>
      <c r="K1636" s="4">
        <f>IFERROR(J1636/I1636,"")</f>
        <v/>
      </c>
      <c r="L1636" s="4">
        <f>IFERROR((D1636-E1636)/E1636,"")</f>
        <v/>
      </c>
      <c r="M1636" s="19">
        <f>IFERROR(F1636*G1636/10000,"")</f>
        <v/>
      </c>
    </row>
    <row r="1637">
      <c r="A1637" t="inlineStr">
        <is>
          <t>2026-10-30</t>
        </is>
      </c>
      <c r="B1637" t="inlineStr">
        <is>
          <t>563050</t>
        </is>
      </c>
      <c r="C1637" t="inlineStr">
        <is>
          <t>央企科技ETF易方达</t>
        </is>
      </c>
      <c r="D1637" t="n">
        <v>19920.84</v>
      </c>
      <c r="E1637" t="n">
        <v>19920.84</v>
      </c>
      <c r="F1637" t="n">
        <v>1.105</v>
      </c>
      <c r="G1637" t="n">
        <v>0</v>
      </c>
      <c r="H1637" t="n">
        <v>2.201253</v>
      </c>
      <c r="I1637" t="n">
        <v>2.249063</v>
      </c>
      <c r="J1637" t="n">
        <v>-0.04781</v>
      </c>
      <c r="K1637" s="4">
        <f>IFERROR(J1637/I1637,"")</f>
        <v/>
      </c>
      <c r="L1637" s="4">
        <f>IFERROR((D1637-E1637)/E1637,"")</f>
        <v/>
      </c>
      <c r="M1637" s="19">
        <f>IFERROR(F1637*G1637/10000,"")</f>
        <v/>
      </c>
    </row>
    <row r="1638">
      <c r="A1638" t="inlineStr">
        <is>
          <t>2026-10-30</t>
        </is>
      </c>
      <c r="B1638" t="inlineStr">
        <is>
          <t>563060</t>
        </is>
      </c>
      <c r="C1638" t="inlineStr">
        <is>
          <t>央企50ETF易方达</t>
        </is>
      </c>
      <c r="D1638" t="n">
        <v>13452.7</v>
      </c>
      <c r="E1638" t="n">
        <v>13452.7</v>
      </c>
      <c r="F1638" t="n">
        <v>1.073</v>
      </c>
      <c r="G1638" t="n">
        <v>0</v>
      </c>
      <c r="H1638" t="n">
        <v>1.443475</v>
      </c>
      <c r="I1638" t="n">
        <v>1.439439</v>
      </c>
      <c r="J1638" t="n">
        <v>0.004036</v>
      </c>
      <c r="K1638" s="4">
        <f>IFERROR(J1638/I1638,"")</f>
        <v/>
      </c>
      <c r="L1638" s="4">
        <f>IFERROR((D1638-E1638)/E1638,"")</f>
        <v/>
      </c>
      <c r="M1638" s="19">
        <f>IFERROR(F1638*G1638/10000,"")</f>
        <v/>
      </c>
    </row>
    <row r="1639">
      <c r="A1639" t="inlineStr">
        <is>
          <t>2026-10-30</t>
        </is>
      </c>
      <c r="B1639" t="inlineStr">
        <is>
          <t>563080</t>
        </is>
      </c>
      <c r="C1639" t="inlineStr">
        <is>
          <t>中证A50ETF易方达</t>
        </is>
      </c>
      <c r="D1639" t="n">
        <v>112658.84</v>
      </c>
      <c r="E1639" t="n">
        <v>112858.84</v>
      </c>
      <c r="F1639" t="n">
        <v>1.234</v>
      </c>
      <c r="G1639" t="n">
        <v>-200</v>
      </c>
      <c r="H1639" t="n">
        <v>13.926781</v>
      </c>
      <c r="I1639" t="n">
        <v>13.935899</v>
      </c>
      <c r="J1639" t="n">
        <v>-0.009117999999999999</v>
      </c>
      <c r="K1639" s="4">
        <f>IFERROR(J1639/I1639,"")</f>
        <v/>
      </c>
      <c r="L1639" s="4">
        <f>IFERROR((D1639-E1639)/E1639,"")</f>
        <v/>
      </c>
      <c r="M1639" s="19">
        <f>IFERROR(F1639*G1639/10000,"")</f>
        <v/>
      </c>
    </row>
    <row r="1640">
      <c r="A1640" t="inlineStr">
        <is>
          <t>2026-10-30</t>
        </is>
      </c>
      <c r="B1640" t="inlineStr">
        <is>
          <t>563090</t>
        </is>
      </c>
      <c r="C1640" t="inlineStr">
        <is>
          <t>上证50增强ETF易方达</t>
        </is>
      </c>
      <c r="D1640" t="n">
        <v>6184.8</v>
      </c>
      <c r="E1640" t="n">
        <v>6184.8</v>
      </c>
      <c r="F1640" t="n">
        <v>1.311</v>
      </c>
      <c r="G1640" t="n">
        <v>0</v>
      </c>
      <c r="H1640" t="n">
        <v>0.810827</v>
      </c>
      <c r="I1640" t="n">
        <v>0.823815</v>
      </c>
      <c r="J1640" t="n">
        <v>-0.012988</v>
      </c>
      <c r="K1640" s="4">
        <f>IFERROR(J1640/I1640,"")</f>
        <v/>
      </c>
      <c r="L1640" s="4">
        <f>IFERROR((D1640-E1640)/E1640,"")</f>
        <v/>
      </c>
      <c r="M1640" s="19">
        <f>IFERROR(F1640*G1640/10000,"")</f>
        <v/>
      </c>
    </row>
    <row r="1641">
      <c r="A1641" t="inlineStr">
        <is>
          <t>2026-10-30</t>
        </is>
      </c>
      <c r="B1641" t="inlineStr">
        <is>
          <t>563150</t>
        </is>
      </c>
      <c r="C1641" t="inlineStr">
        <is>
          <t>油气ETF银华</t>
        </is>
      </c>
      <c r="D1641" t="n">
        <v>3439.9</v>
      </c>
      <c r="E1641" t="n">
        <v>3439.9</v>
      </c>
      <c r="F1641" t="n">
        <v>1.31</v>
      </c>
      <c r="G1641" t="n">
        <v>0</v>
      </c>
      <c r="H1641" t="n">
        <v>0.450627</v>
      </c>
      <c r="I1641" t="n">
        <v>0.450627</v>
      </c>
      <c r="J1641" t="n">
        <v>0</v>
      </c>
      <c r="K1641" s="4">
        <f>IFERROR(J1641/I1641,"")</f>
        <v/>
      </c>
      <c r="L1641" s="4">
        <f>IFERROR((D1641-E1641)/E1641,"")</f>
        <v/>
      </c>
      <c r="M1641" s="19">
        <f>IFERROR(F1641*G1641/10000,"")</f>
        <v/>
      </c>
    </row>
    <row r="1642">
      <c r="A1642" t="inlineStr">
        <is>
          <t>2026-10-30</t>
        </is>
      </c>
      <c r="B1642" t="inlineStr">
        <is>
          <t>563180</t>
        </is>
      </c>
      <c r="C1642" t="inlineStr">
        <is>
          <t>高股息ETF银华</t>
        </is>
      </c>
      <c r="D1642" t="n">
        <v>9242</v>
      </c>
      <c r="E1642" t="n">
        <v>9242</v>
      </c>
      <c r="F1642" t="n">
        <v>1.181</v>
      </c>
      <c r="G1642" t="n">
        <v>0</v>
      </c>
      <c r="H1642" t="n">
        <v>1.091481</v>
      </c>
      <c r="I1642" t="n">
        <v>1.077618</v>
      </c>
      <c r="J1642" t="n">
        <v>0.013863</v>
      </c>
      <c r="K1642" s="4">
        <f>IFERROR(J1642/I1642,"")</f>
        <v/>
      </c>
      <c r="L1642" s="4">
        <f>IFERROR((D1642-E1642)/E1642,"")</f>
        <v/>
      </c>
      <c r="M1642" s="19">
        <f>IFERROR(F1642*G1642/10000,"")</f>
        <v/>
      </c>
    </row>
    <row r="1643">
      <c r="A1643" t="inlineStr">
        <is>
          <t>2026-10-30</t>
        </is>
      </c>
      <c r="B1643" t="inlineStr">
        <is>
          <t>563200</t>
        </is>
      </c>
      <c r="C1643" t="inlineStr">
        <is>
          <t>中证2000ETF富国</t>
        </is>
      </c>
      <c r="D1643" t="n">
        <v>4945.88</v>
      </c>
      <c r="E1643" t="n">
        <v>4945.88</v>
      </c>
      <c r="F1643" t="n">
        <v>1.349</v>
      </c>
      <c r="G1643" t="n">
        <v>0</v>
      </c>
      <c r="H1643" t="n">
        <v>0.6672</v>
      </c>
      <c r="I1643" t="n">
        <v>0.685499</v>
      </c>
      <c r="J1643" t="n">
        <v>-0.018299</v>
      </c>
      <c r="K1643" s="4">
        <f>IFERROR(J1643/I1643,"")</f>
        <v/>
      </c>
      <c r="L1643" s="4">
        <f>IFERROR((D1643-E1643)/E1643,"")</f>
        <v/>
      </c>
      <c r="M1643" s="19">
        <f>IFERROR(F1643*G1643/10000,"")</f>
        <v/>
      </c>
    </row>
    <row r="1644">
      <c r="A1644" t="inlineStr">
        <is>
          <t>2026-10-30</t>
        </is>
      </c>
      <c r="B1644" t="inlineStr">
        <is>
          <t>563210</t>
        </is>
      </c>
      <c r="C1644" t="inlineStr">
        <is>
          <t>专精特新ETF富国</t>
        </is>
      </c>
      <c r="D1644" t="n">
        <v>11006.7</v>
      </c>
      <c r="E1644" t="n">
        <v>11006.7</v>
      </c>
      <c r="F1644" t="n">
        <v>1.493</v>
      </c>
      <c r="G1644" t="n">
        <v>0</v>
      </c>
      <c r="H1644" t="n">
        <v>1.6433</v>
      </c>
      <c r="I1644" t="n">
        <v>1.776262</v>
      </c>
      <c r="J1644" t="n">
        <v>-0.132962</v>
      </c>
      <c r="K1644" s="4">
        <f>IFERROR(J1644/I1644,"")</f>
        <v/>
      </c>
      <c r="L1644" s="4">
        <f>IFERROR((D1644-E1644)/E1644,"")</f>
        <v/>
      </c>
      <c r="M1644" s="19">
        <f>IFERROR(F1644*G1644/10000,"")</f>
        <v/>
      </c>
    </row>
    <row r="1645">
      <c r="A1645" t="inlineStr">
        <is>
          <t>2026-10-30</t>
        </is>
      </c>
      <c r="B1645" t="inlineStr">
        <is>
          <t>563220</t>
        </is>
      </c>
      <c r="C1645" t="inlineStr">
        <is>
          <t>A500ETF富国</t>
        </is>
      </c>
      <c r="D1645" t="n">
        <v>692001.37</v>
      </c>
      <c r="E1645" t="n">
        <v>690801.37</v>
      </c>
      <c r="F1645" t="n">
        <v>1.091</v>
      </c>
      <c r="G1645" t="n">
        <v>1200</v>
      </c>
      <c r="H1645" t="n">
        <v>75.366429</v>
      </c>
      <c r="I1645" t="n">
        <v>74.080592</v>
      </c>
      <c r="J1645" t="n">
        <v>1.285837</v>
      </c>
      <c r="K1645" s="4">
        <f>IFERROR(J1645/I1645,"")</f>
        <v/>
      </c>
      <c r="L1645" s="4">
        <f>IFERROR((D1645-E1645)/E1645,"")</f>
        <v/>
      </c>
      <c r="M1645" s="19">
        <f>IFERROR(F1645*G1645/10000,"")</f>
        <v/>
      </c>
    </row>
    <row r="1646">
      <c r="A1646" t="inlineStr">
        <is>
          <t>2026-10-30</t>
        </is>
      </c>
      <c r="B1646" t="inlineStr">
        <is>
          <t>563230</t>
        </is>
      </c>
      <c r="C1646" t="inlineStr">
        <is>
          <t>卫星ETF富国</t>
        </is>
      </c>
      <c r="D1646" t="n">
        <v>326323.7</v>
      </c>
      <c r="E1646" t="n">
        <v>321723.7</v>
      </c>
      <c r="F1646" t="n">
        <v>0.956</v>
      </c>
      <c r="G1646" t="n">
        <v>4600</v>
      </c>
      <c r="H1646" t="n">
        <v>30.756786</v>
      </c>
      <c r="I1646" t="n">
        <v>30.093365</v>
      </c>
      <c r="J1646" t="n">
        <v>0.663421</v>
      </c>
      <c r="K1646" s="4">
        <f>IFERROR(J1646/I1646,"")</f>
        <v/>
      </c>
      <c r="L1646" s="4">
        <f>IFERROR((D1646-E1646)/E1646,"")</f>
        <v/>
      </c>
      <c r="M1646" s="19">
        <f>IFERROR(F1646*G1646/10000,"")</f>
        <v/>
      </c>
    </row>
    <row r="1647">
      <c r="A1647" t="inlineStr">
        <is>
          <t>2026-10-30</t>
        </is>
      </c>
      <c r="B1647" t="inlineStr">
        <is>
          <t>563280</t>
        </is>
      </c>
      <c r="C1647" t="inlineStr">
        <is>
          <t>A50增强ETF富国</t>
        </is>
      </c>
      <c r="D1647" t="n">
        <v>670.66</v>
      </c>
      <c r="E1647" t="n">
        <v>670.66</v>
      </c>
      <c r="F1647" t="n">
        <v>1.224</v>
      </c>
      <c r="G1647" t="n">
        <v>0</v>
      </c>
      <c r="H1647" t="n">
        <v>0.082089</v>
      </c>
      <c r="I1647" t="n">
        <v>0.083028</v>
      </c>
      <c r="J1647" t="n">
        <v>-0.0009389999999999999</v>
      </c>
      <c r="K1647" s="4">
        <f>IFERROR(J1647/I1647,"")</f>
        <v/>
      </c>
      <c r="L1647" s="4">
        <f>IFERROR((D1647-E1647)/E1647,"")</f>
        <v/>
      </c>
      <c r="M1647" s="19">
        <f>IFERROR(F1647*G1647/10000,"")</f>
        <v/>
      </c>
    </row>
    <row r="1648">
      <c r="A1648" t="inlineStr">
        <is>
          <t>2026-10-30</t>
        </is>
      </c>
      <c r="B1648" t="inlineStr">
        <is>
          <t>563300</t>
        </is>
      </c>
      <c r="C1648" t="inlineStr">
        <is>
          <t>中证2000ETF华泰柏瑞</t>
        </is>
      </c>
      <c r="D1648" t="n">
        <v>487617.4</v>
      </c>
      <c r="E1648" t="n">
        <v>502617.4</v>
      </c>
      <c r="F1648" t="n">
        <v>1.242</v>
      </c>
      <c r="G1648" t="n">
        <v>-15000</v>
      </c>
      <c r="H1648" t="n">
        <v>62.425081</v>
      </c>
      <c r="I1648" t="n">
        <v>62.593387</v>
      </c>
      <c r="J1648" t="n">
        <v>-0.168306</v>
      </c>
      <c r="K1648" s="4">
        <f>IFERROR(J1648/I1648,"")</f>
        <v/>
      </c>
      <c r="L1648" s="4">
        <f>IFERROR((D1648-E1648)/E1648,"")</f>
        <v/>
      </c>
      <c r="M1648" s="19">
        <f>IFERROR(F1648*G1648/10000,"")</f>
        <v/>
      </c>
    </row>
    <row r="1649">
      <c r="A1649" t="inlineStr">
        <is>
          <t>2026-10-30</t>
        </is>
      </c>
      <c r="B1649" t="inlineStr">
        <is>
          <t>563320</t>
        </is>
      </c>
      <c r="C1649" t="inlineStr">
        <is>
          <t>通用航空ETF华泰柏瑞</t>
        </is>
      </c>
      <c r="D1649" t="n">
        <v>21789.2</v>
      </c>
      <c r="E1649" t="n">
        <v>21889.2</v>
      </c>
      <c r="F1649" t="n">
        <v>0.786</v>
      </c>
      <c r="G1649" t="n">
        <v>-100</v>
      </c>
      <c r="H1649" t="n">
        <v>1.720491</v>
      </c>
      <c r="I1649" t="n">
        <v>1.699558</v>
      </c>
      <c r="J1649" t="n">
        <v>0.020933</v>
      </c>
      <c r="K1649" s="4">
        <f>IFERROR(J1649/I1649,"")</f>
        <v/>
      </c>
      <c r="L1649" s="4">
        <f>IFERROR((D1649-E1649)/E1649,"")</f>
        <v/>
      </c>
      <c r="M1649" s="19">
        <f>IFERROR(F1649*G1649/10000,"")</f>
        <v/>
      </c>
    </row>
    <row r="1650">
      <c r="A1650" t="inlineStr">
        <is>
          <t>2026-10-30</t>
        </is>
      </c>
      <c r="B1650" t="inlineStr">
        <is>
          <t>563330</t>
        </is>
      </c>
      <c r="C1650" t="inlineStr">
        <is>
          <t>A股ETF华泰柏瑞</t>
        </is>
      </c>
      <c r="D1650" t="n">
        <v>4636.06</v>
      </c>
      <c r="E1650" t="n">
        <v>4636.06</v>
      </c>
      <c r="F1650" t="n">
        <v>3.656</v>
      </c>
      <c r="G1650" t="n">
        <v>0</v>
      </c>
      <c r="H1650" t="n">
        <v>1.694944</v>
      </c>
      <c r="I1650" t="n">
        <v>1.872711</v>
      </c>
      <c r="J1650" t="n">
        <v>-0.177767</v>
      </c>
      <c r="K1650" s="4">
        <f>IFERROR(J1650/I1650,"")</f>
        <v/>
      </c>
      <c r="L1650" s="4">
        <f>IFERROR((D1650-E1650)/E1650,"")</f>
        <v/>
      </c>
      <c r="M1650" s="19">
        <f>IFERROR(F1650*G1650/10000,"")</f>
        <v/>
      </c>
    </row>
    <row r="1651">
      <c r="A1651" t="inlineStr">
        <is>
          <t>2026-10-30</t>
        </is>
      </c>
      <c r="B1651" t="inlineStr">
        <is>
          <t>563350</t>
        </is>
      </c>
      <c r="C1651" t="inlineStr">
        <is>
          <t>A50ETF华泰柏瑞</t>
        </is>
      </c>
      <c r="D1651" t="n">
        <v>17399.76</v>
      </c>
      <c r="E1651" t="n">
        <v>17399.76</v>
      </c>
      <c r="F1651" t="n">
        <v>1.272</v>
      </c>
      <c r="G1651" t="n">
        <v>0</v>
      </c>
      <c r="H1651" t="n">
        <v>2.21325</v>
      </c>
      <c r="I1651" t="n">
        <v>2.18781</v>
      </c>
      <c r="J1651" t="n">
        <v>0.02544</v>
      </c>
      <c r="K1651" s="4">
        <f>IFERROR(J1651/I1651,"")</f>
        <v/>
      </c>
      <c r="L1651" s="4">
        <f>IFERROR((D1651-E1651)/E1651,"")</f>
        <v/>
      </c>
      <c r="M1651" s="19">
        <f>IFERROR(F1651*G1651/10000,"")</f>
        <v/>
      </c>
    </row>
    <row r="1652">
      <c r="A1652" t="inlineStr">
        <is>
          <t>2026-10-30</t>
        </is>
      </c>
      <c r="B1652" t="inlineStr">
        <is>
          <t>563360</t>
        </is>
      </c>
      <c r="C1652" t="inlineStr">
        <is>
          <t>A500ETF华泰柏瑞</t>
        </is>
      </c>
      <c r="D1652" t="n">
        <v>3749598.74</v>
      </c>
      <c r="E1652" t="n">
        <v>3695298.74</v>
      </c>
      <c r="F1652" t="n">
        <v>1.107</v>
      </c>
      <c r="G1652" t="n">
        <v>54300</v>
      </c>
      <c r="H1652" t="n">
        <v>409.069571</v>
      </c>
      <c r="I1652" t="n">
        <v>407.705009</v>
      </c>
      <c r="J1652" t="n">
        <v>1.364562</v>
      </c>
      <c r="K1652" s="4">
        <f>IFERROR(J1652/I1652,"")</f>
        <v/>
      </c>
      <c r="L1652" s="4">
        <f>IFERROR((D1652-E1652)/E1652,"")</f>
        <v/>
      </c>
      <c r="M1652" s="19">
        <f>IFERROR(F1652*G1652/10000,"")</f>
        <v/>
      </c>
    </row>
    <row r="1653">
      <c r="A1653" t="inlineStr">
        <is>
          <t>2026-10-30</t>
        </is>
      </c>
      <c r="B1653" t="inlineStr">
        <is>
          <t>563380</t>
        </is>
      </c>
      <c r="C1653" t="inlineStr">
        <is>
          <t>航空航天ETF华泰柏瑞</t>
        </is>
      </c>
      <c r="D1653" t="n">
        <v>81395</v>
      </c>
      <c r="E1653" t="n">
        <v>80495</v>
      </c>
      <c r="F1653" t="n">
        <v>0.915</v>
      </c>
      <c r="G1653" t="n">
        <v>900</v>
      </c>
      <c r="H1653" t="n">
        <v>7.365293</v>
      </c>
      <c r="I1653" t="n">
        <v>7.202462</v>
      </c>
      <c r="J1653" t="n">
        <v>0.162831</v>
      </c>
      <c r="K1653" s="4">
        <f>IFERROR(J1653/I1653,"")</f>
        <v/>
      </c>
      <c r="L1653" s="4">
        <f>IFERROR((D1653-E1653)/E1653,"")</f>
        <v/>
      </c>
      <c r="M1653" s="19">
        <f>IFERROR(F1653*G1653/10000,"")</f>
        <v/>
      </c>
    </row>
    <row r="1654">
      <c r="A1654" t="inlineStr">
        <is>
          <t>2026-10-30</t>
        </is>
      </c>
      <c r="B1654" t="inlineStr">
        <is>
          <t>563390</t>
        </is>
      </c>
      <c r="C1654" t="inlineStr">
        <is>
          <t>现金流ETF华泰柏瑞</t>
        </is>
      </c>
      <c r="D1654" t="n">
        <v>216434.4</v>
      </c>
      <c r="E1654" t="n">
        <v>216734.4</v>
      </c>
      <c r="F1654" t="n">
        <v>1.153</v>
      </c>
      <c r="G1654" t="n">
        <v>-300</v>
      </c>
      <c r="H1654" t="n">
        <v>24.989476</v>
      </c>
      <c r="I1654" t="n">
        <v>25.032823</v>
      </c>
      <c r="J1654" t="n">
        <v>-0.043347</v>
      </c>
      <c r="K1654" s="4">
        <f>IFERROR(J1654/I1654,"")</f>
        <v/>
      </c>
      <c r="L1654" s="4">
        <f>IFERROR((D1654-E1654)/E1654,"")</f>
        <v/>
      </c>
      <c r="M1654" s="19">
        <f>IFERROR(F1654*G1654/10000,"")</f>
        <v/>
      </c>
    </row>
    <row r="1655">
      <c r="A1655" t="inlineStr">
        <is>
          <t>2026-10-30</t>
        </is>
      </c>
      <c r="B1655" t="inlineStr">
        <is>
          <t>563500</t>
        </is>
      </c>
      <c r="C1655" t="inlineStr">
        <is>
          <t>A500ETF华宝</t>
        </is>
      </c>
      <c r="D1655" t="n">
        <v>86195.87</v>
      </c>
      <c r="E1655" t="n">
        <v>86195.87</v>
      </c>
      <c r="F1655" t="n">
        <v>0.546</v>
      </c>
      <c r="G1655" t="n">
        <v>0</v>
      </c>
      <c r="H1655" t="n">
        <v>4.706295</v>
      </c>
      <c r="I1655" t="n">
        <v>4.808491</v>
      </c>
      <c r="J1655" t="n">
        <v>-0.102196</v>
      </c>
      <c r="K1655" s="4">
        <f>IFERROR(J1655/I1655,"")</f>
        <v/>
      </c>
      <c r="L1655" s="4">
        <f>IFERROR((D1655-E1655)/E1655,"")</f>
        <v/>
      </c>
      <c r="M1655" s="19">
        <f>IFERROR(F1655*G1655/10000,"")</f>
        <v/>
      </c>
    </row>
    <row r="1656">
      <c r="A1656" t="inlineStr">
        <is>
          <t>2026-10-30</t>
        </is>
      </c>
      <c r="B1656" t="inlineStr">
        <is>
          <t>563510</t>
        </is>
      </c>
      <c r="C1656" t="inlineStr">
        <is>
          <t>A500红利低波ETF易方达</t>
        </is>
      </c>
      <c r="D1656" t="n">
        <v>25853.7</v>
      </c>
      <c r="E1656" t="n">
        <v>26153.7</v>
      </c>
      <c r="F1656" t="n">
        <v>1.06</v>
      </c>
      <c r="G1656" t="n">
        <v>-300</v>
      </c>
      <c r="H1656" t="n">
        <v>2.772292</v>
      </c>
      <c r="I1656" t="n">
        <v>2.754013</v>
      </c>
      <c r="J1656" t="n">
        <v>0.018279</v>
      </c>
      <c r="K1656" s="4">
        <f>IFERROR(J1656/I1656,"")</f>
        <v/>
      </c>
      <c r="L1656" s="4">
        <f>IFERROR((D1656-E1656)/E1656,"")</f>
        <v/>
      </c>
      <c r="M1656" s="19">
        <f>IFERROR(F1656*G1656/10000,"")</f>
        <v/>
      </c>
    </row>
    <row r="1657">
      <c r="A1657" t="inlineStr">
        <is>
          <t>2026-10-30</t>
        </is>
      </c>
      <c r="B1657" t="inlineStr">
        <is>
          <t>563520</t>
        </is>
      </c>
      <c r="C1657" t="inlineStr">
        <is>
          <t>沪深300ETF永赢</t>
        </is>
      </c>
      <c r="D1657" t="n">
        <v>54106.5</v>
      </c>
      <c r="E1657" t="n">
        <v>54406.5</v>
      </c>
      <c r="F1657" t="n">
        <v>1.058</v>
      </c>
      <c r="G1657" t="n">
        <v>-300</v>
      </c>
      <c r="H1657" t="n">
        <v>5.756208</v>
      </c>
      <c r="I1657" t="n">
        <v>5.842654</v>
      </c>
      <c r="J1657" t="n">
        <v>-0.086446</v>
      </c>
      <c r="K1657" s="4">
        <f>IFERROR(J1657/I1657,"")</f>
        <v/>
      </c>
      <c r="L1657" s="4">
        <f>IFERROR((D1657-E1657)/E1657,"")</f>
        <v/>
      </c>
      <c r="M1657" s="19">
        <f>IFERROR(F1657*G1657/10000,"")</f>
        <v/>
      </c>
    </row>
    <row r="1658">
      <c r="A1658" t="inlineStr">
        <is>
          <t>2026-10-30</t>
        </is>
      </c>
      <c r="B1658" t="inlineStr">
        <is>
          <t>563530</t>
        </is>
      </c>
      <c r="C1658" t="inlineStr">
        <is>
          <t>卫星ETF易方达</t>
        </is>
      </c>
      <c r="D1658" t="n">
        <v>157474.8</v>
      </c>
      <c r="E1658" t="n">
        <v>151674.8</v>
      </c>
      <c r="F1658" t="n">
        <v>0.962</v>
      </c>
      <c r="G1658" t="n">
        <v>5800</v>
      </c>
      <c r="H1658" t="n">
        <v>14.591116</v>
      </c>
      <c r="I1658" t="n">
        <v>14.485106</v>
      </c>
      <c r="J1658" t="n">
        <v>0.10601</v>
      </c>
      <c r="K1658" s="4">
        <f>IFERROR(J1658/I1658,"")</f>
        <v/>
      </c>
      <c r="L1658" s="4">
        <f>IFERROR((D1658-E1658)/E1658,"")</f>
        <v/>
      </c>
      <c r="M1658" s="19">
        <f>IFERROR(F1658*G1658/10000,"")</f>
        <v/>
      </c>
    </row>
    <row r="1659">
      <c r="A1659" t="inlineStr">
        <is>
          <t>2026-10-30</t>
        </is>
      </c>
      <c r="B1659" t="inlineStr">
        <is>
          <t>563550</t>
        </is>
      </c>
      <c r="C1659" t="inlineStr">
        <is>
          <t>A500增强ETF摩根</t>
        </is>
      </c>
      <c r="D1659" t="n">
        <v>9755.9</v>
      </c>
      <c r="E1659" t="n">
        <v>9155.9</v>
      </c>
      <c r="F1659" t="n">
        <v>1.039</v>
      </c>
      <c r="G1659" t="n">
        <v>600</v>
      </c>
      <c r="H1659" t="n">
        <v>0.951298</v>
      </c>
      <c r="I1659" t="n">
        <v>0.995706</v>
      </c>
      <c r="J1659" t="n">
        <v>-0.044408</v>
      </c>
      <c r="K1659" s="4">
        <f>IFERROR(J1659/I1659,"")</f>
        <v/>
      </c>
      <c r="L1659" s="4">
        <f>IFERROR((D1659-E1659)/E1659,"")</f>
        <v/>
      </c>
      <c r="M1659" s="19">
        <f>IFERROR(F1659*G1659/10000,"")</f>
        <v/>
      </c>
    </row>
    <row r="1660">
      <c r="A1660" t="inlineStr">
        <is>
          <t>2026-10-30</t>
        </is>
      </c>
      <c r="B1660" t="inlineStr">
        <is>
          <t>563560</t>
        </is>
      </c>
      <c r="C1660" t="inlineStr">
        <is>
          <t>科技成长ETF兴业</t>
        </is>
      </c>
      <c r="D1660" t="n">
        <v>6276.9</v>
      </c>
      <c r="E1660" t="n">
        <v>6276.9</v>
      </c>
      <c r="F1660" t="n">
        <v>0.888</v>
      </c>
      <c r="G1660" t="n">
        <v>0</v>
      </c>
      <c r="H1660" t="n">
        <v>0.557389</v>
      </c>
      <c r="I1660" t="n">
        <v>0.570013</v>
      </c>
      <c r="J1660" t="n">
        <v>-0.012624</v>
      </c>
      <c r="K1660" s="4">
        <f>IFERROR(J1660/I1660,"")</f>
        <v/>
      </c>
      <c r="L1660" s="4">
        <f>IFERROR((D1660-E1660)/E1660,"")</f>
        <v/>
      </c>
      <c r="M1660" s="19">
        <f>IFERROR(F1660*G1660/10000,"")</f>
        <v/>
      </c>
    </row>
    <row r="1661">
      <c r="A1661" t="inlineStr">
        <is>
          <t>2026-10-30</t>
        </is>
      </c>
      <c r="B1661" t="inlineStr">
        <is>
          <t>563570</t>
        </is>
      </c>
      <c r="C1661" t="inlineStr">
        <is>
          <t>金融科技ETF兴业</t>
        </is>
      </c>
      <c r="D1661" t="n">
        <v>9837.4</v>
      </c>
      <c r="E1661" t="n">
        <v>9937.4</v>
      </c>
      <c r="F1661" t="n">
        <v>0.651</v>
      </c>
      <c r="G1661" t="n">
        <v>-100</v>
      </c>
      <c r="H1661" t="n">
        <v>0.646925</v>
      </c>
      <c r="I1661" t="n">
        <v>0.6551709999999999</v>
      </c>
      <c r="J1661" t="n">
        <v>-0.008246</v>
      </c>
      <c r="K1661" s="4">
        <f>IFERROR(J1661/I1661,"")</f>
        <v/>
      </c>
      <c r="L1661" s="4">
        <f>IFERROR((D1661-E1661)/E1661,"")</f>
        <v/>
      </c>
      <c r="M1661" s="19">
        <f>IFERROR(F1661*G1661/10000,"")</f>
        <v/>
      </c>
    </row>
    <row r="1662">
      <c r="A1662" t="inlineStr">
        <is>
          <t>2026-10-30</t>
        </is>
      </c>
      <c r="B1662" t="inlineStr">
        <is>
          <t>563580</t>
        </is>
      </c>
      <c r="C1662" t="inlineStr">
        <is>
          <t>自由现金流800ETF万家</t>
        </is>
      </c>
      <c r="D1662" t="n">
        <v>23064.8</v>
      </c>
      <c r="E1662" t="n">
        <v>23164.8</v>
      </c>
      <c r="F1662" t="n">
        <v>1.108</v>
      </c>
      <c r="G1662" t="n">
        <v>-100</v>
      </c>
      <c r="H1662" t="n">
        <v>2.56666</v>
      </c>
      <c r="I1662" t="n">
        <v>2.570128</v>
      </c>
      <c r="J1662" t="n">
        <v>-0.003468</v>
      </c>
      <c r="K1662" s="4">
        <f>IFERROR(J1662/I1662,"")</f>
        <v/>
      </c>
      <c r="L1662" s="4">
        <f>IFERROR((D1662-E1662)/E1662,"")</f>
        <v/>
      </c>
      <c r="M1662" s="19">
        <f>IFERROR(F1662*G1662/10000,"")</f>
        <v/>
      </c>
    </row>
    <row r="1663">
      <c r="A1663" t="inlineStr">
        <is>
          <t>2026-10-30</t>
        </is>
      </c>
      <c r="B1663" t="inlineStr">
        <is>
          <t>563590</t>
        </is>
      </c>
      <c r="C1663" t="inlineStr">
        <is>
          <t>A500红利低波动ETF国寿</t>
        </is>
      </c>
      <c r="D1663" t="n">
        <v>5194.44</v>
      </c>
      <c r="E1663" t="n">
        <v>5194.44</v>
      </c>
      <c r="F1663" t="n">
        <v>1.027</v>
      </c>
      <c r="G1663" t="n">
        <v>0</v>
      </c>
      <c r="H1663" t="n">
        <v>0.533469</v>
      </c>
      <c r="I1663" t="n">
        <v>0.527756</v>
      </c>
      <c r="J1663" t="n">
        <v>0.005713</v>
      </c>
      <c r="K1663" s="4">
        <f>IFERROR(J1663/I1663,"")</f>
        <v/>
      </c>
      <c r="L1663" s="4">
        <f>IFERROR((D1663-E1663)/E1663,"")</f>
        <v/>
      </c>
      <c r="M1663" s="19">
        <f>IFERROR(F1663*G1663/10000,"")</f>
        <v/>
      </c>
    </row>
    <row r="1664">
      <c r="A1664" t="inlineStr">
        <is>
          <t>2026-10-30</t>
        </is>
      </c>
      <c r="B1664" t="inlineStr">
        <is>
          <t>563600</t>
        </is>
      </c>
      <c r="C1664" t="inlineStr">
        <is>
          <t>A500增强ETF易方达</t>
        </is>
      </c>
      <c r="D1664" t="n">
        <v>6948.3</v>
      </c>
      <c r="E1664" t="n">
        <v>6948.3</v>
      </c>
      <c r="F1664" t="n">
        <v>0.901</v>
      </c>
      <c r="G1664" t="n">
        <v>0</v>
      </c>
      <c r="H1664" t="n">
        <v>0.626042</v>
      </c>
      <c r="I1664" t="n">
        <v>0.630211</v>
      </c>
      <c r="J1664" t="n">
        <v>-0.004169</v>
      </c>
      <c r="K1664" s="4">
        <f>IFERROR(J1664/I1664,"")</f>
        <v/>
      </c>
      <c r="L1664" s="4">
        <f>IFERROR((D1664-E1664)/E1664,"")</f>
        <v/>
      </c>
      <c r="M1664" s="19">
        <f>IFERROR(F1664*G1664/10000,"")</f>
        <v/>
      </c>
    </row>
    <row r="1665">
      <c r="A1665" t="inlineStr">
        <is>
          <t>2026-10-30</t>
        </is>
      </c>
      <c r="B1665" t="inlineStr">
        <is>
          <t>563620</t>
        </is>
      </c>
      <c r="C1665" t="inlineStr">
        <is>
          <t>全指现金流ETF兴业</t>
        </is>
      </c>
      <c r="D1665" t="n">
        <v>4504.9</v>
      </c>
      <c r="E1665" t="n">
        <v>4504.9</v>
      </c>
      <c r="F1665" t="n">
        <v>1.016</v>
      </c>
      <c r="G1665" t="n">
        <v>0</v>
      </c>
      <c r="H1665" t="n">
        <v>0.457698</v>
      </c>
      <c r="I1665" t="n">
        <v>0.458599</v>
      </c>
      <c r="J1665" t="n">
        <v>-0.000901</v>
      </c>
      <c r="K1665" s="4">
        <f>IFERROR(J1665/I1665,"")</f>
        <v/>
      </c>
      <c r="L1665" s="4">
        <f>IFERROR((D1665-E1665)/E1665,"")</f>
        <v/>
      </c>
      <c r="M1665" s="19">
        <f>IFERROR(F1665*G1665/10000,"")</f>
        <v/>
      </c>
    </row>
    <row r="1666">
      <c r="A1666" t="inlineStr">
        <is>
          <t>2026-10-30</t>
        </is>
      </c>
      <c r="B1666" t="inlineStr">
        <is>
          <t>563630</t>
        </is>
      </c>
      <c r="C1666" t="inlineStr">
        <is>
          <t>A500增强ETF国联安</t>
        </is>
      </c>
      <c r="D1666" t="n">
        <v>4394.71</v>
      </c>
      <c r="E1666" t="n">
        <v>4394.71</v>
      </c>
      <c r="F1666" t="n">
        <v>1.073</v>
      </c>
      <c r="G1666" t="n">
        <v>0</v>
      </c>
      <c r="H1666" t="n">
        <v>0.471552</v>
      </c>
      <c r="I1666" t="n">
        <v>0.48166</v>
      </c>
      <c r="J1666" t="n">
        <v>-0.010108</v>
      </c>
      <c r="K1666" s="4">
        <f>IFERROR(J1666/I1666,"")</f>
        <v/>
      </c>
      <c r="L1666" s="4">
        <f>IFERROR((D1666-E1666)/E1666,"")</f>
        <v/>
      </c>
      <c r="M1666" s="19">
        <f>IFERROR(F1666*G1666/10000,"")</f>
        <v/>
      </c>
    </row>
    <row r="1667">
      <c r="A1667" t="inlineStr">
        <is>
          <t>2026-10-30</t>
        </is>
      </c>
      <c r="B1667" t="inlineStr">
        <is>
          <t>563650</t>
        </is>
      </c>
      <c r="C1667" t="inlineStr">
        <is>
          <t>中证A500ETF兴业</t>
        </is>
      </c>
      <c r="D1667" t="n">
        <v>14090.9</v>
      </c>
      <c r="E1667" t="n">
        <v>14090.9</v>
      </c>
      <c r="F1667" t="n">
        <v>1.11</v>
      </c>
      <c r="G1667" t="n">
        <v>0</v>
      </c>
      <c r="H1667" t="n">
        <v>1.56409</v>
      </c>
      <c r="I1667" t="n">
        <v>1.586635</v>
      </c>
      <c r="J1667" t="n">
        <v>-0.022545</v>
      </c>
      <c r="K1667" s="4">
        <f>IFERROR(J1667/I1667,"")</f>
        <v/>
      </c>
      <c r="L1667" s="4">
        <f>IFERROR((D1667-E1667)/E1667,"")</f>
        <v/>
      </c>
      <c r="M1667" s="19">
        <f>IFERROR(F1667*G1667/10000,"")</f>
        <v/>
      </c>
    </row>
    <row r="1668">
      <c r="A1668" t="inlineStr">
        <is>
          <t>2026-10-30</t>
        </is>
      </c>
      <c r="B1668" t="inlineStr">
        <is>
          <t>563660</t>
        </is>
      </c>
      <c r="C1668" t="inlineStr">
        <is>
          <t>A500ETF银河</t>
        </is>
      </c>
      <c r="D1668" t="n">
        <v>6608.52</v>
      </c>
      <c r="E1668" t="n">
        <v>6608.52</v>
      </c>
      <c r="F1668" t="n">
        <v>1.07</v>
      </c>
      <c r="G1668" t="n">
        <v>0</v>
      </c>
      <c r="H1668" t="n">
        <v>0.707111</v>
      </c>
      <c r="I1668" t="n">
        <v>0.717685</v>
      </c>
      <c r="J1668" t="n">
        <v>-0.010574</v>
      </c>
      <c r="K1668" s="4">
        <f>IFERROR(J1668/I1668,"")</f>
        <v/>
      </c>
      <c r="L1668" s="4">
        <f>IFERROR((D1668-E1668)/E1668,"")</f>
        <v/>
      </c>
      <c r="M1668" s="19">
        <f>IFERROR(F1668*G1668/10000,"")</f>
        <v/>
      </c>
    </row>
    <row r="1669">
      <c r="A1669" t="inlineStr">
        <is>
          <t>2026-10-30</t>
        </is>
      </c>
      <c r="B1669" t="inlineStr">
        <is>
          <t>563670</t>
        </is>
      </c>
      <c r="C1669" t="inlineStr">
        <is>
          <t>金融科技ETF鹏华</t>
        </is>
      </c>
      <c r="D1669" t="n">
        <v>18798.7</v>
      </c>
      <c r="E1669" t="n">
        <v>18798.7</v>
      </c>
      <c r="F1669" t="n">
        <v>0.599</v>
      </c>
      <c r="G1669" t="n">
        <v>0</v>
      </c>
      <c r="H1669" t="n">
        <v>1.126042</v>
      </c>
      <c r="I1669" t="n">
        <v>1.16605</v>
      </c>
      <c r="J1669" t="n">
        <v>-0.040008</v>
      </c>
      <c r="K1669" s="4">
        <f>IFERROR(J1669/I1669,"")</f>
        <v/>
      </c>
      <c r="L1669" s="4">
        <f>IFERROR((D1669-E1669)/E1669,"")</f>
        <v/>
      </c>
      <c r="M1669" s="19">
        <f>IFERROR(F1669*G1669/10000,"")</f>
        <v/>
      </c>
    </row>
    <row r="1670">
      <c r="A1670" t="inlineStr">
        <is>
          <t>2026-10-30</t>
        </is>
      </c>
      <c r="B1670" t="inlineStr">
        <is>
          <t>563680</t>
        </is>
      </c>
      <c r="C1670" t="inlineStr">
        <is>
          <t>800现金流ETF汇添富</t>
        </is>
      </c>
      <c r="D1670" t="n">
        <v>10195.9</v>
      </c>
      <c r="E1670" t="n">
        <v>10195.9</v>
      </c>
      <c r="F1670" t="n">
        <v>1.169</v>
      </c>
      <c r="G1670" t="n">
        <v>0</v>
      </c>
      <c r="H1670" t="n">
        <v>1.191901</v>
      </c>
      <c r="I1670" t="n">
        <v>1.198443</v>
      </c>
      <c r="J1670" t="n">
        <v>-0.006542</v>
      </c>
      <c r="K1670" s="4">
        <f>IFERROR(J1670/I1670,"")</f>
        <v/>
      </c>
      <c r="L1670" s="4">
        <f>IFERROR((D1670-E1670)/E1670,"")</f>
        <v/>
      </c>
      <c r="M1670" s="19">
        <f>IFERROR(F1670*G1670/10000,"")</f>
        <v/>
      </c>
    </row>
    <row r="1671">
      <c r="A1671" t="inlineStr">
        <is>
          <t>2026-10-30</t>
        </is>
      </c>
      <c r="B1671" t="inlineStr">
        <is>
          <t>563690</t>
        </is>
      </c>
      <c r="C1671" t="inlineStr">
        <is>
          <t>红利低波ETF永赢</t>
        </is>
      </c>
      <c r="D1671" t="n">
        <v>4788.2</v>
      </c>
      <c r="E1671" t="n">
        <v>4788.2</v>
      </c>
      <c r="F1671" t="n">
        <v>1.064</v>
      </c>
      <c r="G1671" t="n">
        <v>0</v>
      </c>
      <c r="H1671" t="n">
        <v>0.509464</v>
      </c>
      <c r="I1671" t="n">
        <v>0.501803</v>
      </c>
      <c r="J1671" t="n">
        <v>0.007661</v>
      </c>
      <c r="K1671" s="4">
        <f>IFERROR(J1671/I1671,"")</f>
        <v/>
      </c>
      <c r="L1671" s="4">
        <f>IFERROR((D1671-E1671)/E1671,"")</f>
        <v/>
      </c>
      <c r="M1671" s="19">
        <f>IFERROR(F1671*G1671/10000,"")</f>
        <v/>
      </c>
    </row>
    <row r="1672">
      <c r="A1672" t="inlineStr">
        <is>
          <t>2026-10-30</t>
        </is>
      </c>
      <c r="B1672" t="inlineStr">
        <is>
          <t>563700</t>
        </is>
      </c>
      <c r="C1672" t="inlineStr">
        <is>
          <t>红利价值ETF易方达</t>
        </is>
      </c>
      <c r="D1672" t="n">
        <v>36815</v>
      </c>
      <c r="E1672" t="n">
        <v>36815</v>
      </c>
      <c r="F1672" t="n">
        <v>1.09</v>
      </c>
      <c r="G1672" t="n">
        <v>0</v>
      </c>
      <c r="H1672" t="n">
        <v>4.012835</v>
      </c>
      <c r="I1672" t="n">
        <v>3.957877</v>
      </c>
      <c r="J1672" t="n">
        <v>0.054958</v>
      </c>
      <c r="K1672" s="4">
        <f>IFERROR(J1672/I1672,"")</f>
        <v/>
      </c>
      <c r="L1672" s="4">
        <f>IFERROR((D1672-E1672)/E1672,"")</f>
        <v/>
      </c>
      <c r="M1672" s="19">
        <f>IFERROR(F1672*G1672/10000,"")</f>
        <v/>
      </c>
    </row>
    <row r="1673">
      <c r="A1673" t="inlineStr">
        <is>
          <t>2026-10-30</t>
        </is>
      </c>
      <c r="B1673" t="inlineStr">
        <is>
          <t>563750</t>
        </is>
      </c>
      <c r="C1673" t="inlineStr">
        <is>
          <t>中证500ETF汇添富</t>
        </is>
      </c>
      <c r="D1673" t="n">
        <v>36973.7</v>
      </c>
      <c r="E1673" t="n">
        <v>37473.7</v>
      </c>
      <c r="F1673" t="n">
        <v>0.911</v>
      </c>
      <c r="G1673" t="n">
        <v>-500</v>
      </c>
      <c r="H1673" t="n">
        <v>3.413854</v>
      </c>
      <c r="I1673" t="n">
        <v>3.484138</v>
      </c>
      <c r="J1673" t="n">
        <v>-0.070284</v>
      </c>
      <c r="K1673" s="4">
        <f>IFERROR(J1673/I1673,"")</f>
        <v/>
      </c>
      <c r="L1673" s="4">
        <f>IFERROR((D1673-E1673)/E1673,"")</f>
        <v/>
      </c>
      <c r="M1673" s="19">
        <f>IFERROR(F1673*G1673/10000,"")</f>
        <v/>
      </c>
    </row>
    <row r="1674">
      <c r="A1674" t="inlineStr">
        <is>
          <t>2026-10-30</t>
        </is>
      </c>
      <c r="B1674" t="inlineStr">
        <is>
          <t>563760</t>
        </is>
      </c>
      <c r="C1674" t="inlineStr">
        <is>
          <t>现金流ETF中银</t>
        </is>
      </c>
      <c r="D1674" t="n">
        <v>65191.32</v>
      </c>
      <c r="E1674" t="n">
        <v>65191.32</v>
      </c>
      <c r="F1674" t="n">
        <v>1.104</v>
      </c>
      <c r="G1674" t="n">
        <v>0</v>
      </c>
      <c r="H1674" t="n">
        <v>7.197121</v>
      </c>
      <c r="I1674" t="n">
        <v>7.175041</v>
      </c>
      <c r="J1674" t="n">
        <v>0.02208</v>
      </c>
      <c r="K1674" s="4">
        <f>IFERROR(J1674/I1674,"")</f>
        <v/>
      </c>
      <c r="L1674" s="4">
        <f>IFERROR((D1674-E1674)/E1674,"")</f>
        <v/>
      </c>
      <c r="M1674" s="19">
        <f>IFERROR(F1674*G1674/10000,"")</f>
        <v/>
      </c>
    </row>
    <row r="1675">
      <c r="A1675" t="inlineStr">
        <is>
          <t>2026-10-30</t>
        </is>
      </c>
      <c r="B1675" t="inlineStr">
        <is>
          <t>563770</t>
        </is>
      </c>
      <c r="C1675" t="inlineStr">
        <is>
          <t>全指现金流ETF招商</t>
        </is>
      </c>
      <c r="D1675" t="n">
        <v>2730.7</v>
      </c>
      <c r="E1675" t="n">
        <v>2730.7</v>
      </c>
      <c r="F1675" t="n">
        <v>1.124</v>
      </c>
      <c r="G1675" t="n">
        <v>0</v>
      </c>
      <c r="H1675" t="n">
        <v>0.306931</v>
      </c>
      <c r="I1675" t="n">
        <v>0.306658</v>
      </c>
      <c r="J1675" t="n">
        <v>0.000273</v>
      </c>
      <c r="K1675" s="4">
        <f>IFERROR(J1675/I1675,"")</f>
        <v/>
      </c>
      <c r="L1675" s="4">
        <f>IFERROR((D1675-E1675)/E1675,"")</f>
        <v/>
      </c>
      <c r="M1675" s="19">
        <f>IFERROR(F1675*G1675/10000,"")</f>
        <v/>
      </c>
    </row>
    <row r="1676">
      <c r="A1676" t="inlineStr">
        <is>
          <t>2026-10-30</t>
        </is>
      </c>
      <c r="B1676" t="inlineStr">
        <is>
          <t>563780</t>
        </is>
      </c>
      <c r="C1676" t="inlineStr">
        <is>
          <t>现金流全指ETF方正富邦</t>
        </is>
      </c>
      <c r="D1676" t="n">
        <v>23102.71</v>
      </c>
      <c r="E1676" t="n">
        <v>23102.71</v>
      </c>
      <c r="F1676" t="n">
        <v>1.164</v>
      </c>
      <c r="G1676" t="n">
        <v>0</v>
      </c>
      <c r="H1676" t="n">
        <v>2.689155</v>
      </c>
      <c r="I1676" t="n">
        <v>2.691466</v>
      </c>
      <c r="J1676" t="n">
        <v>-0.002311</v>
      </c>
      <c r="K1676" s="4">
        <f>IFERROR(J1676/I1676,"")</f>
        <v/>
      </c>
      <c r="L1676" s="4">
        <f>IFERROR((D1676-E1676)/E1676,"")</f>
        <v/>
      </c>
      <c r="M1676" s="19">
        <f>IFERROR(F1676*G1676/10000,"")</f>
        <v/>
      </c>
    </row>
    <row r="1677">
      <c r="A1677" t="inlineStr">
        <is>
          <t>2026-10-30</t>
        </is>
      </c>
      <c r="B1677" t="inlineStr">
        <is>
          <t>563790</t>
        </is>
      </c>
      <c r="C1677" t="inlineStr">
        <is>
          <t>卫星ETF鹏华</t>
        </is>
      </c>
      <c r="D1677" t="n">
        <v>116644.7</v>
      </c>
      <c r="E1677" t="n">
        <v>115844.7</v>
      </c>
      <c r="F1677" t="n">
        <v>0.721</v>
      </c>
      <c r="G1677" t="n">
        <v>800</v>
      </c>
      <c r="H1677" t="n">
        <v>8.352403000000001</v>
      </c>
      <c r="I1677" t="n">
        <v>8.309637</v>
      </c>
      <c r="J1677" t="n">
        <v>0.042766</v>
      </c>
      <c r="K1677" s="4">
        <f>IFERROR(J1677/I1677,"")</f>
        <v/>
      </c>
      <c r="L1677" s="4">
        <f>IFERROR((D1677-E1677)/E1677,"")</f>
        <v/>
      </c>
      <c r="M1677" s="19">
        <f>IFERROR(F1677*G1677/10000,"")</f>
        <v/>
      </c>
    </row>
    <row r="1678">
      <c r="A1678" t="inlineStr">
        <is>
          <t>2026-10-30</t>
        </is>
      </c>
      <c r="B1678" t="inlineStr">
        <is>
          <t>563800</t>
        </is>
      </c>
      <c r="C1678" t="inlineStr">
        <is>
          <t>A500ETF广发</t>
        </is>
      </c>
      <c r="D1678" t="n">
        <v>1057097.81</v>
      </c>
      <c r="E1678" t="n">
        <v>1058897.81</v>
      </c>
      <c r="F1678" t="n">
        <v>1.05</v>
      </c>
      <c r="G1678" t="n">
        <v>-1800</v>
      </c>
      <c r="H1678" t="n">
        <v>111.18427</v>
      </c>
      <c r="I1678" t="n">
        <v>110.001727</v>
      </c>
      <c r="J1678" t="n">
        <v>1.182543</v>
      </c>
      <c r="K1678" s="4">
        <f>IFERROR(J1678/I1678,"")</f>
        <v/>
      </c>
      <c r="L1678" s="4">
        <f>IFERROR((D1678-E1678)/E1678,"")</f>
        <v/>
      </c>
      <c r="M1678" s="19">
        <f>IFERROR(F1678*G1678/10000,"")</f>
        <v/>
      </c>
    </row>
    <row r="1679">
      <c r="A1679" t="inlineStr">
        <is>
          <t>2026-10-30</t>
        </is>
      </c>
      <c r="B1679" t="inlineStr">
        <is>
          <t>563830</t>
        </is>
      </c>
      <c r="C1679" t="inlineStr">
        <is>
          <t>全指现金流ETF博时</t>
        </is>
      </c>
      <c r="D1679" t="n">
        <v>12889.6</v>
      </c>
      <c r="E1679" t="n">
        <v>12889.6</v>
      </c>
      <c r="F1679" t="n">
        <v>1.105</v>
      </c>
      <c r="G1679" t="n">
        <v>0</v>
      </c>
      <c r="H1679" t="n">
        <v>1.424301</v>
      </c>
      <c r="I1679" t="n">
        <v>1.42559</v>
      </c>
      <c r="J1679" t="n">
        <v>-0.001289</v>
      </c>
      <c r="K1679" s="4">
        <f>IFERROR(J1679/I1679,"")</f>
        <v/>
      </c>
      <c r="L1679" s="4">
        <f>IFERROR((D1679-E1679)/E1679,"")</f>
        <v/>
      </c>
      <c r="M1679" s="19">
        <f>IFERROR(F1679*G1679/10000,"")</f>
        <v/>
      </c>
    </row>
    <row r="1680">
      <c r="A1680" t="inlineStr">
        <is>
          <t>2026-10-30</t>
        </is>
      </c>
      <c r="B1680" t="inlineStr">
        <is>
          <t>563850</t>
        </is>
      </c>
      <c r="C1680" t="inlineStr">
        <is>
          <t>食品ETF广发</t>
        </is>
      </c>
      <c r="D1680" t="n">
        <v>10168.17</v>
      </c>
      <c r="E1680" t="n">
        <v>10168.17</v>
      </c>
      <c r="F1680" t="n">
        <v>0.908</v>
      </c>
      <c r="G1680" t="n">
        <v>0</v>
      </c>
      <c r="H1680" t="n">
        <v>0.92327</v>
      </c>
      <c r="I1680" t="n">
        <v>0.928354</v>
      </c>
      <c r="J1680" t="n">
        <v>-0.005084</v>
      </c>
      <c r="K1680" s="4">
        <f>IFERROR(J1680/I1680,"")</f>
        <v/>
      </c>
      <c r="L1680" s="4">
        <f>IFERROR((D1680-E1680)/E1680,"")</f>
        <v/>
      </c>
      <c r="M1680" s="19">
        <f>IFERROR(F1680*G1680/10000,"")</f>
        <v/>
      </c>
    </row>
    <row r="1681">
      <c r="A1681" t="inlineStr">
        <is>
          <t>2026-10-30</t>
        </is>
      </c>
      <c r="B1681" t="inlineStr">
        <is>
          <t>563860</t>
        </is>
      </c>
      <c r="C1681" t="inlineStr">
        <is>
          <t>中证A500ETF海富通</t>
        </is>
      </c>
      <c r="D1681" t="n">
        <v>22184.43</v>
      </c>
      <c r="E1681" t="n">
        <v>22184.43</v>
      </c>
      <c r="F1681" t="n">
        <v>1.129</v>
      </c>
      <c r="G1681" t="n">
        <v>0</v>
      </c>
      <c r="H1681" t="n">
        <v>2.504622</v>
      </c>
      <c r="I1681" t="n">
        <v>2.533462</v>
      </c>
      <c r="J1681" t="n">
        <v>-0.02884</v>
      </c>
      <c r="K1681" s="4">
        <f>IFERROR(J1681/I1681,"")</f>
        <v/>
      </c>
      <c r="L1681" s="4">
        <f>IFERROR((D1681-E1681)/E1681,"")</f>
        <v/>
      </c>
      <c r="M1681" s="19">
        <f>IFERROR(F1681*G1681/10000,"")</f>
        <v/>
      </c>
    </row>
    <row r="1682">
      <c r="A1682" t="inlineStr">
        <is>
          <t>2026-10-30</t>
        </is>
      </c>
      <c r="B1682" t="inlineStr">
        <is>
          <t>563870</t>
        </is>
      </c>
      <c r="C1682" t="inlineStr">
        <is>
          <t>通用航空ETF鹏华</t>
        </is>
      </c>
      <c r="D1682" t="n">
        <v>10430.39</v>
      </c>
      <c r="E1682" t="n">
        <v>10530.39</v>
      </c>
      <c r="F1682" t="n">
        <v>0.597</v>
      </c>
      <c r="G1682" t="n">
        <v>-100</v>
      </c>
      <c r="H1682" t="n">
        <v>0.628665</v>
      </c>
      <c r="I1682" t="n">
        <v>0.623399</v>
      </c>
      <c r="J1682" t="n">
        <v>0.005266</v>
      </c>
      <c r="K1682" s="4">
        <f>IFERROR(J1682/I1682,"")</f>
        <v/>
      </c>
      <c r="L1682" s="4">
        <f>IFERROR((D1682-E1682)/E1682,"")</f>
        <v/>
      </c>
      <c r="M1682" s="19">
        <f>IFERROR(F1682*G1682/10000,"")</f>
        <v/>
      </c>
    </row>
    <row r="1683">
      <c r="A1683" t="inlineStr">
        <is>
          <t>2026-10-30</t>
        </is>
      </c>
      <c r="B1683" t="inlineStr">
        <is>
          <t>563880</t>
        </is>
      </c>
      <c r="C1683" t="inlineStr">
        <is>
          <t>A500ETF汇添富</t>
        </is>
      </c>
      <c r="D1683" t="n">
        <v>156799.64</v>
      </c>
      <c r="E1683" t="n">
        <v>155899.64</v>
      </c>
      <c r="F1683" t="n">
        <v>1.083</v>
      </c>
      <c r="G1683" t="n">
        <v>900</v>
      </c>
      <c r="H1683" t="n">
        <v>16.883931</v>
      </c>
      <c r="I1683" t="n">
        <v>16.27615</v>
      </c>
      <c r="J1683" t="n">
        <v>0.607781</v>
      </c>
      <c r="K1683" s="4">
        <f>IFERROR(J1683/I1683,"")</f>
        <v/>
      </c>
      <c r="L1683" s="4">
        <f>IFERROR((D1683-E1683)/E1683,"")</f>
        <v/>
      </c>
      <c r="M1683" s="19">
        <f>IFERROR(F1683*G1683/10000,"")</f>
        <v/>
      </c>
    </row>
    <row r="1684">
      <c r="A1684" t="inlineStr">
        <is>
          <t>2026-10-30</t>
        </is>
      </c>
      <c r="B1684" t="inlineStr">
        <is>
          <t>563890</t>
        </is>
      </c>
      <c r="C1684" t="inlineStr">
        <is>
          <t>国企红利ETF创金合信</t>
        </is>
      </c>
      <c r="D1684" t="n">
        <v>1783.6</v>
      </c>
      <c r="E1684" t="n">
        <v>1883.6</v>
      </c>
      <c r="F1684" t="n">
        <v>1.07</v>
      </c>
      <c r="G1684" t="n">
        <v>-100</v>
      </c>
      <c r="H1684" t="n">
        <v>0.201545</v>
      </c>
      <c r="I1684" t="n">
        <v>0.199473</v>
      </c>
      <c r="J1684" t="n">
        <v>0.002072</v>
      </c>
      <c r="K1684" s="4">
        <f>IFERROR(J1684/I1684,"")</f>
        <v/>
      </c>
      <c r="L1684" s="4">
        <f>IFERROR((D1684-E1684)/E1684,"")</f>
        <v/>
      </c>
      <c r="M1684" s="19">
        <f>IFERROR(F1684*G1684/10000,"")</f>
        <v/>
      </c>
    </row>
    <row r="1685">
      <c r="A1685" t="inlineStr">
        <is>
          <t>2026-10-30</t>
        </is>
      </c>
      <c r="B1685" t="inlineStr">
        <is>
          <t>563900</t>
        </is>
      </c>
      <c r="C1685" t="inlineStr">
        <is>
          <t>300自由现金流ETF摩根</t>
        </is>
      </c>
      <c r="D1685" t="n">
        <v>41996.57</v>
      </c>
      <c r="E1685" t="n">
        <v>42096.57</v>
      </c>
      <c r="F1685" t="n">
        <v>1.172</v>
      </c>
      <c r="G1685" t="n">
        <v>-100</v>
      </c>
      <c r="H1685" t="n">
        <v>4.933718</v>
      </c>
      <c r="I1685" t="n">
        <v>4.910632</v>
      </c>
      <c r="J1685" t="n">
        <v>0.023086</v>
      </c>
      <c r="K1685" s="4">
        <f>IFERROR(J1685/I1685,"")</f>
        <v/>
      </c>
      <c r="L1685" s="4">
        <f>IFERROR((D1685-E1685)/E1685,"")</f>
        <v/>
      </c>
      <c r="M1685" s="19">
        <f>IFERROR(F1685*G1685/10000,"")</f>
        <v/>
      </c>
    </row>
    <row r="1686">
      <c r="A1686" t="inlineStr">
        <is>
          <t>2026-10-30</t>
        </is>
      </c>
      <c r="B1686" t="inlineStr">
        <is>
          <t>563930</t>
        </is>
      </c>
      <c r="C1686" t="inlineStr">
        <is>
          <t>上证增强ETF招商</t>
        </is>
      </c>
      <c r="D1686" t="n">
        <v>4059.2</v>
      </c>
      <c r="E1686" t="n">
        <v>4059.2</v>
      </c>
      <c r="F1686" t="n">
        <v>0.989</v>
      </c>
      <c r="G1686" t="n">
        <v>0</v>
      </c>
      <c r="H1686" t="n">
        <v>0.401455</v>
      </c>
      <c r="I1686" t="n">
        <v>0.404296</v>
      </c>
      <c r="J1686" t="n">
        <v>-0.002841</v>
      </c>
      <c r="K1686" s="4">
        <f>IFERROR(J1686/I1686,"")</f>
        <v/>
      </c>
      <c r="L1686" s="4">
        <f>IFERROR((D1686-E1686)/E1686,"")</f>
        <v/>
      </c>
      <c r="M1686" s="19">
        <f>IFERROR(F1686*G1686/10000,"")</f>
        <v/>
      </c>
    </row>
    <row r="1687">
      <c r="A1687" t="inlineStr">
        <is>
          <t>2026-10-30</t>
        </is>
      </c>
      <c r="B1687" t="inlineStr">
        <is>
          <t>563960</t>
        </is>
      </c>
      <c r="C1687" t="inlineStr">
        <is>
          <t>300质量ETF兴全</t>
        </is>
      </c>
      <c r="D1687" t="n">
        <v>35251.2</v>
      </c>
      <c r="E1687" t="n">
        <v>35251.2</v>
      </c>
      <c r="F1687" t="n">
        <v>0.923</v>
      </c>
      <c r="G1687" t="n">
        <v>0</v>
      </c>
      <c r="H1687" t="n">
        <v>3.253686</v>
      </c>
      <c r="I1687" t="n">
        <v>3.23921</v>
      </c>
      <c r="J1687" t="n">
        <v>0.014476</v>
      </c>
      <c r="K1687" s="4">
        <f>IFERROR(J1687/I1687,"")</f>
        <v/>
      </c>
      <c r="L1687" s="4">
        <f>IFERROR((D1687-E1687)/E1687,"")</f>
        <v/>
      </c>
      <c r="M1687" s="19">
        <f>IFERROR(F1687*G1687/10000,"")</f>
        <v/>
      </c>
    </row>
    <row r="1688">
      <c r="A1688" t="inlineStr">
        <is>
          <t>2026-10-30</t>
        </is>
      </c>
      <c r="B1688" t="inlineStr">
        <is>
          <t>563980</t>
        </is>
      </c>
      <c r="C1688" t="inlineStr">
        <is>
          <t>800红利低波ETF鑫元</t>
        </is>
      </c>
      <c r="D1688" t="n">
        <v>20996.7</v>
      </c>
      <c r="E1688" t="n">
        <v>20996.7</v>
      </c>
      <c r="F1688" t="n">
        <v>1.004</v>
      </c>
      <c r="G1688" t="n">
        <v>0</v>
      </c>
      <c r="H1688" t="n">
        <v>2.108069</v>
      </c>
      <c r="I1688" t="n">
        <v>2.089172</v>
      </c>
      <c r="J1688" t="n">
        <v>0.018897</v>
      </c>
      <c r="K1688" s="4">
        <f>IFERROR(J1688/I1688,"")</f>
        <v/>
      </c>
      <c r="L1688" s="4">
        <f>IFERROR((D1688-E1688)/E1688,"")</f>
        <v/>
      </c>
      <c r="M1688" s="19">
        <f>IFERROR(F1688*G1688/10000,"")</f>
        <v/>
      </c>
    </row>
    <row r="1689">
      <c r="A1689" t="inlineStr">
        <is>
          <t>2026-10-30</t>
        </is>
      </c>
      <c r="B1689" t="inlineStr">
        <is>
          <t>563990</t>
        </is>
      </c>
      <c r="C1689" t="inlineStr">
        <is>
          <t>800现金流ETF富国</t>
        </is>
      </c>
      <c r="D1689" t="n">
        <v>28357.3</v>
      </c>
      <c r="E1689" t="n">
        <v>28357.3</v>
      </c>
      <c r="F1689" t="n">
        <v>1.233</v>
      </c>
      <c r="G1689" t="n">
        <v>0</v>
      </c>
      <c r="H1689" t="n">
        <v>3.496455</v>
      </c>
      <c r="I1689" t="n">
        <v>3.476605</v>
      </c>
      <c r="J1689" t="n">
        <v>0.01985</v>
      </c>
      <c r="K1689" s="4">
        <f>IFERROR(J1689/I1689,"")</f>
        <v/>
      </c>
      <c r="L1689" s="4">
        <f>IFERROR((D1689-E1689)/E1689,"")</f>
        <v/>
      </c>
      <c r="M1689" s="19">
        <f>IFERROR(F1689*G1689/10000,"")</f>
        <v/>
      </c>
    </row>
    <row r="1690">
      <c r="A1690" t="inlineStr">
        <is>
          <t>2026-10-30</t>
        </is>
      </c>
      <c r="B1690" t="inlineStr">
        <is>
          <t>588000</t>
        </is>
      </c>
      <c r="C1690" t="inlineStr">
        <is>
          <t>科创50ETF华夏</t>
        </is>
      </c>
      <c r="D1690" t="n">
        <v>8779766.82</v>
      </c>
      <c r="E1690" t="n">
        <v>8513666.82</v>
      </c>
      <c r="F1690" t="n">
        <v>1.293</v>
      </c>
      <c r="G1690" t="n">
        <v>266100</v>
      </c>
      <c r="H1690" t="n">
        <v>1100.81712</v>
      </c>
      <c r="I1690" t="n">
        <v>1161.443167</v>
      </c>
      <c r="J1690" t="n">
        <v>-60.626047</v>
      </c>
      <c r="K1690" s="4">
        <f>IFERROR(J1690/I1690,"")</f>
        <v/>
      </c>
      <c r="L1690" s="4">
        <f>IFERROR((D1690-E1690)/E1690,"")</f>
        <v/>
      </c>
      <c r="M1690" s="19">
        <f>IFERROR(F1690*G1690/10000,"")</f>
        <v/>
      </c>
    </row>
    <row r="1691">
      <c r="A1691" t="inlineStr">
        <is>
          <t>2026-10-30</t>
        </is>
      </c>
      <c r="B1691" t="inlineStr">
        <is>
          <t>588010</t>
        </is>
      </c>
      <c r="C1691" t="inlineStr">
        <is>
          <t>科创新材料ETF博时</t>
        </is>
      </c>
      <c r="D1691" t="n">
        <v>97792.58</v>
      </c>
      <c r="E1691" t="n">
        <v>96542.58</v>
      </c>
      <c r="F1691" t="n">
        <v>0.764</v>
      </c>
      <c r="G1691" t="n">
        <v>1250</v>
      </c>
      <c r="H1691" t="n">
        <v>7.375853</v>
      </c>
      <c r="I1691" t="n">
        <v>7.902232</v>
      </c>
      <c r="J1691" t="n">
        <v>-0.526379</v>
      </c>
      <c r="K1691" s="4">
        <f>IFERROR(J1691/I1691,"")</f>
        <v/>
      </c>
      <c r="L1691" s="4">
        <f>IFERROR((D1691-E1691)/E1691,"")</f>
        <v/>
      </c>
      <c r="M1691" s="19">
        <f>IFERROR(F1691*G1691/10000,"")</f>
        <v/>
      </c>
    </row>
    <row r="1692">
      <c r="A1692" t="inlineStr">
        <is>
          <t>2026-10-30</t>
        </is>
      </c>
      <c r="B1692" t="inlineStr">
        <is>
          <t>588020</t>
        </is>
      </c>
      <c r="C1692" t="inlineStr">
        <is>
          <t>科创成长ETF易方达</t>
        </is>
      </c>
      <c r="D1692" t="n">
        <v>296937.3</v>
      </c>
      <c r="E1692" t="n">
        <v>278937.3</v>
      </c>
      <c r="F1692" t="n">
        <v>0.59</v>
      </c>
      <c r="G1692" t="n">
        <v>18000</v>
      </c>
      <c r="H1692" t="n">
        <v>16.457301</v>
      </c>
      <c r="I1692" t="n">
        <v>17.91104</v>
      </c>
      <c r="J1692" t="n">
        <v>-1.453739</v>
      </c>
      <c r="K1692" s="4">
        <f>IFERROR(J1692/I1692,"")</f>
        <v/>
      </c>
      <c r="L1692" s="4">
        <f>IFERROR((D1692-E1692)/E1692,"")</f>
        <v/>
      </c>
      <c r="M1692" s="19">
        <f>IFERROR(F1692*G1692/10000,"")</f>
        <v/>
      </c>
    </row>
    <row r="1693">
      <c r="A1693" t="inlineStr">
        <is>
          <t>2026-10-30</t>
        </is>
      </c>
      <c r="B1693" t="inlineStr">
        <is>
          <t>588030</t>
        </is>
      </c>
      <c r="C1693" t="inlineStr">
        <is>
          <t>科创100ETF博时</t>
        </is>
      </c>
      <c r="D1693" t="n">
        <v>228583.81</v>
      </c>
      <c r="E1693" t="n">
        <v>227083.81</v>
      </c>
      <c r="F1693" t="n">
        <v>1.336</v>
      </c>
      <c r="G1693" t="n">
        <v>1500</v>
      </c>
      <c r="H1693" t="n">
        <v>30.338397</v>
      </c>
      <c r="I1693" t="n">
        <v>31.562262</v>
      </c>
      <c r="J1693" t="n">
        <v>-1.223865</v>
      </c>
      <c r="K1693" s="4">
        <f>IFERROR(J1693/I1693,"")</f>
        <v/>
      </c>
      <c r="L1693" s="4">
        <f>IFERROR((D1693-E1693)/E1693,"")</f>
        <v/>
      </c>
      <c r="M1693" s="19">
        <f>IFERROR(F1693*G1693/10000,"")</f>
        <v/>
      </c>
    </row>
    <row r="1694">
      <c r="A1694" t="inlineStr">
        <is>
          <t>2026-10-30</t>
        </is>
      </c>
      <c r="B1694" t="inlineStr">
        <is>
          <t>588040</t>
        </is>
      </c>
      <c r="C1694" t="inlineStr">
        <is>
          <t>科创50ETF鹏华</t>
        </is>
      </c>
      <c r="D1694" t="n">
        <v>18788.9</v>
      </c>
      <c r="E1694" t="n">
        <v>18188.9</v>
      </c>
      <c r="F1694" t="n">
        <v>1.242</v>
      </c>
      <c r="G1694" t="n">
        <v>600</v>
      </c>
      <c r="H1694" t="n">
        <v>2.259061</v>
      </c>
      <c r="I1694" t="n">
        <v>2.450073</v>
      </c>
      <c r="J1694" t="n">
        <v>-0.191012</v>
      </c>
      <c r="K1694" s="4">
        <f>IFERROR(J1694/I1694,"")</f>
        <v/>
      </c>
      <c r="L1694" s="4">
        <f>IFERROR((D1694-E1694)/E1694,"")</f>
        <v/>
      </c>
      <c r="M1694" s="19">
        <f>IFERROR(F1694*G1694/10000,"")</f>
        <v/>
      </c>
    </row>
    <row r="1695">
      <c r="A1695" t="inlineStr">
        <is>
          <t>2026-10-30</t>
        </is>
      </c>
      <c r="B1695" t="inlineStr">
        <is>
          <t>588050</t>
        </is>
      </c>
      <c r="C1695" t="inlineStr">
        <is>
          <t>科创50ETF工银</t>
        </is>
      </c>
      <c r="D1695" t="n">
        <v>733324.13</v>
      </c>
      <c r="E1695" t="n">
        <v>727724.13</v>
      </c>
      <c r="F1695" t="n">
        <v>1.253</v>
      </c>
      <c r="G1695" t="n">
        <v>5600</v>
      </c>
      <c r="H1695" t="n">
        <v>91.18383300000001</v>
      </c>
      <c r="I1695" t="n">
        <v>95.649231</v>
      </c>
      <c r="J1695" t="n">
        <v>-4.465398</v>
      </c>
      <c r="K1695" s="4">
        <f>IFERROR(J1695/I1695,"")</f>
        <v/>
      </c>
      <c r="L1695" s="4">
        <f>IFERROR((D1695-E1695)/E1695,"")</f>
        <v/>
      </c>
      <c r="M1695" s="19">
        <f>IFERROR(F1695*G1695/10000,"")</f>
        <v/>
      </c>
    </row>
    <row r="1696">
      <c r="A1696" t="inlineStr">
        <is>
          <t>2026-10-30</t>
        </is>
      </c>
      <c r="B1696" t="inlineStr">
        <is>
          <t>588060</t>
        </is>
      </c>
      <c r="C1696" t="inlineStr">
        <is>
          <t>科创50ETF广发</t>
        </is>
      </c>
      <c r="D1696" t="n">
        <v>1036314</v>
      </c>
      <c r="E1696" t="n">
        <v>1018314</v>
      </c>
      <c r="F1696" t="n">
        <v>0.776</v>
      </c>
      <c r="G1696" t="n">
        <v>18000</v>
      </c>
      <c r="H1696" t="n">
        <v>79.02116599999999</v>
      </c>
      <c r="I1696" t="n">
        <v>84.34988800000001</v>
      </c>
      <c r="J1696" t="n">
        <v>-5.328722</v>
      </c>
      <c r="K1696" s="4">
        <f>IFERROR(J1696/I1696,"")</f>
        <v/>
      </c>
      <c r="L1696" s="4">
        <f>IFERROR((D1696-E1696)/E1696,"")</f>
        <v/>
      </c>
      <c r="M1696" s="19">
        <f>IFERROR(F1696*G1696/10000,"")</f>
        <v/>
      </c>
    </row>
    <row r="1697">
      <c r="A1697" t="inlineStr">
        <is>
          <t>2026-10-30</t>
        </is>
      </c>
      <c r="B1697" t="inlineStr">
        <is>
          <t>588070</t>
        </is>
      </c>
      <c r="C1697" t="inlineStr">
        <is>
          <t>科创成长ETF万家</t>
        </is>
      </c>
      <c r="D1697" t="n">
        <v>5243.7</v>
      </c>
      <c r="E1697" t="n">
        <v>4843.7</v>
      </c>
      <c r="F1697" t="n">
        <v>1.506</v>
      </c>
      <c r="G1697" t="n">
        <v>400</v>
      </c>
      <c r="H1697" t="n">
        <v>0.729461</v>
      </c>
      <c r="I1697" t="n">
        <v>0.789039</v>
      </c>
      <c r="J1697" t="n">
        <v>-0.059578</v>
      </c>
      <c r="K1697" s="4">
        <f>IFERROR(J1697/I1697,"")</f>
        <v/>
      </c>
      <c r="L1697" s="4">
        <f>IFERROR((D1697-E1697)/E1697,"")</f>
        <v/>
      </c>
      <c r="M1697" s="19">
        <f>IFERROR(F1697*G1697/10000,"")</f>
        <v/>
      </c>
    </row>
    <row r="1698">
      <c r="A1698" t="inlineStr">
        <is>
          <t>2026-10-30</t>
        </is>
      </c>
      <c r="B1698" t="inlineStr">
        <is>
          <t>588080</t>
        </is>
      </c>
      <c r="C1698" t="inlineStr">
        <is>
          <t>科创50ETF易方达</t>
        </is>
      </c>
      <c r="D1698" t="n">
        <v>3129462.81</v>
      </c>
      <c r="E1698" t="n">
        <v>3085362.81</v>
      </c>
      <c r="F1698" t="n">
        <v>1.252</v>
      </c>
      <c r="G1698" t="n">
        <v>44100</v>
      </c>
      <c r="H1698" t="n">
        <v>386.287424</v>
      </c>
      <c r="I1698" t="n">
        <v>408.180557</v>
      </c>
      <c r="J1698" t="n">
        <v>-21.893133</v>
      </c>
      <c r="K1698" s="4">
        <f>IFERROR(J1698/I1698,"")</f>
        <v/>
      </c>
      <c r="L1698" s="4">
        <f>IFERROR((D1698-E1698)/E1698,"")</f>
        <v/>
      </c>
      <c r="M1698" s="19">
        <f>IFERROR(F1698*G1698/10000,"")</f>
        <v/>
      </c>
    </row>
    <row r="1699">
      <c r="A1699" t="inlineStr">
        <is>
          <t>2026-10-30</t>
        </is>
      </c>
      <c r="B1699" t="inlineStr">
        <is>
          <t>588090</t>
        </is>
      </c>
      <c r="C1699" t="inlineStr">
        <is>
          <t>科创50ETF华泰柏瑞</t>
        </is>
      </c>
      <c r="D1699" t="n">
        <v>305407.28</v>
      </c>
      <c r="E1699" t="n">
        <v>303607.28</v>
      </c>
      <c r="F1699" t="n">
        <v>1.261</v>
      </c>
      <c r="G1699" t="n">
        <v>1800</v>
      </c>
      <c r="H1699" t="n">
        <v>38.284877</v>
      </c>
      <c r="I1699" t="n">
        <v>40.39296</v>
      </c>
      <c r="J1699" t="n">
        <v>-2.108083</v>
      </c>
      <c r="K1699" s="4">
        <f>IFERROR(J1699/I1699,"")</f>
        <v/>
      </c>
      <c r="L1699" s="4">
        <f>IFERROR((D1699-E1699)/E1699,"")</f>
        <v/>
      </c>
      <c r="M1699" s="19">
        <f>IFERROR(F1699*G1699/10000,"")</f>
        <v/>
      </c>
    </row>
    <row r="1700">
      <c r="A1700" t="inlineStr">
        <is>
          <t>2026-10-30</t>
        </is>
      </c>
      <c r="B1700" t="inlineStr">
        <is>
          <t>588100</t>
        </is>
      </c>
      <c r="C1700" t="inlineStr">
        <is>
          <t>科创信息ETF嘉实</t>
        </is>
      </c>
      <c r="D1700" t="n">
        <v>24374.62</v>
      </c>
      <c r="E1700" t="n">
        <v>24374.62</v>
      </c>
      <c r="F1700" t="n">
        <v>0.629</v>
      </c>
      <c r="G1700" t="n">
        <v>0</v>
      </c>
      <c r="H1700" t="n">
        <v>1.533164</v>
      </c>
      <c r="I1700" t="n">
        <v>1.616038</v>
      </c>
      <c r="J1700" t="n">
        <v>-0.082874</v>
      </c>
      <c r="K1700" s="4">
        <f>IFERROR(J1700/I1700,"")</f>
        <v/>
      </c>
      <c r="L1700" s="4">
        <f>IFERROR((D1700-E1700)/E1700,"")</f>
        <v/>
      </c>
      <c r="M1700" s="19">
        <f>IFERROR(F1700*G1700/10000,"")</f>
        <v/>
      </c>
    </row>
    <row r="1701">
      <c r="A1701" t="inlineStr">
        <is>
          <t>2026-10-30</t>
        </is>
      </c>
      <c r="B1701" t="inlineStr">
        <is>
          <t>588110</t>
        </is>
      </c>
      <c r="C1701" t="inlineStr">
        <is>
          <t>科创成长ETF广发</t>
        </is>
      </c>
      <c r="D1701" t="n">
        <v>122503.2</v>
      </c>
      <c r="E1701" t="n">
        <v>117103.2</v>
      </c>
      <c r="F1701" t="n">
        <v>0.433</v>
      </c>
      <c r="G1701" t="n">
        <v>5400</v>
      </c>
      <c r="H1701" t="n">
        <v>5.070569</v>
      </c>
      <c r="I1701" t="n">
        <v>5.56467</v>
      </c>
      <c r="J1701" t="n">
        <v>-0.494101</v>
      </c>
      <c r="K1701" s="4">
        <f>IFERROR(J1701/I1701,"")</f>
        <v/>
      </c>
      <c r="L1701" s="4">
        <f>IFERROR((D1701-E1701)/E1701,"")</f>
        <v/>
      </c>
      <c r="M1701" s="19">
        <f>IFERROR(F1701*G1701/10000,"")</f>
        <v/>
      </c>
    </row>
    <row r="1702">
      <c r="A1702" t="inlineStr">
        <is>
          <t>2026-10-30</t>
        </is>
      </c>
      <c r="B1702" t="inlineStr">
        <is>
          <t>588120</t>
        </is>
      </c>
      <c r="C1702" t="inlineStr">
        <is>
          <t>科创100ETF国泰</t>
        </is>
      </c>
      <c r="D1702" t="n">
        <v>104562.2</v>
      </c>
      <c r="E1702" t="n">
        <v>105762.2</v>
      </c>
      <c r="F1702" t="n">
        <v>0.679</v>
      </c>
      <c r="G1702" t="n">
        <v>-1200</v>
      </c>
      <c r="H1702" t="n">
        <v>7.181253</v>
      </c>
      <c r="I1702" t="n">
        <v>7.402109</v>
      </c>
      <c r="J1702" t="n">
        <v>-0.220856</v>
      </c>
      <c r="K1702" s="4">
        <f>IFERROR(J1702/I1702,"")</f>
        <v/>
      </c>
      <c r="L1702" s="4">
        <f>IFERROR((D1702-E1702)/E1702,"")</f>
        <v/>
      </c>
      <c r="M1702" s="19">
        <f>IFERROR(F1702*G1702/10000,"")</f>
        <v/>
      </c>
    </row>
    <row r="1703">
      <c r="A1703" t="inlineStr">
        <is>
          <t>2026-10-30</t>
        </is>
      </c>
      <c r="B1703" t="inlineStr">
        <is>
          <t>588130</t>
        </is>
      </c>
      <c r="C1703" t="inlineStr">
        <is>
          <t>科创医药ETF华夏</t>
        </is>
      </c>
      <c r="D1703" t="n">
        <v>49908.26</v>
      </c>
      <c r="E1703" t="n">
        <v>49908.26</v>
      </c>
      <c r="F1703" t="n">
        <v>0.901</v>
      </c>
      <c r="G1703" t="n">
        <v>0</v>
      </c>
      <c r="H1703" t="n">
        <v>4.496734</v>
      </c>
      <c r="I1703" t="n">
        <v>4.661073</v>
      </c>
      <c r="J1703" t="n">
        <v>-0.164339</v>
      </c>
      <c r="K1703" s="4">
        <f>IFERROR(J1703/I1703,"")</f>
        <v/>
      </c>
      <c r="L1703" s="4">
        <f>IFERROR((D1703-E1703)/E1703,"")</f>
        <v/>
      </c>
      <c r="M1703" s="19">
        <f>IFERROR(F1703*G1703/10000,"")</f>
        <v/>
      </c>
    </row>
    <row r="1704">
      <c r="A1704" t="inlineStr">
        <is>
          <t>2026-10-30</t>
        </is>
      </c>
      <c r="B1704" t="inlineStr">
        <is>
          <t>588140</t>
        </is>
      </c>
      <c r="C1704" t="inlineStr">
        <is>
          <t>科创200ETF广发</t>
        </is>
      </c>
      <c r="D1704" t="n">
        <v>23575.1</v>
      </c>
      <c r="E1704" t="n">
        <v>22675.1</v>
      </c>
      <c r="F1704" t="n">
        <v>0.966</v>
      </c>
      <c r="G1704" t="n">
        <v>900</v>
      </c>
      <c r="H1704" t="n">
        <v>2.190415</v>
      </c>
      <c r="I1704" t="n">
        <v>2.301523</v>
      </c>
      <c r="J1704" t="n">
        <v>-0.111108</v>
      </c>
      <c r="K1704" s="4">
        <f>IFERROR(J1704/I1704,"")</f>
        <v/>
      </c>
      <c r="L1704" s="4">
        <f>IFERROR((D1704-E1704)/E1704,"")</f>
        <v/>
      </c>
      <c r="M1704" s="19">
        <f>IFERROR(F1704*G1704/10000,"")</f>
        <v/>
      </c>
    </row>
    <row r="1705">
      <c r="A1705" t="inlineStr">
        <is>
          <t>2026-10-30</t>
        </is>
      </c>
      <c r="B1705" t="inlineStr">
        <is>
          <t>588150</t>
        </is>
      </c>
      <c r="C1705" t="inlineStr">
        <is>
          <t>科创50ETF南方</t>
        </is>
      </c>
      <c r="D1705" t="n">
        <v>49943.26</v>
      </c>
      <c r="E1705" t="n">
        <v>49593.26</v>
      </c>
      <c r="F1705" t="n">
        <v>0.869</v>
      </c>
      <c r="G1705" t="n">
        <v>350</v>
      </c>
      <c r="H1705" t="n">
        <v>4.309655</v>
      </c>
      <c r="I1705" t="n">
        <v>4.586746</v>
      </c>
      <c r="J1705" t="n">
        <v>-0.277091</v>
      </c>
      <c r="K1705" s="4">
        <f>IFERROR(J1705/I1705,"")</f>
        <v/>
      </c>
      <c r="L1705" s="4">
        <f>IFERROR((D1705-E1705)/E1705,"")</f>
        <v/>
      </c>
      <c r="M1705" s="19">
        <f>IFERROR(F1705*G1705/10000,"")</f>
        <v/>
      </c>
    </row>
    <row r="1706">
      <c r="A1706" t="inlineStr">
        <is>
          <t>2026-10-30</t>
        </is>
      </c>
      <c r="B1706" t="inlineStr">
        <is>
          <t>588160</t>
        </is>
      </c>
      <c r="C1706" t="inlineStr">
        <is>
          <t>科创新材料ETF南方</t>
        </is>
      </c>
      <c r="D1706" t="n">
        <v>85449.60000000001</v>
      </c>
      <c r="E1706" t="n">
        <v>85149.60000000001</v>
      </c>
      <c r="F1706" t="n">
        <v>0.784</v>
      </c>
      <c r="G1706" t="n">
        <v>300</v>
      </c>
      <c r="H1706" t="n">
        <v>6.675729</v>
      </c>
      <c r="I1706" t="n">
        <v>7.190732</v>
      </c>
      <c r="J1706" t="n">
        <v>-0.515003</v>
      </c>
      <c r="K1706" s="4">
        <f>IFERROR(J1706/I1706,"")</f>
        <v/>
      </c>
      <c r="L1706" s="4">
        <f>IFERROR((D1706-E1706)/E1706,"")</f>
        <v/>
      </c>
      <c r="M1706" s="19">
        <f>IFERROR(F1706*G1706/10000,"")</f>
        <v/>
      </c>
    </row>
    <row r="1707">
      <c r="A1707" t="inlineStr">
        <is>
          <t>2026-10-30</t>
        </is>
      </c>
      <c r="B1707" t="inlineStr">
        <is>
          <t>588170</t>
        </is>
      </c>
      <c r="C1707" t="inlineStr">
        <is>
          <t>科创半导体ETF华夏</t>
        </is>
      </c>
      <c r="D1707" t="n">
        <v>4704944.7</v>
      </c>
      <c r="E1707" t="n">
        <v>4810544.7</v>
      </c>
      <c r="F1707" t="n">
        <v>0.628</v>
      </c>
      <c r="G1707" t="n">
        <v>-105600</v>
      </c>
      <c r="H1707" t="n">
        <v>302.102207</v>
      </c>
      <c r="I1707" t="n">
        <v>327.504998</v>
      </c>
      <c r="J1707" t="n">
        <v>-25.402791</v>
      </c>
      <c r="K1707" s="4">
        <f>IFERROR(J1707/I1707,"")</f>
        <v/>
      </c>
      <c r="L1707" s="4">
        <f>IFERROR((D1707-E1707)/E1707,"")</f>
        <v/>
      </c>
      <c r="M1707" s="19">
        <f>IFERROR(F1707*G1707/10000,"")</f>
        <v/>
      </c>
    </row>
    <row r="1708">
      <c r="A1708" t="inlineStr">
        <is>
          <t>2026-10-30</t>
        </is>
      </c>
      <c r="B1708" t="inlineStr">
        <is>
          <t>588180</t>
        </is>
      </c>
      <c r="C1708" t="inlineStr">
        <is>
          <t>科创50ETF国联安</t>
        </is>
      </c>
      <c r="D1708" t="n">
        <v>100435.37</v>
      </c>
      <c r="E1708" t="n">
        <v>97635.37</v>
      </c>
      <c r="F1708" t="n">
        <v>0.8</v>
      </c>
      <c r="G1708" t="n">
        <v>2800</v>
      </c>
      <c r="H1708" t="n">
        <v>7.81083</v>
      </c>
      <c r="I1708" t="n">
        <v>8.211174</v>
      </c>
      <c r="J1708" t="n">
        <v>-0.400344</v>
      </c>
      <c r="K1708" s="4">
        <f>IFERROR(J1708/I1708,"")</f>
        <v/>
      </c>
      <c r="L1708" s="4">
        <f>IFERROR((D1708-E1708)/E1708,"")</f>
        <v/>
      </c>
      <c r="M1708" s="19">
        <f>IFERROR(F1708*G1708/10000,"")</f>
        <v/>
      </c>
    </row>
    <row r="1709">
      <c r="A1709" t="inlineStr">
        <is>
          <t>2026-10-30</t>
        </is>
      </c>
      <c r="B1709" t="inlineStr">
        <is>
          <t>588190</t>
        </is>
      </c>
      <c r="C1709" t="inlineStr">
        <is>
          <t>科创100ETF银华</t>
        </is>
      </c>
      <c r="D1709" t="n">
        <v>141461.83</v>
      </c>
      <c r="E1709" t="n">
        <v>141761.83</v>
      </c>
      <c r="F1709" t="n">
        <v>1.336</v>
      </c>
      <c r="G1709" t="n">
        <v>-300</v>
      </c>
      <c r="H1709" t="n">
        <v>18.939381</v>
      </c>
      <c r="I1709" t="n">
        <v>19.720656</v>
      </c>
      <c r="J1709" t="n">
        <v>-0.7812750000000001</v>
      </c>
      <c r="K1709" s="4">
        <f>IFERROR(J1709/I1709,"")</f>
        <v/>
      </c>
      <c r="L1709" s="4">
        <f>IFERROR((D1709-E1709)/E1709,"")</f>
        <v/>
      </c>
      <c r="M1709" s="19">
        <f>IFERROR(F1709*G1709/10000,"")</f>
        <v/>
      </c>
    </row>
    <row r="1710">
      <c r="A1710" t="inlineStr">
        <is>
          <t>2026-10-30</t>
        </is>
      </c>
      <c r="B1710" t="inlineStr">
        <is>
          <t>588200</t>
        </is>
      </c>
      <c r="C1710" t="inlineStr">
        <is>
          <t>科创芯片ETF嘉实</t>
        </is>
      </c>
      <c r="D1710" t="n">
        <v>4366168.43</v>
      </c>
      <c r="E1710" t="n">
        <v>4390918.43</v>
      </c>
      <c r="F1710" t="n">
        <v>0.819</v>
      </c>
      <c r="G1710" t="n">
        <v>-24750</v>
      </c>
      <c r="H1710" t="n">
        <v>359.61622</v>
      </c>
      <c r="I1710" t="n">
        <v>389.912047</v>
      </c>
      <c r="J1710" t="n">
        <v>-30.295827</v>
      </c>
      <c r="K1710" s="4">
        <f>IFERROR(J1710/I1710,"")</f>
        <v/>
      </c>
      <c r="L1710" s="4">
        <f>IFERROR((D1710-E1710)/E1710,"")</f>
        <v/>
      </c>
      <c r="M1710" s="19">
        <f>IFERROR(F1710*G1710/10000,"")</f>
        <v/>
      </c>
    </row>
    <row r="1711">
      <c r="A1711" t="inlineStr">
        <is>
          <t>2026-10-30</t>
        </is>
      </c>
      <c r="B1711" t="inlineStr">
        <is>
          <t>588210</t>
        </is>
      </c>
      <c r="C1711" t="inlineStr">
        <is>
          <t>科创100ETF易方达</t>
        </is>
      </c>
      <c r="D1711" t="n">
        <v>32325.4</v>
      </c>
      <c r="E1711" t="n">
        <v>33075.4</v>
      </c>
      <c r="F1711" t="n">
        <v>1.353</v>
      </c>
      <c r="G1711" t="n">
        <v>-750</v>
      </c>
      <c r="H1711" t="n">
        <v>4.475102</v>
      </c>
      <c r="I1711" t="n">
        <v>4.580509</v>
      </c>
      <c r="J1711" t="n">
        <v>-0.105407</v>
      </c>
      <c r="K1711" s="4">
        <f>IFERROR(J1711/I1711,"")</f>
        <v/>
      </c>
      <c r="L1711" s="4">
        <f>IFERROR((D1711-E1711)/E1711,"")</f>
        <v/>
      </c>
      <c r="M1711" s="19">
        <f>IFERROR(F1711*G1711/10000,"")</f>
        <v/>
      </c>
    </row>
    <row r="1712">
      <c r="A1712" t="inlineStr">
        <is>
          <t>2026-10-30</t>
        </is>
      </c>
      <c r="B1712" t="inlineStr">
        <is>
          <t>588220</t>
        </is>
      </c>
      <c r="C1712" t="inlineStr">
        <is>
          <t>科创100ETF鹏华</t>
        </is>
      </c>
      <c r="D1712" t="n">
        <v>464619.79</v>
      </c>
      <c r="E1712" t="n">
        <v>463919.79</v>
      </c>
      <c r="F1712" t="n">
        <v>1.335</v>
      </c>
      <c r="G1712" t="n">
        <v>700</v>
      </c>
      <c r="H1712" t="n">
        <v>61.933291</v>
      </c>
      <c r="I1712" t="n">
        <v>63.622182</v>
      </c>
      <c r="J1712" t="n">
        <v>-1.688891</v>
      </c>
      <c r="K1712" s="4">
        <f>IFERROR(J1712/I1712,"")</f>
        <v/>
      </c>
      <c r="L1712" s="4">
        <f>IFERROR((D1712-E1712)/E1712,"")</f>
        <v/>
      </c>
      <c r="M1712" s="19">
        <f>IFERROR(F1712*G1712/10000,"")</f>
        <v/>
      </c>
    </row>
    <row r="1713">
      <c r="A1713" t="inlineStr">
        <is>
          <t>2026-10-30</t>
        </is>
      </c>
      <c r="B1713" t="inlineStr">
        <is>
          <t>588230</t>
        </is>
      </c>
      <c r="C1713" t="inlineStr">
        <is>
          <t>科创200ETF华泰柏瑞</t>
        </is>
      </c>
      <c r="D1713" t="n">
        <v>99293.89999999999</v>
      </c>
      <c r="E1713" t="n">
        <v>97493.89999999999</v>
      </c>
      <c r="F1713" t="n">
        <v>1.428</v>
      </c>
      <c r="G1713" t="n">
        <v>1800</v>
      </c>
      <c r="H1713" t="n">
        <v>13.922129</v>
      </c>
      <c r="I1713" t="n">
        <v>13.733234</v>
      </c>
      <c r="J1713" t="n">
        <v>0.188895</v>
      </c>
      <c r="K1713" s="4">
        <f>IFERROR(J1713/I1713,"")</f>
        <v/>
      </c>
      <c r="L1713" s="4">
        <f>IFERROR((D1713-E1713)/E1713,"")</f>
        <v/>
      </c>
      <c r="M1713" s="19">
        <f>IFERROR(F1713*G1713/10000,"")</f>
        <v/>
      </c>
    </row>
    <row r="1714">
      <c r="A1714" t="inlineStr">
        <is>
          <t>2026-10-30</t>
        </is>
      </c>
      <c r="B1714" t="inlineStr">
        <is>
          <t>588240</t>
        </is>
      </c>
      <c r="C1714" t="inlineStr">
        <is>
          <t>科创200ETF鹏华</t>
        </is>
      </c>
      <c r="D1714" t="n">
        <v>13763.3</v>
      </c>
      <c r="E1714" t="n">
        <v>13463.3</v>
      </c>
      <c r="F1714" t="n">
        <v>1.325</v>
      </c>
      <c r="G1714" t="n">
        <v>300</v>
      </c>
      <c r="H1714" t="n">
        <v>1.783887</v>
      </c>
      <c r="I1714" t="n">
        <v>1.90897</v>
      </c>
      <c r="J1714" t="n">
        <v>-0.125083</v>
      </c>
      <c r="K1714" s="4">
        <f>IFERROR(J1714/I1714,"")</f>
        <v/>
      </c>
      <c r="L1714" s="4">
        <f>IFERROR((D1714-E1714)/E1714,"")</f>
        <v/>
      </c>
      <c r="M1714" s="19">
        <f>IFERROR(F1714*G1714/10000,"")</f>
        <v/>
      </c>
    </row>
    <row r="1715">
      <c r="A1715" t="inlineStr">
        <is>
          <t>2026-10-30</t>
        </is>
      </c>
      <c r="B1715" t="inlineStr">
        <is>
          <t>588250</t>
        </is>
      </c>
      <c r="C1715" t="inlineStr">
        <is>
          <t>科创医药ETF鹏华</t>
        </is>
      </c>
      <c r="D1715" t="n">
        <v>28367.5</v>
      </c>
      <c r="E1715" t="n">
        <v>28367.5</v>
      </c>
      <c r="F1715" t="n">
        <v>0.919</v>
      </c>
      <c r="G1715" t="n">
        <v>0</v>
      </c>
      <c r="H1715" t="n">
        <v>2.606973</v>
      </c>
      <c r="I1715" t="n">
        <v>2.629667</v>
      </c>
      <c r="J1715" t="n">
        <v>-0.022694</v>
      </c>
      <c r="K1715" s="4">
        <f>IFERROR(J1715/I1715,"")</f>
        <v/>
      </c>
      <c r="L1715" s="4">
        <f>IFERROR((D1715-E1715)/E1715,"")</f>
        <v/>
      </c>
      <c r="M1715" s="19">
        <f>IFERROR(F1715*G1715/10000,"")</f>
        <v/>
      </c>
    </row>
    <row r="1716">
      <c r="A1716" t="inlineStr">
        <is>
          <t>2026-10-30</t>
        </is>
      </c>
      <c r="B1716" t="inlineStr">
        <is>
          <t>588260</t>
        </is>
      </c>
      <c r="C1716" t="inlineStr">
        <is>
          <t>科创信息ETF华安</t>
        </is>
      </c>
      <c r="D1716" t="n">
        <v>4974.6</v>
      </c>
      <c r="E1716" t="n">
        <v>4974.6</v>
      </c>
      <c r="F1716" t="n">
        <v>1.817</v>
      </c>
      <c r="G1716" t="n">
        <v>0</v>
      </c>
      <c r="H1716" t="n">
        <v>0.903885</v>
      </c>
      <c r="I1716" t="n">
        <v>0.954128</v>
      </c>
      <c r="J1716" t="n">
        <v>-0.050243</v>
      </c>
      <c r="K1716" s="4">
        <f>IFERROR(J1716/I1716,"")</f>
        <v/>
      </c>
      <c r="L1716" s="4">
        <f>IFERROR((D1716-E1716)/E1716,"")</f>
        <v/>
      </c>
      <c r="M1716" s="19">
        <f>IFERROR(F1716*G1716/10000,"")</f>
        <v/>
      </c>
    </row>
    <row r="1717">
      <c r="A1717" t="inlineStr">
        <is>
          <t>2026-10-30</t>
        </is>
      </c>
      <c r="B1717" t="inlineStr">
        <is>
          <t>588270</t>
        </is>
      </c>
      <c r="C1717" t="inlineStr">
        <is>
          <t>科创200ETF易方达</t>
        </is>
      </c>
      <c r="D1717" t="n">
        <v>36441</v>
      </c>
      <c r="E1717" t="n">
        <v>31041</v>
      </c>
      <c r="F1717" t="n">
        <v>1.348</v>
      </c>
      <c r="G1717" t="n">
        <v>5400</v>
      </c>
      <c r="H1717" t="n">
        <v>4.184327</v>
      </c>
      <c r="I1717" t="n">
        <v>4.352926</v>
      </c>
      <c r="J1717" t="n">
        <v>-0.168599</v>
      </c>
      <c r="K1717" s="4">
        <f>IFERROR(J1717/I1717,"")</f>
        <v/>
      </c>
      <c r="L1717" s="4">
        <f>IFERROR((D1717-E1717)/E1717,"")</f>
        <v/>
      </c>
      <c r="M1717" s="19">
        <f>IFERROR(F1717*G1717/10000,"")</f>
        <v/>
      </c>
    </row>
    <row r="1718">
      <c r="A1718" t="inlineStr">
        <is>
          <t>2026-10-30</t>
        </is>
      </c>
      <c r="B1718" t="inlineStr">
        <is>
          <t>588280</t>
        </is>
      </c>
      <c r="C1718" t="inlineStr">
        <is>
          <t>科创50ETF华安</t>
        </is>
      </c>
      <c r="D1718" t="n">
        <v>51612.1</v>
      </c>
      <c r="E1718" t="n">
        <v>50812.1</v>
      </c>
      <c r="F1718" t="n">
        <v>0.881</v>
      </c>
      <c r="G1718" t="n">
        <v>800</v>
      </c>
      <c r="H1718" t="n">
        <v>4.476546</v>
      </c>
      <c r="I1718" t="n">
        <v>4.684876</v>
      </c>
      <c r="J1718" t="n">
        <v>-0.20833</v>
      </c>
      <c r="K1718" s="4">
        <f>IFERROR(J1718/I1718,"")</f>
        <v/>
      </c>
      <c r="L1718" s="4">
        <f>IFERROR((D1718-E1718)/E1718,"")</f>
        <v/>
      </c>
      <c r="M1718" s="19">
        <f>IFERROR(F1718*G1718/10000,"")</f>
        <v/>
      </c>
    </row>
    <row r="1719">
      <c r="A1719" t="inlineStr">
        <is>
          <t>2026-10-30</t>
        </is>
      </c>
      <c r="B1719" t="inlineStr">
        <is>
          <t>588290</t>
        </is>
      </c>
      <c r="C1719" t="inlineStr">
        <is>
          <t>科创芯片ETF华安</t>
        </is>
      </c>
      <c r="D1719" t="n">
        <v>444269.1</v>
      </c>
      <c r="E1719" t="n">
        <v>442019.1</v>
      </c>
      <c r="F1719" t="n">
        <v>0.805</v>
      </c>
      <c r="G1719" t="n">
        <v>2250</v>
      </c>
      <c r="H1719" t="n">
        <v>35.582538</v>
      </c>
      <c r="I1719" t="n">
        <v>37.671571</v>
      </c>
      <c r="J1719" t="n">
        <v>-2.089033</v>
      </c>
      <c r="K1719" s="4">
        <f>IFERROR(J1719/I1719,"")</f>
        <v/>
      </c>
      <c r="L1719" s="4">
        <f>IFERROR((D1719-E1719)/E1719,"")</f>
        <v/>
      </c>
      <c r="M1719" s="19">
        <f>IFERROR(F1719*G1719/10000,"")</f>
        <v/>
      </c>
    </row>
    <row r="1720">
      <c r="A1720" t="inlineStr">
        <is>
          <t>2026-10-30</t>
        </is>
      </c>
      <c r="B1720" t="inlineStr">
        <is>
          <t>588300</t>
        </is>
      </c>
      <c r="C1720" t="inlineStr">
        <is>
          <t>科创创业50ETF招商</t>
        </is>
      </c>
      <c r="D1720" t="n">
        <v>178621.05</v>
      </c>
      <c r="E1720" t="n">
        <v>175321.05</v>
      </c>
      <c r="F1720" t="n">
        <v>0.791</v>
      </c>
      <c r="G1720" t="n">
        <v>3300</v>
      </c>
      <c r="H1720" t="n">
        <v>13.867895</v>
      </c>
      <c r="I1720" t="n">
        <v>14.571736</v>
      </c>
      <c r="J1720" t="n">
        <v>-0.703841</v>
      </c>
      <c r="K1720" s="4">
        <f>IFERROR(J1720/I1720,"")</f>
        <v/>
      </c>
      <c r="L1720" s="4">
        <f>IFERROR((D1720-E1720)/E1720,"")</f>
        <v/>
      </c>
      <c r="M1720" s="19">
        <f>IFERROR(F1720*G1720/10000,"")</f>
        <v/>
      </c>
    </row>
    <row r="1721">
      <c r="A1721" t="inlineStr">
        <is>
          <t>2026-10-30</t>
        </is>
      </c>
      <c r="B1721" t="inlineStr">
        <is>
          <t>588310</t>
        </is>
      </c>
      <c r="C1721" t="inlineStr">
        <is>
          <t>科创创业ETF方正富邦</t>
        </is>
      </c>
      <c r="D1721" t="n">
        <v>3783.75</v>
      </c>
      <c r="E1721" t="n">
        <v>3663.75</v>
      </c>
      <c r="F1721" t="n">
        <v>0.82</v>
      </c>
      <c r="G1721" t="n">
        <v>120</v>
      </c>
      <c r="H1721" t="n">
        <v>0.300427</v>
      </c>
      <c r="I1721" t="n">
        <v>0.316548</v>
      </c>
      <c r="J1721" t="n">
        <v>-0.016121</v>
      </c>
      <c r="K1721" s="4">
        <f>IFERROR(J1721/I1721,"")</f>
        <v/>
      </c>
      <c r="L1721" s="4">
        <f>IFERROR((D1721-E1721)/E1721,"")</f>
        <v/>
      </c>
      <c r="M1721" s="19">
        <f>IFERROR(F1721*G1721/10000,"")</f>
        <v/>
      </c>
    </row>
    <row r="1722">
      <c r="A1722" t="inlineStr">
        <is>
          <t>2026-10-30</t>
        </is>
      </c>
      <c r="B1722" t="inlineStr">
        <is>
          <t>588320</t>
        </is>
      </c>
      <c r="C1722" t="inlineStr">
        <is>
          <t>双创50增强ETF广发</t>
        </is>
      </c>
      <c r="D1722" t="n">
        <v>14982.46</v>
      </c>
      <c r="E1722" t="n">
        <v>14682.46</v>
      </c>
      <c r="F1722" t="n">
        <v>1.227</v>
      </c>
      <c r="G1722" t="n">
        <v>300</v>
      </c>
      <c r="H1722" t="n">
        <v>1.801538</v>
      </c>
      <c r="I1722" t="n">
        <v>1.894038</v>
      </c>
      <c r="J1722" t="n">
        <v>-0.0925</v>
      </c>
      <c r="K1722" s="4">
        <f>IFERROR(J1722/I1722,"")</f>
        <v/>
      </c>
      <c r="L1722" s="4">
        <f>IFERROR((D1722-E1722)/E1722,"")</f>
        <v/>
      </c>
      <c r="M1722" s="19">
        <f>IFERROR(F1722*G1722/10000,"")</f>
        <v/>
      </c>
    </row>
    <row r="1723">
      <c r="A1723" t="inlineStr">
        <is>
          <t>2026-10-30</t>
        </is>
      </c>
      <c r="B1723" t="inlineStr">
        <is>
          <t>588330</t>
        </is>
      </c>
      <c r="C1723" t="inlineStr">
        <is>
          <t>双创50ETF华宝</t>
        </is>
      </c>
      <c r="D1723" t="n">
        <v>158573.78</v>
      </c>
      <c r="E1723" t="n">
        <v>154573.78</v>
      </c>
      <c r="F1723" t="n">
        <v>0.773</v>
      </c>
      <c r="G1723" t="n">
        <v>4000</v>
      </c>
      <c r="H1723" t="n">
        <v>11.948553</v>
      </c>
      <c r="I1723" t="n">
        <v>12.595055</v>
      </c>
      <c r="J1723" t="n">
        <v>-0.646502</v>
      </c>
      <c r="K1723" s="4">
        <f>IFERROR(J1723/I1723,"")</f>
        <v/>
      </c>
      <c r="L1723" s="4">
        <f>IFERROR((D1723-E1723)/E1723,"")</f>
        <v/>
      </c>
      <c r="M1723" s="19">
        <f>IFERROR(F1723*G1723/10000,"")</f>
        <v/>
      </c>
    </row>
    <row r="1724">
      <c r="A1724" t="inlineStr">
        <is>
          <t>2026-10-30</t>
        </is>
      </c>
      <c r="B1724" t="inlineStr">
        <is>
          <t>588350</t>
        </is>
      </c>
      <c r="C1724" t="inlineStr">
        <is>
          <t>科创创业50ETF鹏扬</t>
        </is>
      </c>
      <c r="D1724" t="n">
        <v>66654.60000000001</v>
      </c>
      <c r="E1724" t="n">
        <v>66254.60000000001</v>
      </c>
      <c r="F1724" t="n">
        <v>1.192</v>
      </c>
      <c r="G1724" t="n">
        <v>400</v>
      </c>
      <c r="H1724" t="n">
        <v>7.897548</v>
      </c>
      <c r="I1724" t="n">
        <v>8.321578000000001</v>
      </c>
      <c r="J1724" t="n">
        <v>-0.42403</v>
      </c>
      <c r="K1724" s="4">
        <f>IFERROR(J1724/I1724,"")</f>
        <v/>
      </c>
      <c r="L1724" s="4">
        <f>IFERROR((D1724-E1724)/E1724,"")</f>
        <v/>
      </c>
      <c r="M1724" s="19">
        <f>IFERROR(F1724*G1724/10000,"")</f>
        <v/>
      </c>
    </row>
    <row r="1725">
      <c r="A1725" t="inlineStr">
        <is>
          <t>2026-10-30</t>
        </is>
      </c>
      <c r="B1725" t="inlineStr">
        <is>
          <t>588360</t>
        </is>
      </c>
      <c r="C1725" t="inlineStr">
        <is>
          <t>科创创业ETF国泰</t>
        </is>
      </c>
      <c r="D1725" t="n">
        <v>26388.18</v>
      </c>
      <c r="E1725" t="n">
        <v>25828.18</v>
      </c>
      <c r="G1725" t="n">
        <v>560</v>
      </c>
      <c r="H1725" t="n">
        <v>2.146322</v>
      </c>
      <c r="I1725" t="n">
        <v>2.262549</v>
      </c>
      <c r="J1725" t="n">
        <v>-0.116227</v>
      </c>
      <c r="K1725" s="4">
        <f>IFERROR(J1725/I1725,"")</f>
        <v/>
      </c>
      <c r="L1725" s="4">
        <f>IFERROR((D1725-E1725)/E1725,"")</f>
        <v/>
      </c>
      <c r="M1725" s="19">
        <f>IFERROR(F1725*G1725/10000,"")</f>
        <v/>
      </c>
    </row>
    <row r="1726">
      <c r="A1726" t="inlineStr">
        <is>
          <t>2026-10-30</t>
        </is>
      </c>
      <c r="B1726" t="inlineStr">
        <is>
          <t>588370</t>
        </is>
      </c>
      <c r="C1726" t="inlineStr">
        <is>
          <t>科创50增强ETF南方</t>
        </is>
      </c>
      <c r="D1726" t="n">
        <v>9327.200000000001</v>
      </c>
      <c r="E1726" t="n">
        <v>9077.200000000001</v>
      </c>
      <c r="F1726" t="n">
        <v>1.32</v>
      </c>
      <c r="G1726" t="n">
        <v>250</v>
      </c>
      <c r="H1726" t="n">
        <v>1.19819</v>
      </c>
      <c r="I1726" t="n">
        <v>1.220802</v>
      </c>
      <c r="J1726" t="n">
        <v>-0.022612</v>
      </c>
      <c r="K1726" s="4">
        <f>IFERROR(J1726/I1726,"")</f>
        <v/>
      </c>
      <c r="L1726" s="4">
        <f>IFERROR((D1726-E1726)/E1726,"")</f>
        <v/>
      </c>
      <c r="M1726" s="19">
        <f>IFERROR(F1726*G1726/10000,"")</f>
        <v/>
      </c>
    </row>
    <row r="1727">
      <c r="A1727" t="inlineStr">
        <is>
          <t>2026-10-30</t>
        </is>
      </c>
      <c r="B1727" t="inlineStr">
        <is>
          <t>588380</t>
        </is>
      </c>
      <c r="C1727" t="inlineStr">
        <is>
          <t>科创创业ETF富国</t>
        </is>
      </c>
      <c r="D1727" t="n">
        <v>381277</v>
      </c>
      <c r="E1727" t="n">
        <v>376777</v>
      </c>
      <c r="F1727" t="n">
        <v>0.775</v>
      </c>
      <c r="G1727" t="n">
        <v>4500</v>
      </c>
      <c r="H1727" t="n">
        <v>29.200218</v>
      </c>
      <c r="I1727" t="n">
        <v>29.837914</v>
      </c>
      <c r="J1727" t="n">
        <v>-0.637696</v>
      </c>
      <c r="K1727" s="4">
        <f>IFERROR(J1727/I1727,"")</f>
        <v/>
      </c>
      <c r="L1727" s="4">
        <f>IFERROR((D1727-E1727)/E1727,"")</f>
        <v/>
      </c>
      <c r="M1727" s="19">
        <f>IFERROR(F1727*G1727/10000,"")</f>
        <v/>
      </c>
    </row>
    <row r="1728">
      <c r="A1728" t="inlineStr">
        <is>
          <t>2026-10-30</t>
        </is>
      </c>
      <c r="B1728" t="inlineStr">
        <is>
          <t>588390</t>
        </is>
      </c>
      <c r="C1728" t="inlineStr">
        <is>
          <t>科创创业ETF博时</t>
        </is>
      </c>
      <c r="D1728" t="n">
        <v>17093.59</v>
      </c>
      <c r="E1728" t="n">
        <v>17393.59</v>
      </c>
      <c r="F1728" t="n">
        <v>0.835</v>
      </c>
      <c r="G1728" t="n">
        <v>-300</v>
      </c>
      <c r="H1728" t="n">
        <v>1.452364</v>
      </c>
      <c r="I1728" t="n">
        <v>1.537593</v>
      </c>
      <c r="J1728" t="n">
        <v>-0.085229</v>
      </c>
      <c r="K1728" s="4">
        <f>IFERROR(J1728/I1728,"")</f>
        <v/>
      </c>
      <c r="L1728" s="4">
        <f>IFERROR((D1728-E1728)/E1728,"")</f>
        <v/>
      </c>
      <c r="M1728" s="19">
        <f>IFERROR(F1728*G1728/10000,"")</f>
        <v/>
      </c>
    </row>
    <row r="1729">
      <c r="A1729" t="inlineStr">
        <is>
          <t>2026-10-30</t>
        </is>
      </c>
      <c r="B1729" t="inlineStr">
        <is>
          <t>588400</t>
        </is>
      </c>
      <c r="C1729" t="inlineStr">
        <is>
          <t>科创创业ETF嘉实</t>
        </is>
      </c>
      <c r="D1729" t="n">
        <v>220260.06</v>
      </c>
      <c r="E1729" t="n">
        <v>218760.06</v>
      </c>
      <c r="F1729" t="n">
        <v>0.773</v>
      </c>
      <c r="G1729" t="n">
        <v>1500</v>
      </c>
      <c r="H1729" t="n">
        <v>16.910153</v>
      </c>
      <c r="I1729" t="n">
        <v>17.357987</v>
      </c>
      <c r="J1729" t="n">
        <v>-0.447834</v>
      </c>
      <c r="K1729" s="4">
        <f>IFERROR(J1729/I1729,"")</f>
        <v/>
      </c>
      <c r="L1729" s="4">
        <f>IFERROR((D1729-E1729)/E1729,"")</f>
        <v/>
      </c>
      <c r="M1729" s="19">
        <f>IFERROR(F1729*G1729/10000,"")</f>
        <v/>
      </c>
    </row>
    <row r="1730">
      <c r="A1730" t="inlineStr">
        <is>
          <t>2026-10-30</t>
        </is>
      </c>
      <c r="B1730" t="inlineStr">
        <is>
          <t>588410</t>
        </is>
      </c>
      <c r="C1730" t="inlineStr">
        <is>
          <t>科创创业人工智能ETF鹏华</t>
        </is>
      </c>
      <c r="D1730" t="n">
        <v>12325</v>
      </c>
      <c r="E1730" t="n">
        <v>12125</v>
      </c>
      <c r="F1730" t="n">
        <v>0.95</v>
      </c>
      <c r="G1730" t="n">
        <v>200</v>
      </c>
      <c r="H1730" t="n">
        <v>1.151875</v>
      </c>
      <c r="I1730" t="n">
        <v>1.196078</v>
      </c>
      <c r="J1730" t="n">
        <v>-0.044203</v>
      </c>
      <c r="K1730" s="4">
        <f>IFERROR(J1730/I1730,"")</f>
        <v/>
      </c>
      <c r="L1730" s="4">
        <f>IFERROR((D1730-E1730)/E1730,"")</f>
        <v/>
      </c>
      <c r="M1730" s="19">
        <f>IFERROR(F1730*G1730/10000,"")</f>
        <v/>
      </c>
    </row>
    <row r="1731">
      <c r="A1731" t="inlineStr">
        <is>
          <t>2026-10-30</t>
        </is>
      </c>
      <c r="B1731" t="inlineStr">
        <is>
          <t>588420</t>
        </is>
      </c>
      <c r="C1731" t="inlineStr">
        <is>
          <t>科创创业人工智能ETF摩根</t>
        </is>
      </c>
      <c r="D1731" t="n">
        <v>34564.8</v>
      </c>
      <c r="E1731" t="n">
        <v>34364.8</v>
      </c>
      <c r="F1731" t="n">
        <v>0.9370000000000001</v>
      </c>
      <c r="G1731" t="n">
        <v>200</v>
      </c>
      <c r="H1731" t="n">
        <v>3.219982</v>
      </c>
      <c r="I1731" t="n">
        <v>3.37806</v>
      </c>
      <c r="J1731" t="n">
        <v>-0.158078</v>
      </c>
      <c r="K1731" s="4">
        <f>IFERROR(J1731/I1731,"")</f>
        <v/>
      </c>
      <c r="L1731" s="4">
        <f>IFERROR((D1731-E1731)/E1731,"")</f>
        <v/>
      </c>
      <c r="M1731" s="19">
        <f>IFERROR(F1731*G1731/10000,"")</f>
        <v/>
      </c>
    </row>
    <row r="1732">
      <c r="A1732" t="inlineStr">
        <is>
          <t>2026-10-30</t>
        </is>
      </c>
      <c r="B1732" t="inlineStr">
        <is>
          <t>588430</t>
        </is>
      </c>
      <c r="C1732" t="inlineStr">
        <is>
          <t>科创创业人工智能ETF工银</t>
        </is>
      </c>
      <c r="D1732" t="n">
        <v>10645.8</v>
      </c>
      <c r="E1732" t="n">
        <v>10445.8</v>
      </c>
      <c r="F1732" t="n">
        <v>0.97</v>
      </c>
      <c r="G1732" t="n">
        <v>200</v>
      </c>
      <c r="H1732" t="n">
        <v>1.013243</v>
      </c>
      <c r="I1732" t="n">
        <v>1.067561</v>
      </c>
      <c r="J1732" t="n">
        <v>-0.054318</v>
      </c>
      <c r="K1732" s="4">
        <f>IFERROR(J1732/I1732,"")</f>
        <v/>
      </c>
      <c r="L1732" s="4">
        <f>IFERROR((D1732-E1732)/E1732,"")</f>
        <v/>
      </c>
      <c r="M1732" s="19">
        <f>IFERROR(F1732*G1732/10000,"")</f>
        <v/>
      </c>
    </row>
    <row r="1733">
      <c r="A1733" t="inlineStr">
        <is>
          <t>2026-10-30</t>
        </is>
      </c>
      <c r="B1733" t="inlineStr">
        <is>
          <t>588450</t>
        </is>
      </c>
      <c r="C1733" t="inlineStr">
        <is>
          <t>科创50增强ETF招商</t>
        </is>
      </c>
      <c r="D1733" t="n">
        <v>8756.870000000001</v>
      </c>
      <c r="E1733" t="n">
        <v>8756.870000000001</v>
      </c>
      <c r="F1733" t="n">
        <v>1.585</v>
      </c>
      <c r="G1733" t="n">
        <v>0</v>
      </c>
      <c r="H1733" t="n">
        <v>1.387964</v>
      </c>
      <c r="I1733" t="n">
        <v>1.454517</v>
      </c>
      <c r="J1733" t="n">
        <v>-0.066553</v>
      </c>
      <c r="K1733" s="4">
        <f>IFERROR(J1733/I1733,"")</f>
        <v/>
      </c>
      <c r="L1733" s="4">
        <f>IFERROR((D1733-E1733)/E1733,"")</f>
        <v/>
      </c>
      <c r="M1733" s="19">
        <f>IFERROR(F1733*G1733/10000,"")</f>
        <v/>
      </c>
    </row>
    <row r="1734">
      <c r="A1734" t="inlineStr">
        <is>
          <t>2026-10-30</t>
        </is>
      </c>
      <c r="B1734" t="inlineStr">
        <is>
          <t>588460</t>
        </is>
      </c>
      <c r="C1734" t="inlineStr">
        <is>
          <t>科创50增强ETF鹏华</t>
        </is>
      </c>
      <c r="D1734" t="n">
        <v>76051.39999999999</v>
      </c>
      <c r="E1734" t="n">
        <v>76051.39999999999</v>
      </c>
      <c r="F1734" t="n">
        <v>1.543</v>
      </c>
      <c r="G1734" t="n">
        <v>0</v>
      </c>
      <c r="H1734" t="n">
        <v>11.734731</v>
      </c>
      <c r="I1734" t="n">
        <v>12.149145</v>
      </c>
      <c r="J1734" t="n">
        <v>-0.414414</v>
      </c>
      <c r="K1734" s="4">
        <f>IFERROR(J1734/I1734,"")</f>
        <v/>
      </c>
      <c r="L1734" s="4">
        <f>IFERROR((D1734-E1734)/E1734,"")</f>
        <v/>
      </c>
      <c r="M1734" s="19">
        <f>IFERROR(F1734*G1734/10000,"")</f>
        <v/>
      </c>
    </row>
    <row r="1735">
      <c r="A1735" t="inlineStr">
        <is>
          <t>2026-10-30</t>
        </is>
      </c>
      <c r="B1735" t="inlineStr">
        <is>
          <t>588470</t>
        </is>
      </c>
      <c r="C1735" t="inlineStr">
        <is>
          <t>科创创业人工智能ETF华安</t>
        </is>
      </c>
      <c r="D1735" t="n">
        <v>28390.7</v>
      </c>
      <c r="E1735" t="n">
        <v>27790.7</v>
      </c>
      <c r="F1735" t="n">
        <v>0.664</v>
      </c>
      <c r="G1735" t="n">
        <v>600</v>
      </c>
      <c r="H1735" t="n">
        <v>1.845302</v>
      </c>
      <c r="I1735" t="n">
        <v>1.937012</v>
      </c>
      <c r="J1735" t="n">
        <v>-0.09171</v>
      </c>
      <c r="K1735" s="4">
        <f>IFERROR(J1735/I1735,"")</f>
        <v/>
      </c>
      <c r="L1735" s="4">
        <f>IFERROR((D1735-E1735)/E1735,"")</f>
        <v/>
      </c>
      <c r="M1735" s="19">
        <f>IFERROR(F1735*G1735/10000,"")</f>
        <v/>
      </c>
    </row>
    <row r="1736">
      <c r="A1736" t="inlineStr">
        <is>
          <t>2026-10-30</t>
        </is>
      </c>
      <c r="B1736" t="inlineStr">
        <is>
          <t>588480</t>
        </is>
      </c>
      <c r="C1736" t="inlineStr">
        <is>
          <t>科创创业人工智能ETF中金</t>
        </is>
      </c>
      <c r="D1736" t="n">
        <v>25571.7</v>
      </c>
      <c r="E1736" t="n">
        <v>25571.7</v>
      </c>
      <c r="F1736" t="n">
        <v>0.72</v>
      </c>
      <c r="G1736" t="n">
        <v>0</v>
      </c>
      <c r="H1736" t="n">
        <v>1.841162</v>
      </c>
      <c r="I1736" t="n">
        <v>1.917878</v>
      </c>
      <c r="J1736" t="n">
        <v>-0.07671600000000001</v>
      </c>
      <c r="K1736" s="4">
        <f>IFERROR(J1736/I1736,"")</f>
        <v/>
      </c>
      <c r="L1736" s="4">
        <f>IFERROR((D1736-E1736)/E1736,"")</f>
        <v/>
      </c>
      <c r="M1736" s="19">
        <f>IFERROR(F1736*G1736/10000,"")</f>
        <v/>
      </c>
    </row>
    <row r="1737">
      <c r="A1737" t="inlineStr">
        <is>
          <t>2026-10-30</t>
        </is>
      </c>
      <c r="B1737" t="inlineStr">
        <is>
          <t>588500</t>
        </is>
      </c>
      <c r="C1737" t="inlineStr">
        <is>
          <t>科创100增强ETF易方达</t>
        </is>
      </c>
      <c r="D1737" t="n">
        <v>4964.7</v>
      </c>
      <c r="E1737" t="n">
        <v>5064.7</v>
      </c>
      <c r="F1737" t="n">
        <v>1.818</v>
      </c>
      <c r="G1737" t="n">
        <v>-100</v>
      </c>
      <c r="H1737" t="n">
        <v>0.920762</v>
      </c>
      <c r="I1737" t="n">
        <v>0.970397</v>
      </c>
      <c r="J1737" t="n">
        <v>-0.049635</v>
      </c>
      <c r="K1737" s="4">
        <f>IFERROR(J1737/I1737,"")</f>
        <v/>
      </c>
      <c r="L1737" s="4">
        <f>IFERROR((D1737-E1737)/E1737,"")</f>
        <v/>
      </c>
      <c r="M1737" s="19">
        <f>IFERROR(F1737*G1737/10000,"")</f>
        <v/>
      </c>
    </row>
    <row r="1738">
      <c r="A1738" t="inlineStr">
        <is>
          <t>2026-10-30</t>
        </is>
      </c>
      <c r="B1738" t="inlineStr">
        <is>
          <t>588510</t>
        </is>
      </c>
      <c r="C1738" t="inlineStr">
        <is>
          <t>科创创业人工智能ETF华夏</t>
        </is>
      </c>
      <c r="D1738" t="n">
        <v>35317.5</v>
      </c>
      <c r="E1738" t="n">
        <v>34917.5</v>
      </c>
      <c r="F1738" t="n">
        <v>0.681</v>
      </c>
      <c r="G1738" t="n">
        <v>400</v>
      </c>
      <c r="H1738" t="n">
        <v>2.377882</v>
      </c>
      <c r="I1738" t="n">
        <v>2.517925</v>
      </c>
      <c r="J1738" t="n">
        <v>-0.140043</v>
      </c>
      <c r="K1738" s="4">
        <f>IFERROR(J1738/I1738,"")</f>
        <v/>
      </c>
      <c r="L1738" s="4">
        <f>IFERROR((D1738-E1738)/E1738,"")</f>
        <v/>
      </c>
      <c r="M1738" s="19">
        <f>IFERROR(F1738*G1738/10000,"")</f>
        <v/>
      </c>
    </row>
    <row r="1739">
      <c r="A1739" t="inlineStr">
        <is>
          <t>2026-10-30</t>
        </is>
      </c>
      <c r="B1739" t="inlineStr">
        <is>
          <t>588520</t>
        </is>
      </c>
      <c r="C1739" t="inlineStr">
        <is>
          <t>科创增强ETF永赢</t>
        </is>
      </c>
      <c r="D1739" t="n">
        <v>1295.7</v>
      </c>
      <c r="E1739" t="n">
        <v>1295.7</v>
      </c>
      <c r="F1739" t="n">
        <v>1.1</v>
      </c>
      <c r="G1739" t="n">
        <v>0</v>
      </c>
      <c r="H1739" t="n">
        <v>0.142527</v>
      </c>
      <c r="I1739" t="n">
        <v>0.150042</v>
      </c>
      <c r="J1739" t="n">
        <v>-0.007515</v>
      </c>
      <c r="K1739" s="4">
        <f>IFERROR(J1739/I1739,"")</f>
        <v/>
      </c>
      <c r="L1739" s="4">
        <f>IFERROR((D1739-E1739)/E1739,"")</f>
        <v/>
      </c>
      <c r="M1739" s="19">
        <f>IFERROR(F1739*G1739/10000,"")</f>
        <v/>
      </c>
    </row>
    <row r="1740">
      <c r="A1740" t="inlineStr">
        <is>
          <t>2026-10-30</t>
        </is>
      </c>
      <c r="B1740" t="inlineStr">
        <is>
          <t>588550</t>
        </is>
      </c>
      <c r="C1740" t="inlineStr">
        <is>
          <t>科创综指增强ETF易方达</t>
        </is>
      </c>
      <c r="D1740" t="n">
        <v>9129</v>
      </c>
      <c r="E1740" t="n">
        <v>9129</v>
      </c>
      <c r="F1740" t="n">
        <v>0.984</v>
      </c>
      <c r="G1740" t="n">
        <v>0</v>
      </c>
      <c r="H1740" t="n">
        <v>0.898294</v>
      </c>
      <c r="I1740" t="n">
        <v>0.935723</v>
      </c>
      <c r="J1740" t="n">
        <v>-0.037429</v>
      </c>
      <c r="K1740" s="4">
        <f>IFERROR(J1740/I1740,"")</f>
        <v/>
      </c>
      <c r="L1740" s="4">
        <f>IFERROR((D1740-E1740)/E1740,"")</f>
        <v/>
      </c>
      <c r="M1740" s="19">
        <f>IFERROR(F1740*G1740/10000,"")</f>
        <v/>
      </c>
    </row>
    <row r="1741">
      <c r="A1741" t="inlineStr">
        <is>
          <t>2026-10-30</t>
        </is>
      </c>
      <c r="B1741" t="inlineStr">
        <is>
          <t>588660</t>
        </is>
      </c>
      <c r="C1741" t="inlineStr">
        <is>
          <t>科创创业50ETF兴银</t>
        </is>
      </c>
      <c r="D1741" t="n">
        <v>4534.4</v>
      </c>
      <c r="E1741" t="n">
        <v>4534.4</v>
      </c>
      <c r="F1741" t="n">
        <v>1.269</v>
      </c>
      <c r="G1741" t="n">
        <v>0</v>
      </c>
      <c r="H1741" t="n">
        <v>0.575416</v>
      </c>
      <c r="I1741" t="n">
        <v>0.610784</v>
      </c>
      <c r="J1741" t="n">
        <v>-0.035368</v>
      </c>
      <c r="K1741" s="4">
        <f>IFERROR(J1741/I1741,"")</f>
        <v/>
      </c>
      <c r="L1741" s="4">
        <f>IFERROR((D1741-E1741)/E1741,"")</f>
        <v/>
      </c>
      <c r="M1741" s="19">
        <f>IFERROR(F1741*G1741/10000,"")</f>
        <v/>
      </c>
    </row>
    <row r="1742">
      <c r="A1742" t="inlineStr">
        <is>
          <t>2026-10-30</t>
        </is>
      </c>
      <c r="B1742" t="inlineStr">
        <is>
          <t>588670</t>
        </is>
      </c>
      <c r="C1742" t="inlineStr">
        <is>
          <t>科创综指增强ETF嘉实</t>
        </is>
      </c>
      <c r="D1742" t="n">
        <v>4379.2</v>
      </c>
      <c r="E1742" t="n">
        <v>4379.2</v>
      </c>
      <c r="F1742" t="n">
        <v>1.335</v>
      </c>
      <c r="G1742" t="n">
        <v>0</v>
      </c>
      <c r="H1742" t="n">
        <v>0.584623</v>
      </c>
      <c r="I1742" t="n">
        <v>0.614402</v>
      </c>
      <c r="J1742" t="n">
        <v>-0.029779</v>
      </c>
      <c r="K1742" s="4">
        <f>IFERROR(J1742/I1742,"")</f>
        <v/>
      </c>
      <c r="L1742" s="4">
        <f>IFERROR((D1742-E1742)/E1742,"")</f>
        <v/>
      </c>
      <c r="M1742" s="19">
        <f>IFERROR(F1742*G1742/10000,"")</f>
        <v/>
      </c>
    </row>
    <row r="1743">
      <c r="A1743" t="inlineStr">
        <is>
          <t>2026-10-30</t>
        </is>
      </c>
      <c r="B1743" t="inlineStr">
        <is>
          <t>588680</t>
        </is>
      </c>
      <c r="C1743" t="inlineStr">
        <is>
          <t>科创100增强ETF广发</t>
        </is>
      </c>
      <c r="D1743" t="n">
        <v>4436.1</v>
      </c>
      <c r="E1743" t="n">
        <v>3836.1</v>
      </c>
      <c r="F1743" t="n">
        <v>2.026</v>
      </c>
      <c r="G1743" t="n">
        <v>600</v>
      </c>
      <c r="H1743" t="n">
        <v>0.7771940000000001</v>
      </c>
      <c r="I1743" t="n">
        <v>0.80865</v>
      </c>
      <c r="J1743" t="n">
        <v>-0.031456</v>
      </c>
      <c r="K1743" s="4">
        <f>IFERROR(J1743/I1743,"")</f>
        <v/>
      </c>
      <c r="L1743" s="4">
        <f>IFERROR((D1743-E1743)/E1743,"")</f>
        <v/>
      </c>
      <c r="M1743" s="19">
        <f>IFERROR(F1743*G1743/10000,"")</f>
        <v/>
      </c>
    </row>
    <row r="1744">
      <c r="A1744" t="inlineStr">
        <is>
          <t>2026-10-30</t>
        </is>
      </c>
      <c r="B1744" t="inlineStr">
        <is>
          <t>588690</t>
        </is>
      </c>
      <c r="C1744" t="inlineStr">
        <is>
          <t>科创增强ETF银华</t>
        </is>
      </c>
      <c r="D1744" t="n">
        <v>5163.6</v>
      </c>
      <c r="E1744" t="n">
        <v>5163.6</v>
      </c>
      <c r="F1744" t="n">
        <v>0.912</v>
      </c>
      <c r="G1744" t="n">
        <v>0</v>
      </c>
      <c r="H1744" t="n">
        <v>0.47092</v>
      </c>
      <c r="I1744" t="n">
        <v>0.5335490000000001</v>
      </c>
      <c r="J1744" t="n">
        <v>-0.062629</v>
      </c>
      <c r="K1744" s="4">
        <f>IFERROR(J1744/I1744,"")</f>
        <v/>
      </c>
      <c r="L1744" s="4">
        <f>IFERROR((D1744-E1744)/E1744,"")</f>
        <v/>
      </c>
      <c r="M1744" s="19">
        <f>IFERROR(F1744*G1744/10000,"")</f>
        <v/>
      </c>
    </row>
    <row r="1745">
      <c r="A1745" t="inlineStr">
        <is>
          <t>2026-10-30</t>
        </is>
      </c>
      <c r="B1745" t="inlineStr">
        <is>
          <t>588700</t>
        </is>
      </c>
      <c r="C1745" t="inlineStr">
        <is>
          <t>科创医药ETF嘉实</t>
        </is>
      </c>
      <c r="D1745" t="n">
        <v>42533.62</v>
      </c>
      <c r="E1745" t="n">
        <v>42783.62</v>
      </c>
      <c r="F1745" t="n">
        <v>0.884</v>
      </c>
      <c r="G1745" t="n">
        <v>-250</v>
      </c>
      <c r="H1745" t="n">
        <v>3.782072</v>
      </c>
      <c r="I1745" t="n">
        <v>3.802505</v>
      </c>
      <c r="J1745" t="n">
        <v>-0.020433</v>
      </c>
      <c r="K1745" s="4">
        <f>IFERROR(J1745/I1745,"")</f>
        <v/>
      </c>
      <c r="L1745" s="4">
        <f>IFERROR((D1745-E1745)/E1745,"")</f>
        <v/>
      </c>
      <c r="M1745" s="19">
        <f>IFERROR(F1745*G1745/10000,"")</f>
        <v/>
      </c>
    </row>
    <row r="1746">
      <c r="A1746" t="inlineStr">
        <is>
          <t>2026-10-30</t>
        </is>
      </c>
      <c r="B1746" t="inlineStr">
        <is>
          <t>588710</t>
        </is>
      </c>
      <c r="C1746" t="inlineStr">
        <is>
          <t>科创半导体设备ETF华泰柏瑞</t>
        </is>
      </c>
      <c r="D1746" t="n">
        <v>1019488.5</v>
      </c>
      <c r="E1746" t="n">
        <v>1040488.5</v>
      </c>
      <c r="F1746" t="n">
        <v>0.65</v>
      </c>
      <c r="G1746" t="n">
        <v>-21000</v>
      </c>
      <c r="H1746" t="n">
        <v>67.631753</v>
      </c>
      <c r="I1746" t="n">
        <v>74.54776</v>
      </c>
      <c r="J1746" t="n">
        <v>-6.916007</v>
      </c>
      <c r="K1746" s="4">
        <f>IFERROR(J1746/I1746,"")</f>
        <v/>
      </c>
      <c r="L1746" s="4">
        <f>IFERROR((D1746-E1746)/E1746,"")</f>
        <v/>
      </c>
      <c r="M1746" s="19">
        <f>IFERROR(F1746*G1746/10000,"")</f>
        <v/>
      </c>
    </row>
    <row r="1747">
      <c r="A1747" t="inlineStr">
        <is>
          <t>2026-10-30</t>
        </is>
      </c>
      <c r="B1747" t="inlineStr">
        <is>
          <t>588720</t>
        </is>
      </c>
      <c r="C1747" t="inlineStr">
        <is>
          <t>科创50ETF中银</t>
        </is>
      </c>
      <c r="D1747" t="n">
        <v>12474.18</v>
      </c>
      <c r="E1747" t="n">
        <v>12474.18</v>
      </c>
      <c r="F1747" t="n">
        <v>1.248</v>
      </c>
      <c r="G1747" t="n">
        <v>0</v>
      </c>
      <c r="H1747" t="n">
        <v>1.556778</v>
      </c>
      <c r="I1747" t="n">
        <v>1.631623</v>
      </c>
      <c r="J1747" t="n">
        <v>-0.07484499999999999</v>
      </c>
      <c r="K1747" s="4">
        <f>IFERROR(J1747/I1747,"")</f>
        <v/>
      </c>
      <c r="L1747" s="4">
        <f>IFERROR((D1747-E1747)/E1747,"")</f>
        <v/>
      </c>
      <c r="M1747" s="19">
        <f>IFERROR(F1747*G1747/10000,"")</f>
        <v/>
      </c>
    </row>
    <row r="1748">
      <c r="A1748" t="inlineStr">
        <is>
          <t>2026-10-30</t>
        </is>
      </c>
      <c r="B1748" t="inlineStr">
        <is>
          <t>588730</t>
        </is>
      </c>
      <c r="C1748" t="inlineStr">
        <is>
          <t>科创人工智能ETF易方达</t>
        </is>
      </c>
      <c r="D1748" t="n">
        <v>77839.63</v>
      </c>
      <c r="E1748" t="n">
        <v>77239.63</v>
      </c>
      <c r="F1748" t="n">
        <v>1.238</v>
      </c>
      <c r="G1748" t="n">
        <v>600</v>
      </c>
      <c r="H1748" t="n">
        <v>9.562267</v>
      </c>
      <c r="I1748" t="n">
        <v>10.028433</v>
      </c>
      <c r="J1748" t="n">
        <v>-0.466166</v>
      </c>
      <c r="K1748" s="4">
        <f>IFERROR(J1748/I1748,"")</f>
        <v/>
      </c>
      <c r="L1748" s="4">
        <f>IFERROR((D1748-E1748)/E1748,"")</f>
        <v/>
      </c>
      <c r="M1748" s="19">
        <f>IFERROR(F1748*G1748/10000,"")</f>
        <v/>
      </c>
    </row>
    <row r="1749">
      <c r="A1749" t="inlineStr">
        <is>
          <t>2026-10-30</t>
        </is>
      </c>
      <c r="B1749" t="inlineStr">
        <is>
          <t>588750</t>
        </is>
      </c>
      <c r="C1749" t="inlineStr">
        <is>
          <t>科创芯片ETF汇添富</t>
        </is>
      </c>
      <c r="D1749" t="n">
        <v>251522.8</v>
      </c>
      <c r="E1749" t="n">
        <v>250922.8</v>
      </c>
      <c r="F1749" t="n">
        <v>1.645</v>
      </c>
      <c r="G1749" t="n">
        <v>600</v>
      </c>
      <c r="H1749" t="n">
        <v>41.276801</v>
      </c>
      <c r="I1749" t="n">
        <v>44.361879</v>
      </c>
      <c r="J1749" t="n">
        <v>-3.085078</v>
      </c>
      <c r="K1749" s="4">
        <f>IFERROR(J1749/I1749,"")</f>
        <v/>
      </c>
      <c r="L1749" s="4">
        <f>IFERROR((D1749-E1749)/E1749,"")</f>
        <v/>
      </c>
      <c r="M1749" s="19">
        <f>IFERROR(F1749*G1749/10000,"")</f>
        <v/>
      </c>
    </row>
    <row r="1750">
      <c r="A1750" t="inlineStr">
        <is>
          <t>2026-10-30</t>
        </is>
      </c>
      <c r="B1750" t="inlineStr">
        <is>
          <t>588760</t>
        </is>
      </c>
      <c r="C1750" t="inlineStr">
        <is>
          <t>科创人工智能ETF广发</t>
        </is>
      </c>
      <c r="D1750" t="n">
        <v>325053.2</v>
      </c>
      <c r="E1750" t="n">
        <v>327153.2</v>
      </c>
      <c r="F1750" t="n">
        <v>0.628</v>
      </c>
      <c r="G1750" t="n">
        <v>-2100</v>
      </c>
      <c r="H1750" t="n">
        <v>20.545221</v>
      </c>
      <c r="I1750" t="n">
        <v>20.942085</v>
      </c>
      <c r="J1750" t="n">
        <v>-0.396864</v>
      </c>
      <c r="K1750" s="4">
        <f>IFERROR(J1750/I1750,"")</f>
        <v/>
      </c>
      <c r="L1750" s="4">
        <f>IFERROR((D1750-E1750)/E1750,"")</f>
        <v/>
      </c>
      <c r="M1750" s="19">
        <f>IFERROR(F1750*G1750/10000,"")</f>
        <v/>
      </c>
    </row>
    <row r="1751">
      <c r="A1751" t="inlineStr">
        <is>
          <t>2026-10-30</t>
        </is>
      </c>
      <c r="B1751" t="inlineStr">
        <is>
          <t>588770</t>
        </is>
      </c>
      <c r="C1751" t="inlineStr">
        <is>
          <t>科创信息ETF摩根</t>
        </is>
      </c>
      <c r="D1751" t="n">
        <v>30259.71</v>
      </c>
      <c r="E1751" t="n">
        <v>30259.71</v>
      </c>
      <c r="F1751" t="n">
        <v>1.325</v>
      </c>
      <c r="G1751" t="n">
        <v>0</v>
      </c>
      <c r="H1751" t="n">
        <v>4.009411</v>
      </c>
      <c r="I1751" t="n">
        <v>4.275303</v>
      </c>
      <c r="J1751" t="n">
        <v>-0.265892</v>
      </c>
      <c r="K1751" s="4">
        <f>IFERROR(J1751/I1751,"")</f>
        <v/>
      </c>
      <c r="L1751" s="4">
        <f>IFERROR((D1751-E1751)/E1751,"")</f>
        <v/>
      </c>
      <c r="M1751" s="19">
        <f>IFERROR(F1751*G1751/10000,"")</f>
        <v/>
      </c>
    </row>
    <row r="1752">
      <c r="A1752" t="inlineStr">
        <is>
          <t>2026-10-30</t>
        </is>
      </c>
      <c r="B1752" t="inlineStr">
        <is>
          <t>588780</t>
        </is>
      </c>
      <c r="C1752" t="inlineStr">
        <is>
          <t>科创芯片设计ETF国联安</t>
        </is>
      </c>
      <c r="D1752" t="n">
        <v>113590.2</v>
      </c>
      <c r="E1752" t="n">
        <v>109590.2</v>
      </c>
      <c r="F1752" t="n">
        <v>0.75</v>
      </c>
      <c r="G1752" t="n">
        <v>4000</v>
      </c>
      <c r="H1752" t="n">
        <v>8.219265</v>
      </c>
      <c r="I1752" t="n">
        <v>8.714095</v>
      </c>
      <c r="J1752" t="n">
        <v>-0.49483</v>
      </c>
      <c r="K1752" s="4">
        <f>IFERROR(J1752/I1752,"")</f>
        <v/>
      </c>
      <c r="L1752" s="4">
        <f>IFERROR((D1752-E1752)/E1752,"")</f>
        <v/>
      </c>
      <c r="M1752" s="19">
        <f>IFERROR(F1752*G1752/10000,"")</f>
        <v/>
      </c>
    </row>
    <row r="1753">
      <c r="A1753" t="inlineStr">
        <is>
          <t>2026-10-30</t>
        </is>
      </c>
      <c r="B1753" t="inlineStr">
        <is>
          <t>588790</t>
        </is>
      </c>
      <c r="C1753" t="inlineStr">
        <is>
          <t>科创AIETF博时</t>
        </is>
      </c>
      <c r="D1753" t="n">
        <v>377238.4</v>
      </c>
      <c r="E1753" t="n">
        <v>378438.4</v>
      </c>
      <c r="F1753" t="n">
        <v>0.662</v>
      </c>
      <c r="G1753" t="n">
        <v>-1200</v>
      </c>
      <c r="H1753" t="n">
        <v>25.052622</v>
      </c>
      <c r="I1753" t="n">
        <v>25.855777</v>
      </c>
      <c r="J1753" t="n">
        <v>-0.803155</v>
      </c>
      <c r="K1753" s="4">
        <f>IFERROR(J1753/I1753,"")</f>
        <v/>
      </c>
      <c r="L1753" s="4">
        <f>IFERROR((D1753-E1753)/E1753,"")</f>
        <v/>
      </c>
      <c r="M1753" s="19">
        <f>IFERROR(F1753*G1753/10000,"")</f>
        <v/>
      </c>
    </row>
    <row r="1754">
      <c r="A1754" t="inlineStr">
        <is>
          <t>2026-10-30</t>
        </is>
      </c>
      <c r="B1754" t="inlineStr">
        <is>
          <t>588800</t>
        </is>
      </c>
      <c r="C1754" t="inlineStr">
        <is>
          <t>科创100ETF华夏</t>
        </is>
      </c>
      <c r="D1754" t="n">
        <v>206487.7</v>
      </c>
      <c r="E1754" t="n">
        <v>202737.7</v>
      </c>
      <c r="F1754" t="n">
        <v>1.325</v>
      </c>
      <c r="G1754" t="n">
        <v>3750</v>
      </c>
      <c r="H1754" t="n">
        <v>26.862745</v>
      </c>
      <c r="I1754" t="n">
        <v>27.957389</v>
      </c>
      <c r="J1754" t="n">
        <v>-1.094644</v>
      </c>
      <c r="K1754" s="4">
        <f>IFERROR(J1754/I1754,"")</f>
        <v/>
      </c>
      <c r="L1754" s="4">
        <f>IFERROR((D1754-E1754)/E1754,"")</f>
        <v/>
      </c>
      <c r="M1754" s="19">
        <f>IFERROR(F1754*G1754/10000,"")</f>
        <v/>
      </c>
    </row>
    <row r="1755">
      <c r="A1755" t="inlineStr">
        <is>
          <t>2026-10-30</t>
        </is>
      </c>
      <c r="B1755" t="inlineStr">
        <is>
          <t>588810</t>
        </is>
      </c>
      <c r="C1755" t="inlineStr">
        <is>
          <t>科创芯片ETF富国</t>
        </is>
      </c>
      <c r="D1755" t="n">
        <v>173464.8</v>
      </c>
      <c r="E1755" t="n">
        <v>172264.8</v>
      </c>
      <c r="F1755" t="n">
        <v>0.881</v>
      </c>
      <c r="G1755" t="n">
        <v>1200</v>
      </c>
      <c r="H1755" t="n">
        <v>15.176529</v>
      </c>
      <c r="I1755" t="n">
        <v>16.197432</v>
      </c>
      <c r="J1755" t="n">
        <v>-1.020903</v>
      </c>
      <c r="K1755" s="4">
        <f>IFERROR(J1755/I1755,"")</f>
        <v/>
      </c>
      <c r="L1755" s="4">
        <f>IFERROR((D1755-E1755)/E1755,"")</f>
        <v/>
      </c>
      <c r="M1755" s="19">
        <f>IFERROR(F1755*G1755/10000,"")</f>
        <v/>
      </c>
    </row>
    <row r="1756">
      <c r="A1756" t="inlineStr">
        <is>
          <t>2026-10-30</t>
        </is>
      </c>
      <c r="B1756" t="inlineStr">
        <is>
          <t>588820</t>
        </is>
      </c>
      <c r="C1756" t="inlineStr">
        <is>
          <t>科创200ETF华夏</t>
        </is>
      </c>
      <c r="D1756" t="n">
        <v>17540</v>
      </c>
      <c r="E1756" t="n">
        <v>17240</v>
      </c>
      <c r="F1756" t="n">
        <v>1.534</v>
      </c>
      <c r="G1756" t="n">
        <v>300</v>
      </c>
      <c r="H1756" t="n">
        <v>2.644616</v>
      </c>
      <c r="I1756" t="n">
        <v>2.877592</v>
      </c>
      <c r="J1756" t="n">
        <v>-0.232976</v>
      </c>
      <c r="K1756" s="4">
        <f>IFERROR(J1756/I1756,"")</f>
        <v/>
      </c>
      <c r="L1756" s="4">
        <f>IFERROR((D1756-E1756)/E1756,"")</f>
        <v/>
      </c>
      <c r="M1756" s="19">
        <f>IFERROR(F1756*G1756/10000,"")</f>
        <v/>
      </c>
    </row>
    <row r="1757">
      <c r="A1757" t="inlineStr">
        <is>
          <t>2026-10-30</t>
        </is>
      </c>
      <c r="B1757" t="inlineStr">
        <is>
          <t>588830</t>
        </is>
      </c>
      <c r="C1757" t="inlineStr">
        <is>
          <t>科创新能源ETF鹏华</t>
        </is>
      </c>
      <c r="D1757" t="n">
        <v>59684.79</v>
      </c>
      <c r="E1757" t="n">
        <v>59484.79</v>
      </c>
      <c r="F1757" t="n">
        <v>0.948</v>
      </c>
      <c r="G1757" t="n">
        <v>200</v>
      </c>
      <c r="H1757" t="n">
        <v>5.639158</v>
      </c>
      <c r="I1757" t="n">
        <v>5.784401</v>
      </c>
      <c r="J1757" t="n">
        <v>-0.145243</v>
      </c>
      <c r="K1757" s="4">
        <f>IFERROR(J1757/I1757,"")</f>
        <v/>
      </c>
      <c r="L1757" s="4">
        <f>IFERROR((D1757-E1757)/E1757,"")</f>
        <v/>
      </c>
      <c r="M1757" s="19">
        <f>IFERROR(F1757*G1757/10000,"")</f>
        <v/>
      </c>
    </row>
    <row r="1758">
      <c r="A1758" t="inlineStr">
        <is>
          <t>2026-10-30</t>
        </is>
      </c>
      <c r="B1758" t="inlineStr">
        <is>
          <t>588840</t>
        </is>
      </c>
      <c r="C1758" t="inlineStr">
        <is>
          <t>科创50ETF万家</t>
        </is>
      </c>
      <c r="D1758" t="n">
        <v>8223.6</v>
      </c>
      <c r="E1758" t="n">
        <v>8223.6</v>
      </c>
      <c r="F1758" t="n">
        <v>1.137</v>
      </c>
      <c r="G1758" t="n">
        <v>0</v>
      </c>
      <c r="H1758" t="n">
        <v>0.935023</v>
      </c>
      <c r="I1758" t="n">
        <v>0.977786</v>
      </c>
      <c r="J1758" t="n">
        <v>-0.042763</v>
      </c>
      <c r="K1758" s="4">
        <f>IFERROR(J1758/I1758,"")</f>
        <v/>
      </c>
      <c r="L1758" s="4">
        <f>IFERROR((D1758-E1758)/E1758,"")</f>
        <v/>
      </c>
      <c r="M1758" s="19">
        <f>IFERROR(F1758*G1758/10000,"")</f>
        <v/>
      </c>
    </row>
    <row r="1759">
      <c r="A1759" t="inlineStr">
        <is>
          <t>2026-10-30</t>
        </is>
      </c>
      <c r="B1759" t="inlineStr">
        <is>
          <t>588850</t>
        </is>
      </c>
      <c r="C1759" t="inlineStr">
        <is>
          <t>科创机械ETF嘉实</t>
        </is>
      </c>
      <c r="D1759" t="n">
        <v>8477.9</v>
      </c>
      <c r="E1759" t="n">
        <v>8277.9</v>
      </c>
      <c r="F1759" t="n">
        <v>1.408</v>
      </c>
      <c r="G1759" t="n">
        <v>200</v>
      </c>
      <c r="H1759" t="n">
        <v>1.165528</v>
      </c>
      <c r="I1759" t="n">
        <v>1.199568</v>
      </c>
      <c r="J1759" t="n">
        <v>-0.03404</v>
      </c>
      <c r="K1759" s="4">
        <f>IFERROR(J1759/I1759,"")</f>
        <v/>
      </c>
      <c r="L1759" s="4">
        <f>IFERROR((D1759-E1759)/E1759,"")</f>
        <v/>
      </c>
      <c r="M1759" s="19">
        <f>IFERROR(F1759*G1759/10000,"")</f>
        <v/>
      </c>
    </row>
    <row r="1760">
      <c r="A1760" t="inlineStr">
        <is>
          <t>2026-10-30</t>
        </is>
      </c>
      <c r="B1760" t="inlineStr">
        <is>
          <t>588860</t>
        </is>
      </c>
      <c r="C1760" t="inlineStr">
        <is>
          <t>科创医药ETF工银</t>
        </is>
      </c>
      <c r="D1760" t="n">
        <v>34488.94</v>
      </c>
      <c r="E1760" t="n">
        <v>34488.94</v>
      </c>
      <c r="F1760" t="n">
        <v>0.59</v>
      </c>
      <c r="G1760" t="n">
        <v>0</v>
      </c>
      <c r="H1760" t="n">
        <v>2.034848</v>
      </c>
      <c r="I1760" t="n">
        <v>2.065888</v>
      </c>
      <c r="J1760" t="n">
        <v>-0.03104</v>
      </c>
      <c r="K1760" s="4">
        <f>IFERROR(J1760/I1760,"")</f>
        <v/>
      </c>
      <c r="L1760" s="4">
        <f>IFERROR((D1760-E1760)/E1760,"")</f>
        <v/>
      </c>
      <c r="M1760" s="19">
        <f>IFERROR(F1760*G1760/10000,"")</f>
        <v/>
      </c>
    </row>
    <row r="1761">
      <c r="A1761" t="inlineStr">
        <is>
          <t>2026-10-30</t>
        </is>
      </c>
      <c r="B1761" t="inlineStr">
        <is>
          <t>588870</t>
        </is>
      </c>
      <c r="C1761" t="inlineStr">
        <is>
          <t>科创50ETF汇添富</t>
        </is>
      </c>
      <c r="D1761" t="n">
        <v>138855.2</v>
      </c>
      <c r="E1761" t="n">
        <v>136455.2</v>
      </c>
      <c r="F1761" t="n">
        <v>1.244</v>
      </c>
      <c r="G1761" t="n">
        <v>2400</v>
      </c>
      <c r="H1761" t="n">
        <v>16.975027</v>
      </c>
      <c r="I1761" t="n">
        <v>17.883647</v>
      </c>
      <c r="J1761" t="n">
        <v>-0.90862</v>
      </c>
      <c r="K1761" s="4">
        <f>IFERROR(J1761/I1761,"")</f>
        <v/>
      </c>
      <c r="L1761" s="4">
        <f>IFERROR((D1761-E1761)/E1761,"")</f>
        <v/>
      </c>
      <c r="M1761" s="19">
        <f>IFERROR(F1761*G1761/10000,"")</f>
        <v/>
      </c>
    </row>
    <row r="1762">
      <c r="A1762" t="inlineStr">
        <is>
          <t>2026-10-30</t>
        </is>
      </c>
      <c r="B1762" t="inlineStr">
        <is>
          <t>588880</t>
        </is>
      </c>
      <c r="C1762" t="inlineStr">
        <is>
          <t>科创100ETF华泰柏瑞</t>
        </is>
      </c>
      <c r="D1762" t="n">
        <v>12636.8</v>
      </c>
      <c r="E1762" t="n">
        <v>12336.8</v>
      </c>
      <c r="F1762" t="n">
        <v>1.332</v>
      </c>
      <c r="G1762" t="n">
        <v>300</v>
      </c>
      <c r="H1762" t="n">
        <v>1.643262</v>
      </c>
      <c r="I1762" t="n">
        <v>1.725918</v>
      </c>
      <c r="J1762" t="n">
        <v>-0.08265599999999999</v>
      </c>
      <c r="K1762" s="4">
        <f>IFERROR(J1762/I1762,"")</f>
        <v/>
      </c>
      <c r="L1762" s="4">
        <f>IFERROR((D1762-E1762)/E1762,"")</f>
        <v/>
      </c>
      <c r="M1762" s="19">
        <f>IFERROR(F1762*G1762/10000,"")</f>
        <v/>
      </c>
    </row>
    <row r="1763">
      <c r="A1763" t="inlineStr">
        <is>
          <t>2026-10-30</t>
        </is>
      </c>
      <c r="B1763" t="inlineStr">
        <is>
          <t>588890</t>
        </is>
      </c>
      <c r="C1763" t="inlineStr">
        <is>
          <t>科创芯片ETF南方</t>
        </is>
      </c>
      <c r="D1763" t="n">
        <v>258243</v>
      </c>
      <c r="E1763" t="n">
        <v>258843</v>
      </c>
      <c r="F1763" t="n">
        <v>0.928</v>
      </c>
      <c r="G1763" t="n">
        <v>-600</v>
      </c>
      <c r="H1763" t="n">
        <v>24.02063</v>
      </c>
      <c r="I1763" t="n">
        <v>25.873514</v>
      </c>
      <c r="J1763" t="n">
        <v>-1.852884</v>
      </c>
      <c r="K1763" s="4">
        <f>IFERROR(J1763/I1763,"")</f>
        <v/>
      </c>
      <c r="L1763" s="4">
        <f>IFERROR((D1763-E1763)/E1763,"")</f>
        <v/>
      </c>
      <c r="M1763" s="19">
        <f>IFERROR(F1763*G1763/10000,"")</f>
        <v/>
      </c>
    </row>
    <row r="1764">
      <c r="A1764" t="inlineStr">
        <is>
          <t>2026-10-30</t>
        </is>
      </c>
      <c r="B1764" t="inlineStr">
        <is>
          <t>588900</t>
        </is>
      </c>
      <c r="C1764" t="inlineStr">
        <is>
          <t>科创100ETF南方</t>
        </is>
      </c>
      <c r="D1764" t="n">
        <v>38578.3</v>
      </c>
      <c r="E1764" t="n">
        <v>38578.3</v>
      </c>
      <c r="F1764" t="n">
        <v>1.38</v>
      </c>
      <c r="G1764" t="n">
        <v>0</v>
      </c>
      <c r="H1764" t="n">
        <v>5.323805</v>
      </c>
      <c r="I1764" t="n">
        <v>5.62569</v>
      </c>
      <c r="J1764" t="n">
        <v>-0.301885</v>
      </c>
      <c r="K1764" s="4">
        <f>IFERROR(J1764/I1764,"")</f>
        <v/>
      </c>
      <c r="L1764" s="4">
        <f>IFERROR((D1764-E1764)/E1764,"")</f>
        <v/>
      </c>
      <c r="M1764" s="19">
        <f>IFERROR(F1764*G1764/10000,"")</f>
        <v/>
      </c>
    </row>
    <row r="1765">
      <c r="A1765" t="inlineStr">
        <is>
          <t>2026-10-30</t>
        </is>
      </c>
      <c r="B1765" t="inlineStr">
        <is>
          <t>588910</t>
        </is>
      </c>
      <c r="C1765" t="inlineStr">
        <is>
          <t>科创价值ETF建信</t>
        </is>
      </c>
      <c r="D1765" t="n">
        <v>10304.91</v>
      </c>
      <c r="E1765" t="n">
        <v>10304.91</v>
      </c>
      <c r="F1765" t="n">
        <v>1.243</v>
      </c>
      <c r="G1765" t="n">
        <v>0</v>
      </c>
      <c r="H1765" t="n">
        <v>1.280901</v>
      </c>
      <c r="I1765" t="n">
        <v>1.320059</v>
      </c>
      <c r="J1765" t="n">
        <v>-0.039158</v>
      </c>
      <c r="K1765" s="4">
        <f>IFERROR(J1765/I1765,"")</f>
        <v/>
      </c>
      <c r="L1765" s="4">
        <f>IFERROR((D1765-E1765)/E1765,"")</f>
        <v/>
      </c>
      <c r="M1765" s="19">
        <f>IFERROR(F1765*G1765/10000,"")</f>
        <v/>
      </c>
    </row>
    <row r="1766">
      <c r="A1766" t="inlineStr">
        <is>
          <t>2026-10-30</t>
        </is>
      </c>
      <c r="B1766" t="inlineStr">
        <is>
          <t>588920</t>
        </is>
      </c>
      <c r="C1766" t="inlineStr">
        <is>
          <t>科创芯片ETF鹏华</t>
        </is>
      </c>
      <c r="D1766" t="n">
        <v>33687.6</v>
      </c>
      <c r="E1766" t="n">
        <v>33187.6</v>
      </c>
      <c r="F1766" t="n">
        <v>0.792</v>
      </c>
      <c r="G1766" t="n">
        <v>500</v>
      </c>
      <c r="H1766" t="n">
        <v>2.628458</v>
      </c>
      <c r="I1766" t="n">
        <v>2.787758</v>
      </c>
      <c r="J1766" t="n">
        <v>-0.1593</v>
      </c>
      <c r="K1766" s="4">
        <f>IFERROR(J1766/I1766,"")</f>
        <v/>
      </c>
      <c r="L1766" s="4">
        <f>IFERROR((D1766-E1766)/E1766,"")</f>
        <v/>
      </c>
      <c r="M1766" s="19">
        <f>IFERROR(F1766*G1766/10000,"")</f>
        <v/>
      </c>
    </row>
    <row r="1767">
      <c r="A1767" t="inlineStr">
        <is>
          <t>2026-10-30</t>
        </is>
      </c>
      <c r="B1767" t="inlineStr">
        <is>
          <t>588930</t>
        </is>
      </c>
      <c r="C1767" t="inlineStr">
        <is>
          <t>科创人工智能ETF银华</t>
        </is>
      </c>
      <c r="D1767" t="n">
        <v>54132.9</v>
      </c>
      <c r="E1767" t="n">
        <v>54932.9</v>
      </c>
      <c r="F1767" t="n">
        <v>1.298</v>
      </c>
      <c r="G1767" t="n">
        <v>-800</v>
      </c>
      <c r="H1767" t="n">
        <v>7.13029</v>
      </c>
      <c r="I1767" t="n">
        <v>7.470874</v>
      </c>
      <c r="J1767" t="n">
        <v>-0.340584</v>
      </c>
      <c r="K1767" s="4">
        <f>IFERROR(J1767/I1767,"")</f>
        <v/>
      </c>
      <c r="L1767" s="4">
        <f>IFERROR((D1767-E1767)/E1767,"")</f>
        <v/>
      </c>
      <c r="M1767" s="19">
        <f>IFERROR(F1767*G1767/10000,"")</f>
        <v/>
      </c>
    </row>
    <row r="1768">
      <c r="A1768" t="inlineStr">
        <is>
          <t>2026-10-30</t>
        </is>
      </c>
      <c r="B1768" t="inlineStr">
        <is>
          <t>588940</t>
        </is>
      </c>
      <c r="C1768" t="inlineStr">
        <is>
          <t>科创50ETF富国</t>
        </is>
      </c>
      <c r="D1768" t="n">
        <v>374084</v>
      </c>
      <c r="E1768" t="n">
        <v>362084</v>
      </c>
      <c r="F1768" t="n">
        <v>0.633</v>
      </c>
      <c r="G1768" t="n">
        <v>12000</v>
      </c>
      <c r="H1768" t="n">
        <v>22.919917</v>
      </c>
      <c r="I1768" t="n">
        <v>24.520458</v>
      </c>
      <c r="J1768" t="n">
        <v>-1.600541</v>
      </c>
      <c r="K1768" s="4">
        <f>IFERROR(J1768/I1768,"")</f>
        <v/>
      </c>
      <c r="L1768" s="4">
        <f>IFERROR((D1768-E1768)/E1768,"")</f>
        <v/>
      </c>
      <c r="M1768" s="19">
        <f>IFERROR(F1768*G1768/10000,"")</f>
        <v/>
      </c>
    </row>
    <row r="1769">
      <c r="A1769" t="inlineStr">
        <is>
          <t>2026-10-30</t>
        </is>
      </c>
      <c r="B1769" t="inlineStr">
        <is>
          <t>588950</t>
        </is>
      </c>
      <c r="C1769" t="inlineStr">
        <is>
          <t>科创50ETF景顺</t>
        </is>
      </c>
      <c r="D1769" t="n">
        <v>91172.97</v>
      </c>
      <c r="E1769" t="n">
        <v>89072.97</v>
      </c>
      <c r="F1769" t="n">
        <v>1.282</v>
      </c>
      <c r="G1769" t="n">
        <v>2100</v>
      </c>
      <c r="H1769" t="n">
        <v>11.419154</v>
      </c>
      <c r="I1769" t="n">
        <v>12.020664</v>
      </c>
      <c r="J1769" t="n">
        <v>-0.60151</v>
      </c>
      <c r="K1769" s="4">
        <f>IFERROR(J1769/I1769,"")</f>
        <v/>
      </c>
      <c r="L1769" s="4">
        <f>IFERROR((D1769-E1769)/E1769,"")</f>
        <v/>
      </c>
      <c r="M1769" s="19">
        <f>IFERROR(F1769*G1769/10000,"")</f>
        <v/>
      </c>
    </row>
    <row r="1770">
      <c r="A1770" t="inlineStr">
        <is>
          <t>2026-10-30</t>
        </is>
      </c>
      <c r="B1770" t="inlineStr">
        <is>
          <t>588960</t>
        </is>
      </c>
      <c r="C1770" t="inlineStr">
        <is>
          <t>科创新能源ETF富国</t>
        </is>
      </c>
      <c r="D1770" t="n">
        <v>14557.98</v>
      </c>
      <c r="E1770" t="n">
        <v>14557.98</v>
      </c>
      <c r="F1770" t="n">
        <v>0.877</v>
      </c>
      <c r="G1770" t="n">
        <v>0</v>
      </c>
      <c r="H1770" t="n">
        <v>1.276735</v>
      </c>
      <c r="I1770" t="n">
        <v>1.320409</v>
      </c>
      <c r="J1770" t="n">
        <v>-0.043674</v>
      </c>
      <c r="K1770" s="4">
        <f>IFERROR(J1770/I1770,"")</f>
        <v/>
      </c>
      <c r="L1770" s="4">
        <f>IFERROR((D1770-E1770)/E1770,"")</f>
        <v/>
      </c>
      <c r="M1770" s="19">
        <f>IFERROR(F1770*G1770/10000,"")</f>
        <v/>
      </c>
    </row>
    <row r="1771">
      <c r="A1771" t="inlineStr">
        <is>
          <t>2026-10-30</t>
        </is>
      </c>
      <c r="B1771" t="inlineStr">
        <is>
          <t>588980</t>
        </is>
      </c>
      <c r="C1771" t="inlineStr">
        <is>
          <t>科创100ETF广发</t>
        </is>
      </c>
      <c r="D1771" t="n">
        <v>1692</v>
      </c>
      <c r="E1771" t="n">
        <v>1692</v>
      </c>
      <c r="F1771" t="n">
        <v>1.228</v>
      </c>
      <c r="G1771" t="n">
        <v>0</v>
      </c>
      <c r="H1771" t="n">
        <v>0.207778</v>
      </c>
      <c r="I1771" t="n">
        <v>0.21776</v>
      </c>
      <c r="J1771" t="n">
        <v>-0.009982</v>
      </c>
      <c r="K1771" s="4">
        <f>IFERROR(J1771/I1771,"")</f>
        <v/>
      </c>
      <c r="L1771" s="4">
        <f>IFERROR((D1771-E1771)/E1771,"")</f>
        <v/>
      </c>
      <c r="M1771" s="19">
        <f>IFERROR(F1771*G1771/10000,"")</f>
        <v/>
      </c>
    </row>
    <row r="1772">
      <c r="A1772" t="inlineStr">
        <is>
          <t>2026-10-30</t>
        </is>
      </c>
      <c r="B1772" t="inlineStr">
        <is>
          <t>588990</t>
        </is>
      </c>
      <c r="C1772" t="inlineStr">
        <is>
          <t>科创芯片ETF博时</t>
        </is>
      </c>
      <c r="D1772" t="n">
        <v>19974.54</v>
      </c>
      <c r="E1772" t="n">
        <v>19974.54</v>
      </c>
      <c r="F1772" t="n">
        <v>2.572</v>
      </c>
      <c r="G1772" t="n">
        <v>0</v>
      </c>
      <c r="H1772" t="n">
        <v>5.137452</v>
      </c>
      <c r="I1772" t="n">
        <v>5.566325</v>
      </c>
      <c r="J1772" t="n">
        <v>-0.428873</v>
      </c>
      <c r="K1772" s="4">
        <f>IFERROR(J1772/I1772,"")</f>
        <v/>
      </c>
      <c r="L1772" s="4">
        <f>IFERROR((D1772-E1772)/E1772,"")</f>
        <v/>
      </c>
      <c r="M1772" s="19">
        <f>IFERROR(F1772*G1772/10000,"")</f>
        <v/>
      </c>
    </row>
    <row r="1773">
      <c r="A1773" t="inlineStr">
        <is>
          <t>2026-10-30</t>
        </is>
      </c>
      <c r="B1773" t="inlineStr">
        <is>
          <t>589000</t>
        </is>
      </c>
      <c r="C1773" t="inlineStr">
        <is>
          <t>科创综指ETF华夏</t>
        </is>
      </c>
      <c r="D1773" t="n">
        <v>129150.78</v>
      </c>
      <c r="E1773" t="n">
        <v>123950.78</v>
      </c>
      <c r="F1773" t="n">
        <v>1.202</v>
      </c>
      <c r="G1773" t="n">
        <v>5200</v>
      </c>
      <c r="H1773" t="n">
        <v>14.898884</v>
      </c>
      <c r="I1773" t="n">
        <v>14.144964</v>
      </c>
      <c r="J1773" t="n">
        <v>0.75392</v>
      </c>
      <c r="K1773" s="4">
        <f>IFERROR(J1773/I1773,"")</f>
        <v/>
      </c>
      <c r="L1773" s="4">
        <f>IFERROR((D1773-E1773)/E1773,"")</f>
        <v/>
      </c>
      <c r="M1773" s="19">
        <f>IFERROR(F1773*G1773/10000,"")</f>
        <v/>
      </c>
    </row>
    <row r="1774">
      <c r="A1774" t="inlineStr">
        <is>
          <t>2026-10-30</t>
        </is>
      </c>
      <c r="B1774" t="inlineStr">
        <is>
          <t>589010</t>
        </is>
      </c>
      <c r="C1774" t="inlineStr">
        <is>
          <t>科创人工智能ETF华夏</t>
        </is>
      </c>
      <c r="D1774" t="n">
        <v>96879.3</v>
      </c>
      <c r="E1774" t="n">
        <v>96879.3</v>
      </c>
      <c r="F1774" t="n">
        <v>1.173</v>
      </c>
      <c r="G1774" t="n">
        <v>0</v>
      </c>
      <c r="H1774" t="n">
        <v>11.363942</v>
      </c>
      <c r="I1774" t="n">
        <v>11.904464</v>
      </c>
      <c r="J1774" t="n">
        <v>-0.5405219999999999</v>
      </c>
      <c r="K1774" s="4">
        <f>IFERROR(J1774/I1774,"")</f>
        <v/>
      </c>
      <c r="L1774" s="4">
        <f>IFERROR((D1774-E1774)/E1774,"")</f>
        <v/>
      </c>
      <c r="M1774" s="19">
        <f>IFERROR(F1774*G1774/10000,"")</f>
        <v/>
      </c>
    </row>
    <row r="1775">
      <c r="A1775" t="inlineStr">
        <is>
          <t>2026-10-30</t>
        </is>
      </c>
      <c r="B1775" t="inlineStr">
        <is>
          <t>589020</t>
        </is>
      </c>
      <c r="C1775" t="inlineStr">
        <is>
          <t>科创半导体设备ETF鹏华</t>
        </is>
      </c>
      <c r="D1775" t="n">
        <v>439643.8</v>
      </c>
      <c r="E1775" t="n">
        <v>442043.8</v>
      </c>
      <c r="F1775" t="n">
        <v>0.765</v>
      </c>
      <c r="G1775" t="n">
        <v>-2400</v>
      </c>
      <c r="H1775" t="n">
        <v>33.816351</v>
      </c>
      <c r="I1775" t="n">
        <v>37.264392</v>
      </c>
      <c r="J1775" t="n">
        <v>-3.448041</v>
      </c>
      <c r="K1775" s="4">
        <f>IFERROR(J1775/I1775,"")</f>
        <v/>
      </c>
      <c r="L1775" s="4">
        <f>IFERROR((D1775-E1775)/E1775,"")</f>
        <v/>
      </c>
      <c r="M1775" s="19">
        <f>IFERROR(F1775*G1775/10000,"")</f>
        <v/>
      </c>
    </row>
    <row r="1776">
      <c r="A1776" t="inlineStr">
        <is>
          <t>2026-10-30</t>
        </is>
      </c>
      <c r="B1776" t="inlineStr">
        <is>
          <t>589030</t>
        </is>
      </c>
      <c r="C1776" t="inlineStr">
        <is>
          <t>科创芯片设计ETF易方达</t>
        </is>
      </c>
      <c r="D1776" t="n">
        <v>100307.7</v>
      </c>
      <c r="E1776" t="n">
        <v>98507.7</v>
      </c>
      <c r="F1776" t="n">
        <v>0.871</v>
      </c>
      <c r="G1776" t="n">
        <v>1800</v>
      </c>
      <c r="H1776" t="n">
        <v>8.580021</v>
      </c>
      <c r="I1776" t="n">
        <v>9.094033</v>
      </c>
      <c r="J1776" t="n">
        <v>-0.514012</v>
      </c>
      <c r="K1776" s="4">
        <f>IFERROR(J1776/I1776,"")</f>
        <v/>
      </c>
      <c r="L1776" s="4">
        <f>IFERROR((D1776-E1776)/E1776,"")</f>
        <v/>
      </c>
      <c r="M1776" s="19">
        <f>IFERROR(F1776*G1776/10000,"")</f>
        <v/>
      </c>
    </row>
    <row r="1777">
      <c r="A1777" t="inlineStr">
        <is>
          <t>2026-10-30</t>
        </is>
      </c>
      <c r="B1777" t="inlineStr">
        <is>
          <t>589050</t>
        </is>
      </c>
      <c r="C1777" t="inlineStr">
        <is>
          <t>科创综指ETF兴业</t>
        </is>
      </c>
      <c r="D1777" t="n">
        <v>5096.8</v>
      </c>
      <c r="E1777" t="n">
        <v>5096.8</v>
      </c>
      <c r="F1777" t="n">
        <v>1.039</v>
      </c>
      <c r="G1777" t="n">
        <v>0</v>
      </c>
      <c r="H1777" t="n">
        <v>0.529558</v>
      </c>
      <c r="I1777" t="n">
        <v>0.595303</v>
      </c>
      <c r="J1777" t="n">
        <v>-0.065745</v>
      </c>
      <c r="K1777" s="4">
        <f>IFERROR(J1777/I1777,"")</f>
        <v/>
      </c>
      <c r="L1777" s="4">
        <f>IFERROR((D1777-E1777)/E1777,"")</f>
        <v/>
      </c>
      <c r="M1777" s="19">
        <f>IFERROR(F1777*G1777/10000,"")</f>
        <v/>
      </c>
    </row>
    <row r="1778">
      <c r="A1778" t="inlineStr">
        <is>
          <t>2026-10-30</t>
        </is>
      </c>
      <c r="B1778" t="inlineStr">
        <is>
          <t>589060</t>
        </is>
      </c>
      <c r="C1778" t="inlineStr">
        <is>
          <t>科创综指ETF东财</t>
        </is>
      </c>
      <c r="D1778" t="n">
        <v>8713.790000000001</v>
      </c>
      <c r="E1778" t="n">
        <v>8713.790000000001</v>
      </c>
      <c r="F1778" t="n">
        <v>1.262</v>
      </c>
      <c r="G1778" t="n">
        <v>0</v>
      </c>
      <c r="H1778" t="n">
        <v>1.09968</v>
      </c>
      <c r="I1778" t="n">
        <v>1.145863</v>
      </c>
      <c r="J1778" t="n">
        <v>-0.046183</v>
      </c>
      <c r="K1778" s="4">
        <f>IFERROR(J1778/I1778,"")</f>
        <v/>
      </c>
      <c r="L1778" s="4">
        <f>IFERROR((D1778-E1778)/E1778,"")</f>
        <v/>
      </c>
      <c r="M1778" s="19">
        <f>IFERROR(F1778*G1778/10000,"")</f>
        <v/>
      </c>
    </row>
    <row r="1779">
      <c r="A1779" t="inlineStr">
        <is>
          <t>2026-10-30</t>
        </is>
      </c>
      <c r="B1779" t="inlineStr">
        <is>
          <t>589070</t>
        </is>
      </c>
      <c r="C1779" t="inlineStr">
        <is>
          <t>科创芯片设计ETF天弘</t>
        </is>
      </c>
      <c r="D1779" t="n">
        <v>219329.3</v>
      </c>
      <c r="E1779" t="n">
        <v>214929.3</v>
      </c>
      <c r="F1779" t="n">
        <v>0.8120000000000001</v>
      </c>
      <c r="G1779" t="n">
        <v>4400</v>
      </c>
      <c r="H1779" t="n">
        <v>17.452259</v>
      </c>
      <c r="I1779" t="n">
        <v>18.20087</v>
      </c>
      <c r="J1779" t="n">
        <v>-0.748611</v>
      </c>
      <c r="K1779" s="4">
        <f>IFERROR(J1779/I1779,"")</f>
        <v/>
      </c>
      <c r="L1779" s="4">
        <f>IFERROR((D1779-E1779)/E1779,"")</f>
        <v/>
      </c>
      <c r="M1779" s="19">
        <f>IFERROR(F1779*G1779/10000,"")</f>
        <v/>
      </c>
    </row>
    <row r="1780">
      <c r="A1780" t="inlineStr">
        <is>
          <t>2026-10-30</t>
        </is>
      </c>
      <c r="B1780" t="inlineStr">
        <is>
          <t>589080</t>
        </is>
      </c>
      <c r="C1780" t="inlineStr">
        <is>
          <t>科创综指ETF汇添富</t>
        </is>
      </c>
      <c r="D1780" t="n">
        <v>15306.1</v>
      </c>
      <c r="E1780" t="n">
        <v>15306.1</v>
      </c>
      <c r="F1780" t="n">
        <v>1.2</v>
      </c>
      <c r="G1780" t="n">
        <v>0</v>
      </c>
      <c r="H1780" t="n">
        <v>1.836732</v>
      </c>
      <c r="I1780" t="n">
        <v>1.920916</v>
      </c>
      <c r="J1780" t="n">
        <v>-0.08418399999999999</v>
      </c>
      <c r="K1780" s="4">
        <f>IFERROR(J1780/I1780,"")</f>
        <v/>
      </c>
      <c r="L1780" s="4">
        <f>IFERROR((D1780-E1780)/E1780,"")</f>
        <v/>
      </c>
      <c r="M1780" s="19">
        <f>IFERROR(F1780*G1780/10000,"")</f>
        <v/>
      </c>
    </row>
    <row r="1781">
      <c r="A1781" t="inlineStr">
        <is>
          <t>2026-10-30</t>
        </is>
      </c>
      <c r="B1781" t="inlineStr">
        <is>
          <t>589090</t>
        </is>
      </c>
      <c r="C1781" t="inlineStr">
        <is>
          <t>科创AIETF鹏华</t>
        </is>
      </c>
      <c r="D1781" t="n">
        <v>21943.1</v>
      </c>
      <c r="E1781" t="n">
        <v>21943.1</v>
      </c>
      <c r="F1781" t="n">
        <v>0.889</v>
      </c>
      <c r="G1781" t="n">
        <v>0</v>
      </c>
      <c r="H1781" t="n">
        <v>1.950742</v>
      </c>
      <c r="I1781" t="n">
        <v>2.034125</v>
      </c>
      <c r="J1781" t="n">
        <v>-0.083383</v>
      </c>
      <c r="K1781" s="4">
        <f>IFERROR(J1781/I1781,"")</f>
        <v/>
      </c>
      <c r="L1781" s="4">
        <f>IFERROR((D1781-E1781)/E1781,"")</f>
        <v/>
      </c>
      <c r="M1781" s="19">
        <f>IFERROR(F1781*G1781/10000,"")</f>
        <v/>
      </c>
    </row>
    <row r="1782">
      <c r="A1782" t="inlineStr">
        <is>
          <t>2026-10-30</t>
        </is>
      </c>
      <c r="B1782" t="inlineStr">
        <is>
          <t>589100</t>
        </is>
      </c>
      <c r="C1782" t="inlineStr">
        <is>
          <t>科创芯片ETF国泰</t>
        </is>
      </c>
      <c r="D1782" t="n">
        <v>92344.25</v>
      </c>
      <c r="E1782" t="n">
        <v>91744.25</v>
      </c>
      <c r="F1782" t="n">
        <v>0.637</v>
      </c>
      <c r="G1782" t="n">
        <v>600</v>
      </c>
      <c r="H1782" t="n">
        <v>5.844109</v>
      </c>
      <c r="I1782" t="n">
        <v>6.323591</v>
      </c>
      <c r="J1782" t="n">
        <v>-0.479482</v>
      </c>
      <c r="K1782" s="4">
        <f>IFERROR(J1782/I1782,"")</f>
        <v/>
      </c>
      <c r="L1782" s="4">
        <f>IFERROR((D1782-E1782)/E1782,"")</f>
        <v/>
      </c>
      <c r="M1782" s="19">
        <f>IFERROR(F1782*G1782/10000,"")</f>
        <v/>
      </c>
    </row>
    <row r="1783">
      <c r="A1783" t="inlineStr">
        <is>
          <t>2026-10-30</t>
        </is>
      </c>
      <c r="B1783" t="inlineStr">
        <is>
          <t>589110</t>
        </is>
      </c>
      <c r="C1783" t="inlineStr">
        <is>
          <t>科创人工智能ETF国泰</t>
        </is>
      </c>
      <c r="D1783" t="n">
        <v>56741.3</v>
      </c>
      <c r="E1783" t="n">
        <v>56741.3</v>
      </c>
      <c r="F1783" t="n">
        <v>0.769</v>
      </c>
      <c r="G1783" t="n">
        <v>0</v>
      </c>
      <c r="H1783" t="n">
        <v>4.363406</v>
      </c>
      <c r="I1783" t="n">
        <v>4.550652</v>
      </c>
      <c r="J1783" t="n">
        <v>-0.187246</v>
      </c>
      <c r="K1783" s="4">
        <f>IFERROR(J1783/I1783,"")</f>
        <v/>
      </c>
      <c r="L1783" s="4">
        <f>IFERROR((D1783-E1783)/E1783,"")</f>
        <v/>
      </c>
      <c r="M1783" s="19">
        <f>IFERROR(F1783*G1783/10000,"")</f>
        <v/>
      </c>
    </row>
    <row r="1784">
      <c r="A1784" t="inlineStr">
        <is>
          <t>2026-10-30</t>
        </is>
      </c>
      <c r="B1784" t="inlineStr">
        <is>
          <t>589120</t>
        </is>
      </c>
      <c r="C1784" t="inlineStr">
        <is>
          <t>科创创新药ETF汇添富</t>
        </is>
      </c>
      <c r="D1784" t="n">
        <v>150362</v>
      </c>
      <c r="E1784" t="n">
        <v>152562</v>
      </c>
      <c r="F1784" t="n">
        <v>0.697</v>
      </c>
      <c r="G1784" t="n">
        <v>-2200</v>
      </c>
      <c r="H1784" t="n">
        <v>10.633571</v>
      </c>
      <c r="I1784" t="n">
        <v>10.625216</v>
      </c>
      <c r="J1784" t="n">
        <v>0.008355</v>
      </c>
      <c r="K1784" s="4">
        <f>IFERROR(J1784/I1784,"")</f>
        <v/>
      </c>
      <c r="L1784" s="4">
        <f>IFERROR((D1784-E1784)/E1784,"")</f>
        <v/>
      </c>
      <c r="M1784" s="19">
        <f>IFERROR(F1784*G1784/10000,"")</f>
        <v/>
      </c>
    </row>
    <row r="1785">
      <c r="A1785" t="inlineStr">
        <is>
          <t>2026-10-30</t>
        </is>
      </c>
      <c r="B1785" t="inlineStr">
        <is>
          <t>589130</t>
        </is>
      </c>
      <c r="C1785" t="inlineStr">
        <is>
          <t>科创芯片ETF易方达</t>
        </is>
      </c>
      <c r="D1785" t="n">
        <v>329078</v>
      </c>
      <c r="E1785" t="n">
        <v>325478</v>
      </c>
      <c r="F1785" t="n">
        <v>0.98</v>
      </c>
      <c r="G1785" t="n">
        <v>3600</v>
      </c>
      <c r="H1785" t="n">
        <v>31.896844</v>
      </c>
      <c r="I1785" t="n">
        <v>34.161712</v>
      </c>
      <c r="J1785" t="n">
        <v>-2.264868</v>
      </c>
      <c r="K1785" s="4">
        <f>IFERROR(J1785/I1785,"")</f>
        <v/>
      </c>
      <c r="L1785" s="4">
        <f>IFERROR((D1785-E1785)/E1785,"")</f>
        <v/>
      </c>
      <c r="M1785" s="19">
        <f>IFERROR(F1785*G1785/10000,"")</f>
        <v/>
      </c>
    </row>
    <row r="1786">
      <c r="A1786" t="inlineStr">
        <is>
          <t>2026-10-30</t>
        </is>
      </c>
      <c r="B1786" t="inlineStr">
        <is>
          <t>589150</t>
        </is>
      </c>
      <c r="C1786" t="inlineStr">
        <is>
          <t>科创50ETF平安</t>
        </is>
      </c>
      <c r="D1786" t="n">
        <v>93543.72</v>
      </c>
      <c r="E1786" t="n">
        <v>91943.72</v>
      </c>
      <c r="F1786" t="n">
        <v>0.887</v>
      </c>
      <c r="G1786" t="n">
        <v>1600</v>
      </c>
      <c r="H1786" t="n">
        <v>8.155408</v>
      </c>
      <c r="I1786" t="n">
        <v>8.615881999999999</v>
      </c>
      <c r="J1786" t="n">
        <v>-0.460474</v>
      </c>
      <c r="K1786" s="4">
        <f>IFERROR(J1786/I1786,"")</f>
        <v/>
      </c>
      <c r="L1786" s="4">
        <f>IFERROR((D1786-E1786)/E1786,"")</f>
        <v/>
      </c>
      <c r="M1786" s="19">
        <f>IFERROR(F1786*G1786/10000,"")</f>
        <v/>
      </c>
    </row>
    <row r="1787">
      <c r="A1787" t="inlineStr">
        <is>
          <t>2026-10-30</t>
        </is>
      </c>
      <c r="B1787" t="inlineStr">
        <is>
          <t>589160</t>
        </is>
      </c>
      <c r="C1787" t="inlineStr">
        <is>
          <t>科创芯片ETF广发</t>
        </is>
      </c>
      <c r="D1787" t="n">
        <v>29029.6</v>
      </c>
      <c r="E1787" t="n">
        <v>29029.6</v>
      </c>
      <c r="F1787" t="n">
        <v>0.896</v>
      </c>
      <c r="G1787" t="n">
        <v>0</v>
      </c>
      <c r="H1787" t="n">
        <v>2.601052</v>
      </c>
      <c r="I1787" t="n">
        <v>2.766521</v>
      </c>
      <c r="J1787" t="n">
        <v>-0.165469</v>
      </c>
      <c r="K1787" s="4">
        <f>IFERROR(J1787/I1787,"")</f>
        <v/>
      </c>
      <c r="L1787" s="4">
        <f>IFERROR((D1787-E1787)/E1787,"")</f>
        <v/>
      </c>
      <c r="M1787" s="19">
        <f>IFERROR(F1787*G1787/10000,"")</f>
        <v/>
      </c>
    </row>
    <row r="1788">
      <c r="A1788" t="inlineStr">
        <is>
          <t>2026-10-30</t>
        </is>
      </c>
      <c r="B1788" t="inlineStr">
        <is>
          <t>589170</t>
        </is>
      </c>
      <c r="C1788" t="inlineStr">
        <is>
          <t>科创芯片设计ETF鹏华</t>
        </is>
      </c>
      <c r="D1788" t="n">
        <v>17190.9</v>
      </c>
      <c r="E1788" t="n">
        <v>16890.9</v>
      </c>
      <c r="F1788" t="n">
        <v>0.825</v>
      </c>
      <c r="G1788" t="n">
        <v>300</v>
      </c>
      <c r="H1788" t="n">
        <v>1.393499</v>
      </c>
      <c r="I1788" t="n">
        <v>1.479643</v>
      </c>
      <c r="J1788" t="n">
        <v>-0.086144</v>
      </c>
      <c r="K1788" s="4">
        <f>IFERROR(J1788/I1788,"")</f>
        <v/>
      </c>
      <c r="L1788" s="4">
        <f>IFERROR((D1788-E1788)/E1788,"")</f>
        <v/>
      </c>
      <c r="M1788" s="19">
        <f>IFERROR(F1788*G1788/10000,"")</f>
        <v/>
      </c>
    </row>
    <row r="1789">
      <c r="A1789" t="inlineStr">
        <is>
          <t>2026-10-30</t>
        </is>
      </c>
      <c r="B1789" t="inlineStr">
        <is>
          <t>589180</t>
        </is>
      </c>
      <c r="C1789" t="inlineStr">
        <is>
          <t>科创新材料ETF汇添富</t>
        </is>
      </c>
      <c r="D1789" t="n">
        <v>13131.8</v>
      </c>
      <c r="E1789" t="n">
        <v>13131.8</v>
      </c>
      <c r="F1789" t="n">
        <v>1.255</v>
      </c>
      <c r="G1789" t="n">
        <v>0</v>
      </c>
      <c r="H1789" t="n">
        <v>1.648041</v>
      </c>
      <c r="I1789" t="n">
        <v>1.772998</v>
      </c>
      <c r="J1789" t="n">
        <v>-0.124957</v>
      </c>
      <c r="K1789" s="4">
        <f>IFERROR(J1789/I1789,"")</f>
        <v/>
      </c>
      <c r="L1789" s="4">
        <f>IFERROR((D1789-E1789)/E1789,"")</f>
        <v/>
      </c>
      <c r="M1789" s="19">
        <f>IFERROR(F1789*G1789/10000,"")</f>
        <v/>
      </c>
    </row>
    <row r="1790">
      <c r="A1790" t="inlineStr">
        <is>
          <t>2026-10-30</t>
        </is>
      </c>
      <c r="B1790" t="inlineStr">
        <is>
          <t>589190</t>
        </is>
      </c>
      <c r="C1790" t="inlineStr">
        <is>
          <t>科创芯片ETF华宝</t>
        </is>
      </c>
      <c r="D1790" t="n">
        <v>343956.2</v>
      </c>
      <c r="E1790" t="n">
        <v>344556.2</v>
      </c>
      <c r="F1790" t="n">
        <v>0.448</v>
      </c>
      <c r="G1790" t="n">
        <v>-600</v>
      </c>
      <c r="H1790" t="n">
        <v>15.436118</v>
      </c>
      <c r="I1790" t="n">
        <v>16.492571</v>
      </c>
      <c r="J1790" t="n">
        <v>-1.056453</v>
      </c>
      <c r="K1790" s="4">
        <f>IFERROR(J1790/I1790,"")</f>
        <v/>
      </c>
      <c r="L1790" s="4">
        <f>IFERROR((D1790-E1790)/E1790,"")</f>
        <v/>
      </c>
      <c r="M1790" s="19">
        <f>IFERROR(F1790*G1790/10000,"")</f>
        <v/>
      </c>
    </row>
    <row r="1791">
      <c r="A1791" t="inlineStr">
        <is>
          <t>2026-10-30</t>
        </is>
      </c>
      <c r="B1791" t="inlineStr">
        <is>
          <t>589200</t>
        </is>
      </c>
      <c r="C1791" t="inlineStr">
        <is>
          <t>科创200ETF工银</t>
        </is>
      </c>
      <c r="D1791" t="n">
        <v>2550.7</v>
      </c>
      <c r="E1791" t="n">
        <v>2550.7</v>
      </c>
      <c r="F1791" t="n">
        <v>1.115</v>
      </c>
      <c r="G1791" t="n">
        <v>0</v>
      </c>
      <c r="H1791" t="n">
        <v>0.284403</v>
      </c>
      <c r="I1791" t="n">
        <v>0.29078</v>
      </c>
      <c r="J1791" t="n">
        <v>-0.006377</v>
      </c>
      <c r="K1791" s="4">
        <f>IFERROR(J1791/I1791,"")</f>
        <v/>
      </c>
      <c r="L1791" s="4">
        <f>IFERROR((D1791-E1791)/E1791,"")</f>
        <v/>
      </c>
      <c r="M1791" s="19">
        <f>IFERROR(F1791*G1791/10000,"")</f>
        <v/>
      </c>
    </row>
    <row r="1792">
      <c r="A1792" t="inlineStr">
        <is>
          <t>2026-10-30</t>
        </is>
      </c>
      <c r="B1792" t="inlineStr">
        <is>
          <t>589210</t>
        </is>
      </c>
      <c r="C1792" t="inlineStr">
        <is>
          <t>科创芯片设计ETF广发</t>
        </is>
      </c>
      <c r="D1792" t="n">
        <v>129693.8</v>
      </c>
      <c r="E1792" t="n">
        <v>129293.8</v>
      </c>
      <c r="F1792" t="n">
        <v>0.516</v>
      </c>
      <c r="G1792" t="n">
        <v>400</v>
      </c>
      <c r="H1792" t="n">
        <v>6.67156</v>
      </c>
      <c r="I1792" t="n">
        <v>7.089159</v>
      </c>
      <c r="J1792" t="n">
        <v>-0.417599</v>
      </c>
      <c r="K1792" s="4">
        <f>IFERROR(J1792/I1792,"")</f>
        <v/>
      </c>
      <c r="L1792" s="4">
        <f>IFERROR((D1792-E1792)/E1792,"")</f>
        <v/>
      </c>
      <c r="M1792" s="19">
        <f>IFERROR(F1792*G1792/10000,"")</f>
        <v/>
      </c>
    </row>
    <row r="1793">
      <c r="A1793" t="inlineStr">
        <is>
          <t>2026-10-30</t>
        </is>
      </c>
      <c r="B1793" t="inlineStr">
        <is>
          <t>589220</t>
        </is>
      </c>
      <c r="C1793" t="inlineStr">
        <is>
          <t>科创200ETF国泰</t>
        </is>
      </c>
      <c r="D1793" t="n">
        <v>34949.58</v>
      </c>
      <c r="E1793" t="n">
        <v>35249.58</v>
      </c>
      <c r="F1793" t="n">
        <v>0.8070000000000001</v>
      </c>
      <c r="G1793" t="n">
        <v>-300</v>
      </c>
      <c r="H1793" t="n">
        <v>2.844641</v>
      </c>
      <c r="I1793" t="n">
        <v>2.960229</v>
      </c>
      <c r="J1793" t="n">
        <v>-0.115588</v>
      </c>
      <c r="K1793" s="4">
        <f>IFERROR(J1793/I1793,"")</f>
        <v/>
      </c>
      <c r="L1793" s="4">
        <f>IFERROR((D1793-E1793)/E1793,"")</f>
        <v/>
      </c>
      <c r="M1793" s="19">
        <f>IFERROR(F1793*G1793/10000,"")</f>
        <v/>
      </c>
    </row>
    <row r="1794">
      <c r="A1794" t="inlineStr">
        <is>
          <t>2026-10-30</t>
        </is>
      </c>
      <c r="B1794" t="inlineStr">
        <is>
          <t>589230</t>
        </is>
      </c>
      <c r="C1794" t="inlineStr">
        <is>
          <t>科创人工智能ETF南方</t>
        </is>
      </c>
      <c r="D1794" t="n">
        <v>27855.3</v>
      </c>
      <c r="E1794" t="n">
        <v>27855.3</v>
      </c>
      <c r="F1794" t="n">
        <v>0.72</v>
      </c>
      <c r="G1794" t="n">
        <v>0</v>
      </c>
      <c r="H1794" t="n">
        <v>2.005582</v>
      </c>
      <c r="I1794" t="n">
        <v>2.110708</v>
      </c>
      <c r="J1794" t="n">
        <v>-0.105126</v>
      </c>
      <c r="K1794" s="4">
        <f>IFERROR(J1794/I1794,"")</f>
        <v/>
      </c>
      <c r="L1794" s="4">
        <f>IFERROR((D1794-E1794)/E1794,"")</f>
        <v/>
      </c>
      <c r="M1794" s="19">
        <f>IFERROR(F1794*G1794/10000,"")</f>
        <v/>
      </c>
    </row>
    <row r="1795">
      <c r="A1795" t="inlineStr">
        <is>
          <t>2026-10-30</t>
        </is>
      </c>
      <c r="B1795" t="inlineStr">
        <is>
          <t>589250</t>
        </is>
      </c>
      <c r="C1795" t="inlineStr">
        <is>
          <t>科创芯片设计ETF浦银</t>
        </is>
      </c>
      <c r="D1795" t="n">
        <v>7910.13</v>
      </c>
      <c r="E1795" t="n">
        <v>7910.13</v>
      </c>
      <c r="F1795" t="n">
        <v>0.959</v>
      </c>
      <c r="G1795" t="n">
        <v>0</v>
      </c>
      <c r="H1795" t="n">
        <v>0.758582</v>
      </c>
      <c r="I1795" t="n">
        <v>0.794177</v>
      </c>
      <c r="J1795" t="n">
        <v>-0.035595</v>
      </c>
      <c r="K1795" s="4">
        <f>IFERROR(J1795/I1795,"")</f>
        <v/>
      </c>
      <c r="L1795" s="4">
        <f>IFERROR((D1795-E1795)/E1795,"")</f>
        <v/>
      </c>
      <c r="M1795" s="19">
        <f>IFERROR(F1795*G1795/10000,"")</f>
        <v/>
      </c>
    </row>
    <row r="1796">
      <c r="A1796" t="inlineStr">
        <is>
          <t>2026-10-30</t>
        </is>
      </c>
      <c r="B1796" t="inlineStr">
        <is>
          <t>589260</t>
        </is>
      </c>
      <c r="C1796" t="inlineStr">
        <is>
          <t>科创芯片设计ETF国泰</t>
        </is>
      </c>
      <c r="D1796" t="n">
        <v>31915.6</v>
      </c>
      <c r="E1796" t="n">
        <v>30415.6</v>
      </c>
      <c r="F1796" t="n">
        <v>0.945</v>
      </c>
      <c r="G1796" t="n">
        <v>1500</v>
      </c>
      <c r="H1796" t="n">
        <v>2.874274</v>
      </c>
      <c r="I1796" t="n">
        <v>3.029629</v>
      </c>
      <c r="J1796" t="n">
        <v>-0.155355</v>
      </c>
      <c r="K1796" s="4">
        <f>IFERROR(J1796/I1796,"")</f>
        <v/>
      </c>
      <c r="L1796" s="4">
        <f>IFERROR((D1796-E1796)/E1796,"")</f>
        <v/>
      </c>
      <c r="M1796" s="19">
        <f>IFERROR(F1796*G1796/10000,"")</f>
        <v/>
      </c>
    </row>
    <row r="1797">
      <c r="A1797" t="inlineStr">
        <is>
          <t>2026-10-30</t>
        </is>
      </c>
      <c r="B1797" t="inlineStr">
        <is>
          <t>589270</t>
        </is>
      </c>
      <c r="C1797" t="inlineStr">
        <is>
          <t>科创100ETF前海开源</t>
        </is>
      </c>
      <c r="D1797" t="n">
        <v>2751.66</v>
      </c>
      <c r="E1797" t="n">
        <v>2751.66</v>
      </c>
      <c r="F1797" t="n">
        <v>0.856</v>
      </c>
      <c r="G1797" t="n">
        <v>0</v>
      </c>
      <c r="H1797" t="n">
        <v>0.235542</v>
      </c>
      <c r="I1797" t="n">
        <v>0.270988</v>
      </c>
      <c r="J1797" t="n">
        <v>-0.035446</v>
      </c>
      <c r="K1797" s="4">
        <f>IFERROR(J1797/I1797,"")</f>
        <v/>
      </c>
      <c r="L1797" s="4">
        <f>IFERROR((D1797-E1797)/E1797,"")</f>
        <v/>
      </c>
      <c r="M1797" s="19">
        <f>IFERROR(F1797*G1797/10000,"")</f>
        <v/>
      </c>
    </row>
    <row r="1798">
      <c r="A1798" t="inlineStr">
        <is>
          <t>2026-10-30</t>
        </is>
      </c>
      <c r="B1798" t="inlineStr">
        <is>
          <t>589280</t>
        </is>
      </c>
      <c r="C1798" t="inlineStr">
        <is>
          <t>科创增强ETF华宝</t>
        </is>
      </c>
      <c r="D1798" t="n">
        <v>14906.9</v>
      </c>
      <c r="E1798" t="n">
        <v>14906.9</v>
      </c>
      <c r="F1798" t="n">
        <v>0.728</v>
      </c>
      <c r="G1798" t="n">
        <v>0</v>
      </c>
      <c r="H1798" t="n">
        <v>1.085222</v>
      </c>
      <c r="I1798" t="n">
        <v>1.132924</v>
      </c>
      <c r="J1798" t="n">
        <v>-0.047702</v>
      </c>
      <c r="K1798" s="4">
        <f>IFERROR(J1798/I1798,"")</f>
        <v/>
      </c>
      <c r="L1798" s="4">
        <f>IFERROR((D1798-E1798)/E1798,"")</f>
        <v/>
      </c>
      <c r="M1798" s="19">
        <f>IFERROR(F1798*G1798/10000,"")</f>
        <v/>
      </c>
    </row>
    <row r="1799">
      <c r="A1799" t="inlineStr">
        <is>
          <t>2026-10-30</t>
        </is>
      </c>
      <c r="B1799" t="inlineStr">
        <is>
          <t>589300</t>
        </is>
      </c>
      <c r="C1799" t="inlineStr">
        <is>
          <t>科创综指ETF嘉实</t>
        </is>
      </c>
      <c r="D1799" t="n">
        <v>4558.25</v>
      </c>
      <c r="E1799" t="n">
        <v>4558.25</v>
      </c>
      <c r="F1799" t="n">
        <v>1.305</v>
      </c>
      <c r="G1799" t="n">
        <v>0</v>
      </c>
      <c r="H1799" t="n">
        <v>0.594852</v>
      </c>
      <c r="I1799" t="n">
        <v>0.674818</v>
      </c>
      <c r="J1799" t="n">
        <v>-0.079966</v>
      </c>
      <c r="K1799" s="4">
        <f>IFERROR(J1799/I1799,"")</f>
        <v/>
      </c>
      <c r="L1799" s="4">
        <f>IFERROR((D1799-E1799)/E1799,"")</f>
        <v/>
      </c>
      <c r="M1799" s="19">
        <f>IFERROR(F1799*G1799/10000,"")</f>
        <v/>
      </c>
    </row>
    <row r="1800">
      <c r="A1800" t="inlineStr">
        <is>
          <t>2026-10-30</t>
        </is>
      </c>
      <c r="B1800" t="inlineStr">
        <is>
          <t>589320</t>
        </is>
      </c>
      <c r="C1800" t="inlineStr">
        <is>
          <t>科创200ETF嘉实</t>
        </is>
      </c>
      <c r="D1800" t="n">
        <v>11105.3</v>
      </c>
      <c r="E1800" t="n">
        <v>11105.3</v>
      </c>
      <c r="F1800" t="n">
        <v>0.6879999999999999</v>
      </c>
      <c r="G1800" t="n">
        <v>0</v>
      </c>
      <c r="H1800" t="n">
        <v>0.764045</v>
      </c>
      <c r="I1800" t="n">
        <v>0.799582</v>
      </c>
      <c r="J1800" t="n">
        <v>-0.035537</v>
      </c>
      <c r="K1800" s="4">
        <f>IFERROR(J1800/I1800,"")</f>
        <v/>
      </c>
      <c r="L1800" s="4">
        <f>IFERROR((D1800-E1800)/E1800,"")</f>
        <v/>
      </c>
      <c r="M1800" s="19">
        <f>IFERROR(F1800*G1800/10000,"")</f>
        <v/>
      </c>
    </row>
    <row r="1801">
      <c r="A1801" t="inlineStr">
        <is>
          <t>2026-10-30</t>
        </is>
      </c>
      <c r="B1801" t="inlineStr">
        <is>
          <t>589330</t>
        </is>
      </c>
      <c r="C1801" t="inlineStr">
        <is>
          <t>科创200ETF东财</t>
        </is>
      </c>
      <c r="D1801" t="n">
        <v>18590.2</v>
      </c>
      <c r="E1801" t="n">
        <v>18590.2</v>
      </c>
      <c r="F1801" t="n">
        <v>0.699</v>
      </c>
      <c r="G1801" t="n">
        <v>0</v>
      </c>
      <c r="H1801" t="n">
        <v>1.299455</v>
      </c>
      <c r="I1801" t="n">
        <v>1.358944</v>
      </c>
      <c r="J1801" t="n">
        <v>-0.059489</v>
      </c>
      <c r="K1801" s="4">
        <f>IFERROR(J1801/I1801,"")</f>
        <v/>
      </c>
      <c r="L1801" s="4">
        <f>IFERROR((D1801-E1801)/E1801,"")</f>
        <v/>
      </c>
      <c r="M1801" s="19">
        <f>IFERROR(F1801*G1801/10000,"")</f>
        <v/>
      </c>
    </row>
    <row r="1802">
      <c r="A1802" t="inlineStr">
        <is>
          <t>2026-10-30</t>
        </is>
      </c>
      <c r="B1802" t="inlineStr">
        <is>
          <t>589380</t>
        </is>
      </c>
      <c r="C1802" t="inlineStr">
        <is>
          <t>科创人工智能ETF富国</t>
        </is>
      </c>
      <c r="D1802" t="n">
        <v>12969.43</v>
      </c>
      <c r="E1802" t="n">
        <v>12369.43</v>
      </c>
      <c r="F1802" t="n">
        <v>1.186</v>
      </c>
      <c r="G1802" t="n">
        <v>600</v>
      </c>
      <c r="H1802" t="n">
        <v>1.467014</v>
      </c>
      <c r="I1802" t="n">
        <v>1.530098</v>
      </c>
      <c r="J1802" t="n">
        <v>-0.063084</v>
      </c>
      <c r="K1802" s="4">
        <f>IFERROR(J1802/I1802,"")</f>
        <v/>
      </c>
      <c r="L1802" s="4">
        <f>IFERROR((D1802-E1802)/E1802,"")</f>
        <v/>
      </c>
      <c r="M1802" s="19">
        <f>IFERROR(F1802*G1802/10000,"")</f>
        <v/>
      </c>
    </row>
    <row r="1803">
      <c r="A1803" t="inlineStr">
        <is>
          <t>2026-10-30</t>
        </is>
      </c>
      <c r="B1803" t="inlineStr">
        <is>
          <t>589500</t>
        </is>
      </c>
      <c r="C1803" t="inlineStr">
        <is>
          <t>科创综指ETF工银</t>
        </is>
      </c>
      <c r="D1803" t="n">
        <v>8006.4</v>
      </c>
      <c r="E1803" t="n">
        <v>8006.4</v>
      </c>
      <c r="F1803" t="n">
        <v>1.217</v>
      </c>
      <c r="G1803" t="n">
        <v>0</v>
      </c>
      <c r="H1803" t="n">
        <v>0.974379</v>
      </c>
      <c r="I1803" t="n">
        <v>1.017613</v>
      </c>
      <c r="J1803" t="n">
        <v>-0.043234</v>
      </c>
      <c r="K1803" s="4">
        <f>IFERROR(J1803/I1803,"")</f>
        <v/>
      </c>
      <c r="L1803" s="4">
        <f>IFERROR((D1803-E1803)/E1803,"")</f>
        <v/>
      </c>
      <c r="M1803" s="19">
        <f>IFERROR(F1803*G1803/10000,"")</f>
        <v/>
      </c>
    </row>
    <row r="1804">
      <c r="A1804" t="inlineStr">
        <is>
          <t>2026-10-30</t>
        </is>
      </c>
      <c r="B1804" t="inlineStr">
        <is>
          <t>589520</t>
        </is>
      </c>
      <c r="C1804" t="inlineStr">
        <is>
          <t>科创人工智能ETF华宝</t>
        </is>
      </c>
      <c r="D1804" t="n">
        <v>90310.46000000001</v>
      </c>
      <c r="E1804" t="n">
        <v>89110.46000000001</v>
      </c>
      <c r="F1804" t="n">
        <v>0.499</v>
      </c>
      <c r="G1804" t="n">
        <v>1200</v>
      </c>
      <c r="H1804" t="n">
        <v>4.446612</v>
      </c>
      <c r="I1804" t="n">
        <v>4.642655</v>
      </c>
      <c r="J1804" t="n">
        <v>-0.196043</v>
      </c>
      <c r="K1804" s="4">
        <f>IFERROR(J1804/I1804,"")</f>
        <v/>
      </c>
      <c r="L1804" s="4">
        <f>IFERROR((D1804-E1804)/E1804,"")</f>
        <v/>
      </c>
      <c r="M1804" s="19">
        <f>IFERROR(F1804*G1804/10000,"")</f>
        <v/>
      </c>
    </row>
    <row r="1805">
      <c r="A1805" t="inlineStr">
        <is>
          <t>2026-10-30</t>
        </is>
      </c>
      <c r="B1805" t="inlineStr">
        <is>
          <t>589550</t>
        </is>
      </c>
      <c r="C1805" t="inlineStr">
        <is>
          <t>科创价值ETF华夏</t>
        </is>
      </c>
      <c r="D1805" t="n">
        <v>2829.55</v>
      </c>
      <c r="E1805" t="n">
        <v>2829.55</v>
      </c>
      <c r="F1805" t="n">
        <v>1.134</v>
      </c>
      <c r="G1805" t="n">
        <v>0</v>
      </c>
      <c r="H1805" t="n">
        <v>0.320871</v>
      </c>
      <c r="I1805" t="n">
        <v>0.329076</v>
      </c>
      <c r="J1805" t="n">
        <v>-0.008205</v>
      </c>
      <c r="K1805" s="4">
        <f>IFERROR(J1805/I1805,"")</f>
        <v/>
      </c>
      <c r="L1805" s="4">
        <f>IFERROR((D1805-E1805)/E1805,"")</f>
        <v/>
      </c>
      <c r="M1805" s="19">
        <f>IFERROR(F1805*G1805/10000,"")</f>
        <v/>
      </c>
    </row>
    <row r="1806">
      <c r="A1806" t="inlineStr">
        <is>
          <t>2026-10-30</t>
        </is>
      </c>
      <c r="B1806" t="inlineStr">
        <is>
          <t>589560</t>
        </is>
      </c>
      <c r="C1806" t="inlineStr">
        <is>
          <t>科创人工智能ETF汇添富</t>
        </is>
      </c>
      <c r="D1806" t="n">
        <v>30035.5</v>
      </c>
      <c r="E1806" t="n">
        <v>30035.5</v>
      </c>
      <c r="F1806" t="n">
        <v>0.791</v>
      </c>
      <c r="G1806" t="n">
        <v>0</v>
      </c>
      <c r="H1806" t="n">
        <v>2.375808</v>
      </c>
      <c r="I1806" t="n">
        <v>2.447892</v>
      </c>
      <c r="J1806" t="n">
        <v>-0.072084</v>
      </c>
      <c r="K1806" s="4">
        <f>IFERROR(J1806/I1806,"")</f>
        <v/>
      </c>
      <c r="L1806" s="4">
        <f>IFERROR((D1806-E1806)/E1806,"")</f>
        <v/>
      </c>
      <c r="M1806" s="19">
        <f>IFERROR(F1806*G1806/10000,"")</f>
        <v/>
      </c>
    </row>
    <row r="1807">
      <c r="A1807" t="inlineStr">
        <is>
          <t>2026-10-30</t>
        </is>
      </c>
      <c r="B1807" t="inlineStr">
        <is>
          <t>589580</t>
        </is>
      </c>
      <c r="C1807" t="inlineStr">
        <is>
          <t>科创综指ETF兴银</t>
        </is>
      </c>
      <c r="D1807" t="n">
        <v>1835.48</v>
      </c>
      <c r="E1807" t="n">
        <v>1835.48</v>
      </c>
      <c r="F1807" t="n">
        <v>1.201</v>
      </c>
      <c r="G1807" t="n">
        <v>0</v>
      </c>
      <c r="H1807" t="n">
        <v>0.220441</v>
      </c>
      <c r="I1807" t="n">
        <v>0.227967</v>
      </c>
      <c r="J1807" t="n">
        <v>-0.007526</v>
      </c>
      <c r="K1807" s="4">
        <f>IFERROR(J1807/I1807,"")</f>
        <v/>
      </c>
      <c r="L1807" s="4">
        <f>IFERROR((D1807-E1807)/E1807,"")</f>
        <v/>
      </c>
      <c r="M1807" s="19">
        <f>IFERROR(F1807*G1807/10000,"")</f>
        <v/>
      </c>
    </row>
    <row r="1808">
      <c r="A1808" t="inlineStr">
        <is>
          <t>2026-10-30</t>
        </is>
      </c>
      <c r="B1808" t="inlineStr">
        <is>
          <t>589600</t>
        </is>
      </c>
      <c r="C1808" t="inlineStr">
        <is>
          <t>科创综指ETF富国</t>
        </is>
      </c>
      <c r="D1808" t="n">
        <v>24153.5</v>
      </c>
      <c r="E1808" t="n">
        <v>23753.5</v>
      </c>
      <c r="F1808" t="n">
        <v>1.203</v>
      </c>
      <c r="G1808" t="n">
        <v>400</v>
      </c>
      <c r="H1808" t="n">
        <v>2.857546</v>
      </c>
      <c r="I1808" t="n">
        <v>3.048172</v>
      </c>
      <c r="J1808" t="n">
        <v>-0.190626</v>
      </c>
      <c r="K1808" s="4">
        <f>IFERROR(J1808/I1808,"")</f>
        <v/>
      </c>
      <c r="L1808" s="4">
        <f>IFERROR((D1808-E1808)/E1808,"")</f>
        <v/>
      </c>
      <c r="M1808" s="19">
        <f>IFERROR(F1808*G1808/10000,"")</f>
        <v/>
      </c>
    </row>
    <row r="1809">
      <c r="A1809" t="inlineStr">
        <is>
          <t>2026-10-30</t>
        </is>
      </c>
      <c r="B1809" t="inlineStr">
        <is>
          <t>589630</t>
        </is>
      </c>
      <c r="C1809" t="inlineStr">
        <is>
          <t>科创综指ETF国泰</t>
        </is>
      </c>
      <c r="D1809" t="n">
        <v>34925.8</v>
      </c>
      <c r="E1809" t="n">
        <v>34925.8</v>
      </c>
      <c r="F1809" t="n">
        <v>0.599</v>
      </c>
      <c r="G1809" t="n">
        <v>0</v>
      </c>
      <c r="H1809" t="n">
        <v>2.092055</v>
      </c>
      <c r="I1809" t="n">
        <v>2.186355</v>
      </c>
      <c r="J1809" t="n">
        <v>-0.09429999999999999</v>
      </c>
      <c r="K1809" s="4">
        <f>IFERROR(J1809/I1809,"")</f>
        <v/>
      </c>
      <c r="L1809" s="4">
        <f>IFERROR((D1809-E1809)/E1809,"")</f>
        <v/>
      </c>
      <c r="M1809" s="19">
        <f>IFERROR(F1809*G1809/10000,"")</f>
        <v/>
      </c>
    </row>
    <row r="1810">
      <c r="A1810" t="inlineStr">
        <is>
          <t>2026-10-30</t>
        </is>
      </c>
      <c r="B1810" t="inlineStr">
        <is>
          <t>589660</t>
        </is>
      </c>
      <c r="C1810" t="inlineStr">
        <is>
          <t>科创综指ETF南方</t>
        </is>
      </c>
      <c r="D1810" t="n">
        <v>30553</v>
      </c>
      <c r="E1810" t="n">
        <v>29753</v>
      </c>
      <c r="F1810" t="n">
        <v>1.209</v>
      </c>
      <c r="G1810" t="n">
        <v>800</v>
      </c>
      <c r="H1810" t="n">
        <v>3.597138</v>
      </c>
      <c r="I1810" t="n">
        <v>3.81737</v>
      </c>
      <c r="J1810" t="n">
        <v>-0.220232</v>
      </c>
      <c r="K1810" s="4">
        <f>IFERROR(J1810/I1810,"")</f>
        <v/>
      </c>
      <c r="L1810" s="4">
        <f>IFERROR((D1810-E1810)/E1810,"")</f>
        <v/>
      </c>
      <c r="M1810" s="19">
        <f>IFERROR(F1810*G1810/10000,"")</f>
        <v/>
      </c>
    </row>
    <row r="1811">
      <c r="A1811" t="inlineStr">
        <is>
          <t>2026-10-30</t>
        </is>
      </c>
      <c r="B1811" t="inlineStr">
        <is>
          <t>589680</t>
        </is>
      </c>
      <c r="C1811" t="inlineStr">
        <is>
          <t>科创综指ETF鹏华</t>
        </is>
      </c>
      <c r="D1811" t="n">
        <v>154994.37</v>
      </c>
      <c r="E1811" t="n">
        <v>156494.37</v>
      </c>
      <c r="F1811" t="n">
        <v>1.162</v>
      </c>
      <c r="G1811" t="n">
        <v>-1500</v>
      </c>
      <c r="H1811" t="n">
        <v>18.184645</v>
      </c>
      <c r="I1811" t="n">
        <v>18.710963</v>
      </c>
      <c r="J1811" t="n">
        <v>-0.526318</v>
      </c>
      <c r="K1811" s="4">
        <f>IFERROR(J1811/I1811,"")</f>
        <v/>
      </c>
      <c r="L1811" s="4">
        <f>IFERROR((D1811-E1811)/E1811,"")</f>
        <v/>
      </c>
      <c r="M1811" s="19">
        <f>IFERROR(F1811*G1811/10000,"")</f>
        <v/>
      </c>
    </row>
    <row r="1812">
      <c r="A1812" t="inlineStr">
        <is>
          <t>2026-10-30</t>
        </is>
      </c>
      <c r="B1812" t="inlineStr">
        <is>
          <t>589700</t>
        </is>
      </c>
      <c r="C1812" t="inlineStr">
        <is>
          <t>科创成长ETF南方</t>
        </is>
      </c>
      <c r="D1812" t="n">
        <v>11029.1</v>
      </c>
      <c r="E1812" t="n">
        <v>9829.1</v>
      </c>
      <c r="F1812" t="n">
        <v>1.493</v>
      </c>
      <c r="G1812" t="n">
        <v>1200</v>
      </c>
      <c r="H1812" t="n">
        <v>1.467485</v>
      </c>
      <c r="I1812" t="n">
        <v>1.740236</v>
      </c>
      <c r="J1812" t="n">
        <v>-0.272751</v>
      </c>
      <c r="K1812" s="4">
        <f>IFERROR(J1812/I1812,"")</f>
        <v/>
      </c>
      <c r="L1812" s="4">
        <f>IFERROR((D1812-E1812)/E1812,"")</f>
        <v/>
      </c>
      <c r="M1812" s="19">
        <f>IFERROR(F1812*G1812/10000,"")</f>
        <v/>
      </c>
    </row>
    <row r="1813">
      <c r="A1813" t="inlineStr">
        <is>
          <t>2026-10-30</t>
        </is>
      </c>
      <c r="B1813" t="inlineStr">
        <is>
          <t>589720</t>
        </is>
      </c>
      <c r="C1813" t="inlineStr">
        <is>
          <t>科创创新药ETF国泰</t>
        </is>
      </c>
      <c r="D1813" t="n">
        <v>560082.3</v>
      </c>
      <c r="E1813" t="n">
        <v>559982.3</v>
      </c>
      <c r="F1813" t="n">
        <v>0.754</v>
      </c>
      <c r="G1813" t="n">
        <v>100</v>
      </c>
      <c r="H1813" t="n">
        <v>42.222665</v>
      </c>
      <c r="I1813" t="n">
        <v>43.354859</v>
      </c>
      <c r="J1813" t="n">
        <v>-1.132194</v>
      </c>
      <c r="K1813" s="4">
        <f>IFERROR(J1813/I1813,"")</f>
        <v/>
      </c>
      <c r="L1813" s="4">
        <f>IFERROR((D1813-E1813)/E1813,"")</f>
        <v/>
      </c>
      <c r="M1813" s="19">
        <f>IFERROR(F1813*G1813/10000,"")</f>
        <v/>
      </c>
    </row>
    <row r="1814">
      <c r="A1814" t="inlineStr">
        <is>
          <t>2026-10-30</t>
        </is>
      </c>
      <c r="B1814" t="inlineStr">
        <is>
          <t>589770</t>
        </is>
      </c>
      <c r="C1814" t="inlineStr">
        <is>
          <t>科创综指ETF招商</t>
        </is>
      </c>
      <c r="D1814" t="n">
        <v>15856.92</v>
      </c>
      <c r="E1814" t="n">
        <v>15856.92</v>
      </c>
      <c r="F1814" t="n">
        <v>1.216</v>
      </c>
      <c r="G1814" t="n">
        <v>0</v>
      </c>
      <c r="H1814" t="n">
        <v>1.928201</v>
      </c>
      <c r="I1814" t="n">
        <v>2.013828</v>
      </c>
      <c r="J1814" t="n">
        <v>-0.08562699999999999</v>
      </c>
      <c r="K1814" s="4">
        <f>IFERROR(J1814/I1814,"")</f>
        <v/>
      </c>
      <c r="L1814" s="4">
        <f>IFERROR((D1814-E1814)/E1814,"")</f>
        <v/>
      </c>
      <c r="M1814" s="19">
        <f>IFERROR(F1814*G1814/10000,"")</f>
        <v/>
      </c>
    </row>
    <row r="1815">
      <c r="A1815" t="inlineStr">
        <is>
          <t>2026-10-30</t>
        </is>
      </c>
      <c r="B1815" t="inlineStr">
        <is>
          <t>589780</t>
        </is>
      </c>
      <c r="C1815" t="inlineStr">
        <is>
          <t>科创200ETF富国</t>
        </is>
      </c>
      <c r="D1815" t="n">
        <v>6621.5</v>
      </c>
      <c r="E1815" t="n">
        <v>6621.5</v>
      </c>
      <c r="F1815" t="n">
        <v>0.973</v>
      </c>
      <c r="G1815" t="n">
        <v>0</v>
      </c>
      <c r="H1815" t="n">
        <v>0.644272</v>
      </c>
      <c r="I1815" t="n">
        <v>0.675393</v>
      </c>
      <c r="J1815" t="n">
        <v>-0.031121</v>
      </c>
      <c r="K1815" s="4">
        <f>IFERROR(J1815/I1815,"")</f>
        <v/>
      </c>
      <c r="L1815" s="4">
        <f>IFERROR((D1815-E1815)/E1815,"")</f>
        <v/>
      </c>
      <c r="M1815" s="19">
        <f>IFERROR(F1815*G1815/10000,"")</f>
        <v/>
      </c>
    </row>
    <row r="1816">
      <c r="A1816" t="inlineStr">
        <is>
          <t>2026-10-30</t>
        </is>
      </c>
      <c r="B1816" t="inlineStr">
        <is>
          <t>589800</t>
        </is>
      </c>
      <c r="C1816" t="inlineStr">
        <is>
          <t>科创综指ETF易方达</t>
        </is>
      </c>
      <c r="D1816" t="n">
        <v>147598.82</v>
      </c>
      <c r="E1816" t="n">
        <v>133198.82</v>
      </c>
      <c r="F1816" t="n">
        <v>1.207</v>
      </c>
      <c r="G1816" t="n">
        <v>14400</v>
      </c>
      <c r="H1816" t="n">
        <v>16.077098</v>
      </c>
      <c r="I1816" t="n">
        <v>16.217451</v>
      </c>
      <c r="J1816" t="n">
        <v>-0.140353</v>
      </c>
      <c r="K1816" s="4">
        <f>IFERROR(J1816/I1816,"")</f>
        <v/>
      </c>
      <c r="L1816" s="4">
        <f>IFERROR((D1816-E1816)/E1816,"")</f>
        <v/>
      </c>
      <c r="M1816" s="19">
        <f>IFERROR(F1816*G1816/10000,"")</f>
        <v/>
      </c>
    </row>
    <row r="1817">
      <c r="A1817" t="inlineStr">
        <is>
          <t>2026-10-30</t>
        </is>
      </c>
      <c r="B1817" t="inlineStr">
        <is>
          <t>589820</t>
        </is>
      </c>
      <c r="C1817" t="inlineStr">
        <is>
          <t>科创200ETF建信</t>
        </is>
      </c>
      <c r="D1817" t="n">
        <v>13272.02</v>
      </c>
      <c r="E1817" t="n">
        <v>13272.02</v>
      </c>
      <c r="F1817" t="n">
        <v>0.988</v>
      </c>
      <c r="G1817" t="n">
        <v>0</v>
      </c>
      <c r="H1817" t="n">
        <v>1.311275</v>
      </c>
      <c r="I1817" t="n">
        <v>1.372327</v>
      </c>
      <c r="J1817" t="n">
        <v>-0.061052</v>
      </c>
      <c r="K1817" s="4">
        <f>IFERROR(J1817/I1817,"")</f>
        <v/>
      </c>
      <c r="L1817" s="4">
        <f>IFERROR((D1817-E1817)/E1817,"")</f>
        <v/>
      </c>
      <c r="M1817" s="19">
        <f>IFERROR(F1817*G1817/10000,"")</f>
        <v/>
      </c>
    </row>
    <row r="1818">
      <c r="A1818" t="inlineStr">
        <is>
          <t>2026-10-30</t>
        </is>
      </c>
      <c r="B1818" t="inlineStr">
        <is>
          <t>589850</t>
        </is>
      </c>
      <c r="C1818" t="inlineStr">
        <is>
          <t>科创50ETF东财</t>
        </is>
      </c>
      <c r="D1818" t="n">
        <v>152205.7</v>
      </c>
      <c r="E1818" t="n">
        <v>145605.7</v>
      </c>
      <c r="F1818" t="n">
        <v>1.173</v>
      </c>
      <c r="G1818" t="n">
        <v>6600</v>
      </c>
      <c r="H1818" t="n">
        <v>17.079549</v>
      </c>
      <c r="I1818" t="n">
        <v>18.108712</v>
      </c>
      <c r="J1818" t="n">
        <v>-1.029163</v>
      </c>
      <c r="K1818" s="4">
        <f>IFERROR(J1818/I1818,"")</f>
        <v/>
      </c>
      <c r="L1818" s="4">
        <f>IFERROR((D1818-E1818)/E1818,"")</f>
        <v/>
      </c>
      <c r="M1818" s="19">
        <f>IFERROR(F1818*G1818/10000,"")</f>
        <v/>
      </c>
    </row>
    <row r="1819">
      <c r="A1819" t="inlineStr">
        <is>
          <t>2026-10-30</t>
        </is>
      </c>
      <c r="B1819" t="inlineStr">
        <is>
          <t>589860</t>
        </is>
      </c>
      <c r="C1819" t="inlineStr">
        <is>
          <t>科创综指ETF天弘</t>
        </is>
      </c>
      <c r="D1819" t="n">
        <v>16222.4</v>
      </c>
      <c r="E1819" t="n">
        <v>16222.4</v>
      </c>
      <c r="F1819" t="n">
        <v>1.2</v>
      </c>
      <c r="G1819" t="n">
        <v>0</v>
      </c>
      <c r="H1819" t="n">
        <v>1.946688</v>
      </c>
      <c r="I1819" t="n">
        <v>2.032667</v>
      </c>
      <c r="J1819" t="n">
        <v>-0.085979</v>
      </c>
      <c r="K1819" s="4">
        <f>IFERROR(J1819/I1819,"")</f>
        <v/>
      </c>
      <c r="L1819" s="4">
        <f>IFERROR((D1819-E1819)/E1819,"")</f>
        <v/>
      </c>
      <c r="M1819" s="19">
        <f>IFERROR(F1819*G1819/10000,"")</f>
        <v/>
      </c>
    </row>
    <row r="1820">
      <c r="A1820" t="inlineStr">
        <is>
          <t>2026-10-30</t>
        </is>
      </c>
      <c r="B1820" t="inlineStr">
        <is>
          <t>589880</t>
        </is>
      </c>
      <c r="C1820" t="inlineStr">
        <is>
          <t>科创综指ETF建信</t>
        </is>
      </c>
      <c r="D1820" t="n">
        <v>42999.6</v>
      </c>
      <c r="E1820" t="n">
        <v>42999.6</v>
      </c>
      <c r="F1820" t="n">
        <v>1.182</v>
      </c>
      <c r="G1820" t="n">
        <v>0</v>
      </c>
      <c r="H1820" t="n">
        <v>5.082553</v>
      </c>
      <c r="I1820" t="n">
        <v>5.380901</v>
      </c>
      <c r="J1820" t="n">
        <v>-0.298348</v>
      </c>
      <c r="K1820" s="4">
        <f>IFERROR(J1820/I1820,"")</f>
        <v/>
      </c>
      <c r="L1820" s="4">
        <f>IFERROR((D1820-E1820)/E1820,"")</f>
        <v/>
      </c>
      <c r="M1820" s="19">
        <f>IFERROR(F1820*G1820/10000,"")</f>
        <v/>
      </c>
    </row>
    <row r="1821">
      <c r="A1821" t="inlineStr">
        <is>
          <t>2026-10-30</t>
        </is>
      </c>
      <c r="B1821" t="inlineStr">
        <is>
          <t>589890</t>
        </is>
      </c>
      <c r="C1821" t="inlineStr">
        <is>
          <t>科创综指ETF景顺</t>
        </is>
      </c>
      <c r="D1821" t="n">
        <v>8498.700000000001</v>
      </c>
      <c r="E1821" t="n">
        <v>8498.700000000001</v>
      </c>
      <c r="F1821" t="n">
        <v>1.204</v>
      </c>
      <c r="G1821" t="n">
        <v>0</v>
      </c>
      <c r="H1821" t="n">
        <v>1.023243</v>
      </c>
      <c r="I1821" t="n">
        <v>1.068287</v>
      </c>
      <c r="J1821" t="n">
        <v>-0.045044</v>
      </c>
      <c r="K1821" s="4">
        <f>IFERROR(J1821/I1821,"")</f>
        <v/>
      </c>
      <c r="L1821" s="4">
        <f>IFERROR((D1821-E1821)/E1821,"")</f>
        <v/>
      </c>
      <c r="M1821" s="19">
        <f>IFERROR(F1821*G1821/10000,"")</f>
        <v/>
      </c>
    </row>
    <row r="1822">
      <c r="A1822" t="inlineStr">
        <is>
          <t>2026-10-30</t>
        </is>
      </c>
      <c r="B1822" t="inlineStr">
        <is>
          <t>589900</t>
        </is>
      </c>
      <c r="C1822" t="inlineStr">
        <is>
          <t>科创综指ETF博时</t>
        </is>
      </c>
      <c r="D1822" t="n">
        <v>18890.82</v>
      </c>
      <c r="E1822" t="n">
        <v>18890.82</v>
      </c>
      <c r="F1822" t="n">
        <v>1.195</v>
      </c>
      <c r="G1822" t="n">
        <v>0</v>
      </c>
      <c r="H1822" t="n">
        <v>2.257453</v>
      </c>
      <c r="I1822" t="n">
        <v>2.42773</v>
      </c>
      <c r="J1822" t="n">
        <v>-0.170277</v>
      </c>
      <c r="K1822" s="4">
        <f>IFERROR(J1822/I1822,"")</f>
        <v/>
      </c>
      <c r="L1822" s="4">
        <f>IFERROR((D1822-E1822)/E1822,"")</f>
        <v/>
      </c>
      <c r="M1822" s="19">
        <f>IFERROR(F1822*G1822/10000,"")</f>
        <v/>
      </c>
    </row>
    <row r="1823">
      <c r="A1823" t="inlineStr">
        <is>
          <t>2026-10-30</t>
        </is>
      </c>
      <c r="B1823" t="inlineStr">
        <is>
          <t>589950</t>
        </is>
      </c>
      <c r="C1823" t="inlineStr">
        <is>
          <t>科创100ETF富国</t>
        </is>
      </c>
      <c r="D1823" t="n">
        <v>38487.3</v>
      </c>
      <c r="E1823" t="n">
        <v>38487.3</v>
      </c>
      <c r="F1823" t="n">
        <v>1</v>
      </c>
      <c r="G1823" t="n">
        <v>0</v>
      </c>
      <c r="H1823" t="n">
        <v>3.84873</v>
      </c>
      <c r="I1823" t="n">
        <v>4.045015</v>
      </c>
      <c r="J1823" t="n">
        <v>-0.196285</v>
      </c>
      <c r="K1823" s="4">
        <f>IFERROR(J1823/I1823,"")</f>
        <v/>
      </c>
      <c r="L1823" s="4">
        <f>IFERROR((D1823-E1823)/E1823,"")</f>
        <v/>
      </c>
      <c r="M1823" s="19">
        <f>IFERROR(F1823*G1823/10000,"")</f>
        <v/>
      </c>
    </row>
    <row r="1824">
      <c r="A1824" t="inlineStr">
        <is>
          <t>2026-10-30</t>
        </is>
      </c>
      <c r="B1824" t="inlineStr">
        <is>
          <t>589960</t>
        </is>
      </c>
      <c r="C1824" t="inlineStr">
        <is>
          <t>科创新能源ETF易方达</t>
        </is>
      </c>
      <c r="D1824" t="n">
        <v>18531.6</v>
      </c>
      <c r="E1824" t="n">
        <v>18731.6</v>
      </c>
      <c r="F1824" t="n">
        <v>0.673</v>
      </c>
      <c r="G1824" t="n">
        <v>-200</v>
      </c>
      <c r="H1824" t="n">
        <v>1.260637</v>
      </c>
      <c r="I1824" t="n">
        <v>1.274046</v>
      </c>
      <c r="J1824" t="n">
        <v>-0.013409</v>
      </c>
      <c r="K1824" s="4">
        <f>IFERROR(J1824/I1824,"")</f>
        <v/>
      </c>
      <c r="L1824" s="4">
        <f>IFERROR((D1824-E1824)/E1824,"")</f>
        <v/>
      </c>
      <c r="M1824" s="19">
        <f>IFERROR(F1824*G1824/10000,"")</f>
        <v/>
      </c>
    </row>
    <row r="1825">
      <c r="A1825" t="inlineStr">
        <is>
          <t>2026-10-30</t>
        </is>
      </c>
      <c r="B1825" t="inlineStr">
        <is>
          <t>589980</t>
        </is>
      </c>
      <c r="C1825" t="inlineStr">
        <is>
          <t>科创100ETF汇添富</t>
        </is>
      </c>
      <c r="D1825" t="n">
        <v>13812.2</v>
      </c>
      <c r="E1825" t="n">
        <v>13812.2</v>
      </c>
      <c r="F1825" t="n">
        <v>1.388</v>
      </c>
      <c r="G1825" t="n">
        <v>0</v>
      </c>
      <c r="H1825" t="n">
        <v>1.917133</v>
      </c>
      <c r="I1825" t="n">
        <v>2.006913</v>
      </c>
      <c r="J1825" t="n">
        <v>-0.08978</v>
      </c>
      <c r="K1825" s="4">
        <f>IFERROR(J1825/I1825,"")</f>
        <v/>
      </c>
      <c r="L1825" s="4">
        <f>IFERROR((D1825-E1825)/E1825,"")</f>
        <v/>
      </c>
      <c r="M1825" s="19">
        <f>IFERROR(F1825*G1825/10000,"")</f>
        <v/>
      </c>
    </row>
    <row r="1826">
      <c r="A1826" t="inlineStr">
        <is>
          <t>2026-10-30</t>
        </is>
      </c>
      <c r="B1826" t="inlineStr">
        <is>
          <t>589990</t>
        </is>
      </c>
      <c r="C1826" t="inlineStr">
        <is>
          <t>科创综指ETF华泰柏瑞</t>
        </is>
      </c>
      <c r="D1826" t="n">
        <v>11809</v>
      </c>
      <c r="E1826" t="n">
        <v>11809</v>
      </c>
      <c r="F1826" t="n">
        <v>1.293</v>
      </c>
      <c r="G1826" t="n">
        <v>0</v>
      </c>
      <c r="H1826" t="n">
        <v>1.526904</v>
      </c>
      <c r="I1826" t="n">
        <v>1.591853</v>
      </c>
      <c r="J1826" t="n">
        <v>-0.06494900000000001</v>
      </c>
      <c r="K1826" s="4">
        <f>IFERROR(J1826/I1826,"")</f>
        <v/>
      </c>
      <c r="L1826" s="4">
        <f>IFERROR((D1826-E1826)/E1826,"")</f>
        <v/>
      </c>
      <c r="M1826" s="19">
        <f>IFERROR(F1826*G1826/10000,"")</f>
        <v/>
      </c>
    </row>
    <row r="1827"/>
    <row r="1828"/>
    <row r="1829"/>
    <row r="1830"/>
    <row r="1831"/>
    <row r="1832"/>
    <row r="1833"/>
    <row r="1834">
      <c r="A1834" t="inlineStr">
        <is>
          <t>2026-10-30</t>
        </is>
      </c>
      <c r="B1834" t="inlineStr">
        <is>
          <t>159039</t>
        </is>
      </c>
      <c r="C1834" t="inlineStr">
        <is>
          <t>机器人ETF华安</t>
        </is>
      </c>
      <c r="D1834" t="n">
        <v>121046.1422</v>
      </c>
      <c r="E1834" t="n">
        <v>121346.1422</v>
      </c>
      <c r="F1834" t="n">
        <v>0.8323</v>
      </c>
      <c r="G1834" t="n">
        <v>-300</v>
      </c>
      <c r="H1834" t="n">
        <v>10.07467</v>
      </c>
      <c r="I1834" t="n">
        <v>9.610614</v>
      </c>
      <c r="J1834" t="n">
        <v>0.464056</v>
      </c>
      <c r="K1834" s="4">
        <f>IFERROR(J1834/I1834,"")</f>
        <v/>
      </c>
      <c r="L1834" s="4">
        <f>IFERROR((D1834-E1834)/E1834,"")</f>
        <v/>
      </c>
      <c r="M1834" s="19">
        <f>IFERROR(F1834*G1834/10000,"")</f>
        <v/>
      </c>
    </row>
    <row r="1835">
      <c r="A1835" t="inlineStr">
        <is>
          <t>2026-10-30</t>
        </is>
      </c>
      <c r="B1835" t="inlineStr">
        <is>
          <t>159062</t>
        </is>
      </c>
      <c r="C1835" t="inlineStr">
        <is>
          <t>稀有金属ETF南方</t>
        </is>
      </c>
      <c r="D1835" t="n">
        <v>13970.1256</v>
      </c>
      <c r="E1835" t="n">
        <v>14220.1256</v>
      </c>
      <c r="F1835" t="n">
        <v>0.6351</v>
      </c>
      <c r="G1835" t="n">
        <v>-250</v>
      </c>
      <c r="H1835" t="n">
        <v>0.887243</v>
      </c>
      <c r="I1835" t="n">
        <v>0.892597</v>
      </c>
      <c r="J1835" t="n">
        <v>-0.005354</v>
      </c>
      <c r="K1835" s="4">
        <f>IFERROR(J1835/I1835,"")</f>
        <v/>
      </c>
      <c r="L1835" s="4">
        <f>IFERROR((D1835-E1835)/E1835,"")</f>
        <v/>
      </c>
      <c r="M1835" s="19">
        <f>IFERROR(F1835*G1835/10000,"")</f>
        <v/>
      </c>
    </row>
    <row r="1836">
      <c r="A1836" t="inlineStr">
        <is>
          <t>2026-10-30</t>
        </is>
      </c>
      <c r="B1836" t="inlineStr">
        <is>
          <t>159071</t>
        </is>
      </c>
      <c r="C1836" t="inlineStr">
        <is>
          <t>储能电池ETF华宝</t>
        </is>
      </c>
      <c r="D1836" t="n">
        <v>13191.1738</v>
      </c>
      <c r="E1836" t="n">
        <v>12991.1738</v>
      </c>
      <c r="F1836" t="n">
        <v>0.6565</v>
      </c>
      <c r="G1836" t="n">
        <v>200</v>
      </c>
      <c r="H1836" t="n">
        <v>0.866001</v>
      </c>
      <c r="I1836" t="n">
        <v>0.83845</v>
      </c>
      <c r="J1836" t="n">
        <v>0.027551</v>
      </c>
      <c r="K1836" s="4">
        <f>IFERROR(J1836/I1836,"")</f>
        <v/>
      </c>
      <c r="L1836" s="4">
        <f>IFERROR((D1836-E1836)/E1836,"")</f>
        <v/>
      </c>
      <c r="M1836" s="19">
        <f>IFERROR(F1836*G1836/10000,"")</f>
        <v/>
      </c>
    </row>
    <row r="1837"/>
    <row r="1838"/>
    <row r="1839"/>
    <row r="1840">
      <c r="A1840" t="inlineStr">
        <is>
          <t>2026-10-30</t>
        </is>
      </c>
      <c r="B1840" t="inlineStr">
        <is>
          <t>159045</t>
        </is>
      </c>
      <c r="C1840" t="inlineStr">
        <is>
          <t>稀有金属ETF大成</t>
        </is>
      </c>
      <c r="D1840" t="n">
        <v>17833.0213</v>
      </c>
      <c r="E1840" t="n">
        <v>17833.0213</v>
      </c>
      <c r="F1840" t="n">
        <v>0.6267</v>
      </c>
      <c r="G1840" t="n">
        <v>0</v>
      </c>
      <c r="H1840" t="n">
        <v>1.117595</v>
      </c>
      <c r="I1840" t="n">
        <v>1.105469</v>
      </c>
      <c r="J1840" t="n">
        <v>0.012126</v>
      </c>
      <c r="K1840" s="4">
        <f>IFERROR(J1840/I1840,"")</f>
        <v/>
      </c>
      <c r="L1840" s="4">
        <f>IFERROR((D1840-E1840)/E1840,"")</f>
        <v/>
      </c>
      <c r="M1840" s="19">
        <f>IFERROR(F1840*G1840/10000,"")</f>
        <v/>
      </c>
    </row>
    <row r="1841">
      <c r="A1841" t="inlineStr">
        <is>
          <t>2026-10-30</t>
        </is>
      </c>
      <c r="B1841" t="inlineStr">
        <is>
          <t>159061</t>
        </is>
      </c>
      <c r="C1841" t="inlineStr">
        <is>
          <t>绿色电力ETF南方</t>
        </is>
      </c>
      <c r="D1841" t="n">
        <v>19204.023</v>
      </c>
      <c r="E1841" t="n">
        <v>19204.023</v>
      </c>
      <c r="F1841" t="n">
        <v>0.9125</v>
      </c>
      <c r="G1841" t="n">
        <v>0</v>
      </c>
      <c r="H1841" t="n">
        <v>1.752367</v>
      </c>
      <c r="I1841" t="n">
        <v>1.743149</v>
      </c>
      <c r="J1841" t="n">
        <v>0.009218</v>
      </c>
      <c r="K1841" s="4">
        <f>IFERROR(J1841/I1841,"")</f>
        <v/>
      </c>
      <c r="L1841" s="4">
        <f>IFERROR((D1841-E1841)/E1841,"")</f>
        <v/>
      </c>
      <c r="M1841" s="19">
        <f>IFERROR(F1841*G1841/10000,"")</f>
        <v/>
      </c>
    </row>
    <row r="1842"/>
    <row r="1843"/>
    <row r="1844">
      <c r="A1844" t="inlineStr">
        <is>
          <t>2026-10-30</t>
        </is>
      </c>
      <c r="B1844" t="inlineStr">
        <is>
          <t>159040</t>
        </is>
      </c>
      <c r="C1844" t="inlineStr">
        <is>
          <t>港股通互联网ETF鹏华</t>
        </is>
      </c>
      <c r="D1844" t="n">
        <v>2748.1087</v>
      </c>
      <c r="E1844" t="n">
        <v>2748.1087</v>
      </c>
      <c r="F1844" t="n">
        <v>0.9555</v>
      </c>
      <c r="G1844" t="n">
        <v>0</v>
      </c>
      <c r="H1844" t="n">
        <v>0.262582</v>
      </c>
      <c r="I1844" t="n">
        <v>0.26129</v>
      </c>
      <c r="J1844" t="n">
        <v>0.001292</v>
      </c>
      <c r="K1844" s="4">
        <f>IFERROR(J1844/I1844,"")</f>
        <v/>
      </c>
      <c r="L1844" s="4">
        <f>IFERROR((D1844-E1844)/E1844,"")</f>
        <v/>
      </c>
      <c r="M1844" s="19">
        <f>IFERROR(F1844*G1844/10000,"")</f>
        <v/>
      </c>
    </row>
    <row r="1845">
      <c r="A1845" t="inlineStr">
        <is>
          <t>2026-10-30</t>
        </is>
      </c>
      <c r="B1845" t="inlineStr">
        <is>
          <t>159065</t>
        </is>
      </c>
      <c r="C1845" t="inlineStr">
        <is>
          <t>工程机械ETF景顺</t>
        </is>
      </c>
      <c r="D1845" t="n">
        <v>9435.0818</v>
      </c>
      <c r="E1845" t="n">
        <v>9535.0818</v>
      </c>
      <c r="F1845" t="n">
        <v>0.8234</v>
      </c>
      <c r="G1845" t="n">
        <v>-100</v>
      </c>
      <c r="H1845" t="n">
        <v>0.776885</v>
      </c>
      <c r="I1845" t="n">
        <v>0.774153</v>
      </c>
      <c r="J1845" t="n">
        <v>0.002732</v>
      </c>
      <c r="K1845" s="4">
        <f>IFERROR(J1845/I1845,"")</f>
        <v/>
      </c>
      <c r="L1845" s="4">
        <f>IFERROR((D1845-E1845)/E1845,"")</f>
        <v/>
      </c>
      <c r="M1845" s="19">
        <f>IFERROR(F1845*G1845/10000,"")</f>
        <v/>
      </c>
    </row>
    <row r="1846">
      <c r="A1846" t="inlineStr">
        <is>
          <t>2026-10-30</t>
        </is>
      </c>
      <c r="B1846" t="inlineStr">
        <is>
          <t>159070</t>
        </is>
      </c>
      <c r="C1846" t="inlineStr">
        <is>
          <t>工程机械ETF嘉实</t>
        </is>
      </c>
      <c r="D1846" t="n">
        <v>9936.6883</v>
      </c>
      <c r="E1846" t="n">
        <v>9936.6883</v>
      </c>
      <c r="F1846" t="n">
        <v>0.8381999999999999</v>
      </c>
      <c r="G1846" t="n">
        <v>0</v>
      </c>
      <c r="H1846" t="n">
        <v>0.832893</v>
      </c>
      <c r="I1846" t="n">
        <v>0.821267</v>
      </c>
      <c r="J1846" t="n">
        <v>0.011626</v>
      </c>
      <c r="K1846" s="4">
        <f>IFERROR(J1846/I1846,"")</f>
        <v/>
      </c>
      <c r="L1846" s="4">
        <f>IFERROR((D1846-E1846)/E1846,"")</f>
        <v/>
      </c>
      <c r="M1846" s="19">
        <f>IFERROR(F1846*G1846/10000,"")</f>
        <v/>
      </c>
    </row>
    <row r="1847"/>
    <row r="1848"/>
    <row r="1849"/>
    <row r="1850"/>
    <row r="1851"/>
    <row r="1852"/>
    <row r="1853">
      <c r="A1853" t="inlineStr">
        <is>
          <t>2026-10-30</t>
        </is>
      </c>
      <c r="B1853" t="inlineStr">
        <is>
          <t>159066</t>
        </is>
      </c>
      <c r="C1853" t="inlineStr">
        <is>
          <t>A股ETF建信</t>
        </is>
      </c>
      <c r="D1853" t="n">
        <v>19673.3027</v>
      </c>
      <c r="E1853" t="n">
        <v>19673.3027</v>
      </c>
      <c r="F1853" t="n">
        <v>0.8202</v>
      </c>
      <c r="G1853" t="n">
        <v>0</v>
      </c>
      <c r="H1853" t="n">
        <v>1.613604</v>
      </c>
      <c r="I1853" t="n">
        <v>1.587636</v>
      </c>
      <c r="J1853" t="n">
        <v>0.025968</v>
      </c>
      <c r="K1853" s="4">
        <f>IFERROR(J1853/I1853,"")</f>
        <v/>
      </c>
      <c r="L1853" s="4">
        <f>IFERROR((D1853-E1853)/E1853,"")</f>
        <v/>
      </c>
      <c r="M1853" s="19">
        <f>IFERROR(F1853*G1853/10000,"")</f>
        <v/>
      </c>
    </row>
    <row r="1854"/>
    <row r="1855">
      <c r="A1855" t="inlineStr">
        <is>
          <t>2026-10-30</t>
        </is>
      </c>
      <c r="B1855" t="inlineStr">
        <is>
          <t>159161</t>
        </is>
      </c>
      <c r="C1855" t="inlineStr">
        <is>
          <t>工程机械ETF东财</t>
        </is>
      </c>
      <c r="D1855" t="n">
        <v>6533.126</v>
      </c>
      <c r="E1855" t="n">
        <v>6533.126</v>
      </c>
      <c r="F1855" t="n">
        <v>0.8378</v>
      </c>
      <c r="G1855" t="n">
        <v>0</v>
      </c>
      <c r="H1855" t="n">
        <v>0.547345</v>
      </c>
      <c r="I1855" t="n">
        <v>0.539702</v>
      </c>
      <c r="J1855" t="n">
        <v>0.007643</v>
      </c>
      <c r="K1855" s="4">
        <f>IFERROR(J1855/I1855,"")</f>
        <v/>
      </c>
      <c r="L1855" s="4">
        <f>IFERROR((D1855-E1855)/E1855,"")</f>
        <v/>
      </c>
      <c r="M1855" s="19">
        <f>IFERROR(F1855*G1855/10000,"")</f>
        <v/>
      </c>
    </row>
    <row r="1856"/>
    <row r="1857">
      <c r="A1857" t="inlineStr">
        <is>
          <t>2026-10-30</t>
        </is>
      </c>
      <c r="B1857" t="inlineStr">
        <is>
          <t>159049</t>
        </is>
      </c>
      <c r="C1857" t="inlineStr">
        <is>
          <t>有色ETF工银</t>
        </is>
      </c>
      <c r="D1857" t="n">
        <v>3907.3319</v>
      </c>
      <c r="E1857" t="n">
        <v>4007.3319</v>
      </c>
      <c r="F1857" t="n">
        <v>0.8084</v>
      </c>
      <c r="G1857" t="n">
        <v>-100</v>
      </c>
      <c r="H1857" t="n">
        <v>0.315869</v>
      </c>
      <c r="I1857" t="n">
        <v>0.323632</v>
      </c>
      <c r="J1857" t="n">
        <v>-0.007763</v>
      </c>
      <c r="K1857" s="4">
        <f>IFERROR(J1857/I1857,"")</f>
        <v/>
      </c>
      <c r="L1857" s="4">
        <f>IFERROR((D1857-E1857)/E1857,"")</f>
        <v/>
      </c>
      <c r="M1857" s="19">
        <f>IFERROR(F1857*G1857/10000,"")</f>
        <v/>
      </c>
    </row>
    <row r="1858">
      <c r="A1858" t="inlineStr">
        <is>
          <t>2026-10-30</t>
        </is>
      </c>
      <c r="B1858" t="inlineStr">
        <is>
          <t>159068</t>
        </is>
      </c>
      <c r="C1858" t="inlineStr">
        <is>
          <t>软件ETF华夏</t>
        </is>
      </c>
      <c r="D1858" t="n">
        <v>5633.657</v>
      </c>
      <c r="E1858" t="n">
        <v>5633.657</v>
      </c>
      <c r="F1858" t="n">
        <v>0.9428</v>
      </c>
      <c r="G1858" t="n">
        <v>0</v>
      </c>
      <c r="H1858" t="n">
        <v>0.531141</v>
      </c>
      <c r="I1858" t="n">
        <v>0.533564</v>
      </c>
      <c r="J1858" t="n">
        <v>-0.002423</v>
      </c>
      <c r="K1858" s="4">
        <f>IFERROR(J1858/I1858,"")</f>
        <v/>
      </c>
      <c r="L1858" s="4">
        <f>IFERROR((D1858-E1858)/E1858,"")</f>
        <v/>
      </c>
      <c r="M1858" s="19">
        <f>IFERROR(F1858*G1858/10000,"")</f>
        <v/>
      </c>
    </row>
    <row r="1859">
      <c r="A1859" t="inlineStr">
        <is>
          <t>2026-10-30</t>
        </is>
      </c>
      <c r="B1859" t="inlineStr">
        <is>
          <t>159076</t>
        </is>
      </c>
      <c r="C1859" t="inlineStr">
        <is>
          <t>创业板新能源ETF华宝</t>
        </is>
      </c>
      <c r="D1859" t="n">
        <v>24237.3015</v>
      </c>
      <c r="E1859" t="n">
        <v>24637.3015</v>
      </c>
      <c r="F1859" t="n">
        <v>0.6596</v>
      </c>
      <c r="G1859" t="n">
        <v>-400</v>
      </c>
      <c r="H1859" t="n">
        <v>1.598692</v>
      </c>
      <c r="I1859" t="n">
        <v>1.595512</v>
      </c>
      <c r="J1859" t="n">
        <v>0.00318</v>
      </c>
      <c r="K1859" s="4">
        <f>IFERROR(J1859/I1859,"")</f>
        <v/>
      </c>
      <c r="L1859" s="4">
        <f>IFERROR((D1859-E1859)/E1859,"")</f>
        <v/>
      </c>
      <c r="M1859" s="19">
        <f>IFERROR(F1859*G1859/10000,"")</f>
        <v/>
      </c>
    </row>
    <row r="1860">
      <c r="A1860" t="inlineStr">
        <is>
          <t>2026-10-30</t>
        </is>
      </c>
      <c r="B1860" t="inlineStr">
        <is>
          <t>159078</t>
        </is>
      </c>
      <c r="C1860" t="inlineStr">
        <is>
          <t>A股ETF富国</t>
        </is>
      </c>
      <c r="D1860" t="n">
        <v>15726.246</v>
      </c>
      <c r="E1860" t="n">
        <v>16226.246</v>
      </c>
      <c r="F1860" t="n">
        <v>0.8317</v>
      </c>
      <c r="G1860" t="n">
        <v>-500</v>
      </c>
      <c r="H1860" t="n">
        <v>1.307952</v>
      </c>
      <c r="I1860" t="n">
        <v>1.32828</v>
      </c>
      <c r="J1860" t="n">
        <v>-0.020328</v>
      </c>
      <c r="K1860" s="4">
        <f>IFERROR(J1860/I1860,"")</f>
        <v/>
      </c>
      <c r="L1860" s="4">
        <f>IFERROR((D1860-E1860)/E1860,"")</f>
        <v/>
      </c>
      <c r="M1860" s="19">
        <f>IFERROR(F1860*G1860/10000,"")</f>
        <v/>
      </c>
    </row>
    <row r="1861"/>
    <row r="1862"/>
    <row r="1863"/>
    <row r="1864">
      <c r="A1864" t="inlineStr">
        <is>
          <t>2026-10-30</t>
        </is>
      </c>
      <c r="B1864" t="inlineStr">
        <is>
          <t>159067</t>
        </is>
      </c>
      <c r="C1864" t="inlineStr">
        <is>
          <t>绿色电力ETF鹏华</t>
        </is>
      </c>
      <c r="D1864" t="n">
        <v>990.8737</v>
      </c>
      <c r="E1864" t="n">
        <v>990.8737</v>
      </c>
      <c r="F1864" t="n">
        <v>1.0003</v>
      </c>
      <c r="G1864" t="n">
        <v>0</v>
      </c>
      <c r="H1864" t="n">
        <v>0.099117</v>
      </c>
      <c r="I1864" t="n">
        <v>0.098632</v>
      </c>
      <c r="J1864" t="n">
        <v>0.000485</v>
      </c>
      <c r="K1864" s="4">
        <f>IFERROR(J1864/I1864,"")</f>
        <v/>
      </c>
      <c r="L1864" s="4">
        <f>IFERROR((D1864-E1864)/E1864,"")</f>
        <v/>
      </c>
      <c r="M1864" s="19">
        <f>IFERROR(F1864*G1864/10000,"")</f>
        <v/>
      </c>
    </row>
    <row r="1865"/>
    <row r="1866"/>
    <row r="1867"/>
    <row r="1868">
      <c r="A1868" t="inlineStr">
        <is>
          <t>2026-10-30</t>
        </is>
      </c>
      <c r="B1868" t="inlineStr">
        <is>
          <t>159091</t>
        </is>
      </c>
      <c r="C1868" t="inlineStr">
        <is>
          <t>港股通金融ETF易方达</t>
        </is>
      </c>
      <c r="D1868" t="n">
        <v>4837.4196</v>
      </c>
      <c r="E1868" t="n">
        <v>4837.4196</v>
      </c>
      <c r="F1868" t="n">
        <v>1.0614</v>
      </c>
      <c r="G1868" t="n">
        <v>0</v>
      </c>
      <c r="H1868" t="n">
        <v>0.513444</v>
      </c>
      <c r="I1868" t="n">
        <v>0.515185</v>
      </c>
      <c r="J1868" t="n">
        <v>-0.001741</v>
      </c>
      <c r="K1868" s="4">
        <f>IFERROR(J1868/I1868,"")</f>
        <v/>
      </c>
      <c r="L1868" s="4">
        <f>IFERROR((D1868-E1868)/E1868,"")</f>
        <v/>
      </c>
      <c r="M1868" s="19">
        <f>IFERROR(F1868*G1868/10000,"")</f>
        <v/>
      </c>
    </row>
    <row r="1869"/>
    <row r="1870">
      <c r="A1870" t="inlineStr">
        <is>
          <t>2026-10-30</t>
        </is>
      </c>
      <c r="B1870" t="inlineStr">
        <is>
          <t>159072</t>
        </is>
      </c>
      <c r="C1870" t="inlineStr">
        <is>
          <t>粮食ETF景顺</t>
        </is>
      </c>
      <c r="D1870" t="n">
        <v>4328.5157</v>
      </c>
      <c r="E1870" t="n">
        <v>4228.5157</v>
      </c>
      <c r="F1870" t="n">
        <v>0.9818</v>
      </c>
      <c r="G1870" t="n">
        <v>100</v>
      </c>
      <c r="H1870" t="n">
        <v>0.424974</v>
      </c>
      <c r="I1870" t="n">
        <v>0.416593</v>
      </c>
      <c r="J1870" t="n">
        <v>0.008381</v>
      </c>
      <c r="K1870" s="4">
        <f>IFERROR(J1870/I1870,"")</f>
        <v/>
      </c>
      <c r="L1870" s="4">
        <f>IFERROR((D1870-E1870)/E1870,"")</f>
        <v/>
      </c>
      <c r="M1870" s="19">
        <f>IFERROR(F1870*G1870/10000,"")</f>
        <v/>
      </c>
    </row>
    <row r="1871">
      <c r="A1871" t="inlineStr">
        <is>
          <t>2026-10-30</t>
        </is>
      </c>
      <c r="B1871" t="inlineStr">
        <is>
          <t>159075</t>
        </is>
      </c>
      <c r="C1871" t="inlineStr">
        <is>
          <t>工业互联网ETF华夏</t>
        </is>
      </c>
      <c r="D1871" t="n">
        <v>16919.7165</v>
      </c>
      <c r="E1871" t="n">
        <v>16919.7165</v>
      </c>
      <c r="F1871" t="n">
        <v>0.7732</v>
      </c>
      <c r="G1871" t="n">
        <v>0</v>
      </c>
      <c r="H1871" t="n">
        <v>1.308232</v>
      </c>
      <c r="I1871" t="n">
        <v>1.27287</v>
      </c>
      <c r="J1871" t="n">
        <v>0.035362</v>
      </c>
      <c r="K1871" s="4">
        <f>IFERROR(J1871/I1871,"")</f>
        <v/>
      </c>
      <c r="L1871" s="4">
        <f>IFERROR((D1871-E1871)/E1871,"")</f>
        <v/>
      </c>
      <c r="M1871" s="19">
        <f>IFERROR(F1871*G1871/10000,"")</f>
        <v/>
      </c>
    </row>
    <row r="1872"/>
    <row r="1873">
      <c r="A1873" t="inlineStr">
        <is>
          <t>2026-10-30</t>
        </is>
      </c>
      <c r="B1873" t="inlineStr">
        <is>
          <t>159059</t>
        </is>
      </c>
      <c r="C1873" t="inlineStr">
        <is>
          <t>电力ETF大成</t>
        </is>
      </c>
      <c r="D1873" t="n">
        <v>4283.0063</v>
      </c>
      <c r="E1873" t="n">
        <v>4283.0063</v>
      </c>
      <c r="F1873" t="n">
        <v>1.0035</v>
      </c>
      <c r="G1873" t="n">
        <v>0</v>
      </c>
      <c r="H1873" t="n">
        <v>0.4298</v>
      </c>
      <c r="I1873" t="n">
        <v>0.427573</v>
      </c>
      <c r="J1873" t="n">
        <v>0.002227</v>
      </c>
      <c r="K1873" s="4">
        <f>IFERROR(J1873/I1873,"")</f>
        <v/>
      </c>
      <c r="L1873" s="4">
        <f>IFERROR((D1873-E1873)/E1873,"")</f>
        <v/>
      </c>
      <c r="M1873" s="19">
        <f>IFERROR(F1873*G1873/10000,"")</f>
        <v/>
      </c>
    </row>
    <row r="1874">
      <c r="A1874" t="inlineStr">
        <is>
          <t>2026-10-30</t>
        </is>
      </c>
      <c r="B1874" t="inlineStr">
        <is>
          <t>159085</t>
        </is>
      </c>
      <c r="C1874" t="inlineStr">
        <is>
          <t>价值ETF永赢</t>
        </is>
      </c>
      <c r="D1874" t="n">
        <v>5053.5454</v>
      </c>
      <c r="E1874" t="n">
        <v>5053.5454</v>
      </c>
      <c r="F1874" t="n">
        <v>1.0018</v>
      </c>
      <c r="G1874" t="n">
        <v>0</v>
      </c>
      <c r="H1874" t="n">
        <v>0.506264</v>
      </c>
      <c r="I1874" t="n">
        <v>0.505961</v>
      </c>
      <c r="J1874" t="n">
        <v>0.000303</v>
      </c>
      <c r="K1874" s="4">
        <f>IFERROR(J1874/I1874,"")</f>
        <v/>
      </c>
      <c r="L1874" s="4">
        <f>IFERROR((D1874-E1874)/E1874,"")</f>
        <v/>
      </c>
      <c r="M1874" s="19">
        <f>IFERROR(F1874*G1874/10000,"")</f>
        <v/>
      </c>
    </row>
    <row r="1875"/>
    <row r="1876">
      <c r="A1876" t="inlineStr">
        <is>
          <t>2026-10-30</t>
        </is>
      </c>
      <c r="B1876" t="inlineStr">
        <is>
          <t>159069</t>
        </is>
      </c>
      <c r="C1876" t="inlineStr">
        <is>
          <t>创业板新能源ETF华泰柏瑞</t>
        </is>
      </c>
      <c r="D1876" t="n">
        <v>3877.044</v>
      </c>
      <c r="E1876" t="n">
        <v>3877.044</v>
      </c>
      <c r="F1876" t="n">
        <v>0.7912</v>
      </c>
      <c r="G1876" t="n">
        <v>0</v>
      </c>
      <c r="H1876" t="n">
        <v>0.306752</v>
      </c>
      <c r="I1876" t="n">
        <v>0.301246</v>
      </c>
      <c r="J1876" t="n">
        <v>0.005506</v>
      </c>
      <c r="K1876" s="4">
        <f>IFERROR(J1876/I1876,"")</f>
        <v/>
      </c>
      <c r="L1876" s="4">
        <f>IFERROR((D1876-E1876)/E1876,"")</f>
        <v/>
      </c>
      <c r="M1876" s="19">
        <f>IFERROR(F1876*G1876/10000,"")</f>
        <v/>
      </c>
    </row>
    <row r="1877"/>
    <row r="1878"/>
    <row r="1879"/>
    <row r="1880"/>
    <row r="1881"/>
    <row r="1882"/>
    <row r="1883"/>
    <row r="1884">
      <c r="A1884" t="inlineStr">
        <is>
          <t>2026-10-30</t>
        </is>
      </c>
      <c r="B1884" t="inlineStr">
        <is>
          <t>159086</t>
        </is>
      </c>
      <c r="C1884" t="inlineStr">
        <is>
          <t>金融科技ETF广发</t>
        </is>
      </c>
      <c r="D1884" t="n">
        <v>2939.9823</v>
      </c>
      <c r="E1884" t="n">
        <v>2939.9823</v>
      </c>
      <c r="F1884" t="n">
        <v>0.9591</v>
      </c>
      <c r="G1884" t="n">
        <v>0</v>
      </c>
      <c r="H1884" t="n">
        <v>0.281974</v>
      </c>
      <c r="I1884" t="n">
        <v>0.281356</v>
      </c>
      <c r="J1884" t="n">
        <v>0.000618</v>
      </c>
      <c r="K1884" s="4">
        <f>IFERROR(J1884/I1884,"")</f>
        <v/>
      </c>
      <c r="L1884" s="4">
        <f>IFERROR((D1884-E1884)/E1884,"")</f>
        <v/>
      </c>
      <c r="M1884" s="19">
        <f>IFERROR(F1884*G1884/10000,"")</f>
        <v/>
      </c>
    </row>
    <row r="1885">
      <c r="A1885" t="inlineStr">
        <is>
          <t>2026-10-30</t>
        </is>
      </c>
      <c r="B1885" t="inlineStr">
        <is>
          <t>159093</t>
        </is>
      </c>
      <c r="C1885" t="inlineStr">
        <is>
          <t>化工ETF汇添富</t>
        </is>
      </c>
      <c r="D1885" t="n">
        <v>2868.147</v>
      </c>
      <c r="E1885" t="n">
        <v>2868.147</v>
      </c>
      <c r="F1885" t="n">
        <v>0.8784999999999999</v>
      </c>
      <c r="G1885" t="n">
        <v>0</v>
      </c>
      <c r="H1885" t="n">
        <v>0.251967</v>
      </c>
      <c r="I1885" t="n">
        <v>0.250217</v>
      </c>
      <c r="J1885" t="n">
        <v>0.00175</v>
      </c>
      <c r="K1885" s="4">
        <f>IFERROR(J1885/I1885,"")</f>
        <v/>
      </c>
      <c r="L1885" s="4">
        <f>IFERROR((D1885-E1885)/E1885,"")</f>
        <v/>
      </c>
      <c r="M1885" s="19">
        <f>IFERROR(F1885*G1885/10000,"")</f>
        <v/>
      </c>
    </row>
    <row r="1886">
      <c r="A1886" t="inlineStr">
        <is>
          <t>2026-10-30</t>
        </is>
      </c>
      <c r="B1886" t="inlineStr">
        <is>
          <t>159099</t>
        </is>
      </c>
      <c r="C1886" t="inlineStr">
        <is>
          <t>云计算ETF华宝</t>
        </is>
      </c>
      <c r="D1886" t="n">
        <v>10261.0546</v>
      </c>
      <c r="E1886" t="n">
        <v>10261.0546</v>
      </c>
      <c r="F1886" t="n">
        <v>0.8296</v>
      </c>
      <c r="G1886" t="n">
        <v>0</v>
      </c>
      <c r="H1886" t="n">
        <v>0.851257</v>
      </c>
      <c r="I1886" t="n">
        <v>0.83525</v>
      </c>
      <c r="J1886" t="n">
        <v>0.016007</v>
      </c>
      <c r="K1886" s="4">
        <f>IFERROR(J1886/I1886,"")</f>
        <v/>
      </c>
      <c r="L1886" s="4">
        <f>IFERROR((D1886-E1886)/E1886,"")</f>
        <v/>
      </c>
      <c r="M1886" s="19">
        <f>IFERROR(F1886*G1886/10000,"")</f>
        <v/>
      </c>
    </row>
    <row r="1887"/>
    <row r="1888"/>
    <row r="1889">
      <c r="A1889" t="inlineStr">
        <is>
          <t>2026-10-30</t>
        </is>
      </c>
      <c r="B1889" t="inlineStr">
        <is>
          <t>159079</t>
        </is>
      </c>
      <c r="C1889" t="inlineStr">
        <is>
          <t>价值ETF兴全</t>
        </is>
      </c>
      <c r="D1889" t="n">
        <v>8680.683000000001</v>
      </c>
      <c r="E1889" t="n">
        <v>8680.683000000001</v>
      </c>
      <c r="F1889" t="n">
        <v>0.977</v>
      </c>
      <c r="G1889" t="n">
        <v>0</v>
      </c>
      <c r="H1889" t="n">
        <v>0.8481030000000001</v>
      </c>
      <c r="I1889" t="n">
        <v>0.8475819999999999</v>
      </c>
      <c r="J1889" t="n">
        <v>0.000521</v>
      </c>
      <c r="K1889" s="4">
        <f>IFERROR(J1889/I1889,"")</f>
        <v/>
      </c>
      <c r="L1889" s="4">
        <f>IFERROR((D1889-E1889)/E1889,"")</f>
        <v/>
      </c>
      <c r="M1889" s="19">
        <f>IFERROR(F1889*G1889/10000,"")</f>
        <v/>
      </c>
    </row>
    <row r="1890">
      <c r="A1890" t="inlineStr">
        <is>
          <t>2026-10-30</t>
        </is>
      </c>
      <c r="B1890" t="inlineStr">
        <is>
          <t>159087</t>
        </is>
      </c>
      <c r="C1890" t="inlineStr">
        <is>
          <t>化工ETF万家</t>
        </is>
      </c>
      <c r="D1890" t="n">
        <v>2999.215</v>
      </c>
      <c r="E1890" t="n">
        <v>2999.215</v>
      </c>
      <c r="F1890" t="n">
        <v>0.8812</v>
      </c>
      <c r="G1890" t="n">
        <v>0</v>
      </c>
      <c r="H1890" t="n">
        <v>0.264291</v>
      </c>
      <c r="I1890" t="n">
        <v>0.262431</v>
      </c>
      <c r="J1890" t="n">
        <v>0.00186</v>
      </c>
      <c r="K1890" s="4">
        <f>IFERROR(J1890/I1890,"")</f>
        <v/>
      </c>
      <c r="L1890" s="4">
        <f>IFERROR((D1890-E1890)/E1890,"")</f>
        <v/>
      </c>
      <c r="M1890" s="19">
        <f>IFERROR(F1890*G1890/10000,"")</f>
        <v/>
      </c>
    </row>
    <row r="1891"/>
    <row r="1892"/>
    <row r="1893"/>
    <row r="1894">
      <c r="A1894" t="inlineStr">
        <is>
          <t>2026-10-30</t>
        </is>
      </c>
      <c r="B1894" t="inlineStr">
        <is>
          <t>158009</t>
        </is>
      </c>
      <c r="C1894" t="inlineStr">
        <is>
          <t>航空航天ETF南方</t>
        </is>
      </c>
      <c r="D1894" t="n">
        <v>3237.3819</v>
      </c>
      <c r="E1894" t="n">
        <v>3237.3819</v>
      </c>
      <c r="F1894" t="n">
        <v>0.961</v>
      </c>
      <c r="G1894" t="n">
        <v>0</v>
      </c>
      <c r="H1894" t="n">
        <v>0.311112</v>
      </c>
      <c r="I1894" t="n">
        <v>0.30658</v>
      </c>
      <c r="J1894" t="n">
        <v>0.004532</v>
      </c>
      <c r="K1894" s="4">
        <f>IFERROR(J1894/I1894,"")</f>
        <v/>
      </c>
      <c r="L1894" s="4">
        <f>IFERROR((D1894-E1894)/E1894,"")</f>
        <v/>
      </c>
      <c r="M1894" s="19">
        <f>IFERROR(F1894*G1894/10000,"")</f>
        <v/>
      </c>
    </row>
    <row r="1895"/>
    <row r="1896">
      <c r="A1896" t="inlineStr">
        <is>
          <t>2026-10-30</t>
        </is>
      </c>
      <c r="B1896" t="inlineStr">
        <is>
          <t>158006</t>
        </is>
      </c>
      <c r="C1896" t="inlineStr">
        <is>
          <t>化工ETF博时</t>
        </is>
      </c>
      <c r="D1896" t="n">
        <v>4104.6012</v>
      </c>
      <c r="E1896" t="n">
        <v>4104.6012</v>
      </c>
      <c r="F1896" t="n">
        <v>0.8721</v>
      </c>
      <c r="G1896" t="n">
        <v>0</v>
      </c>
      <c r="H1896" t="n">
        <v>0.357962</v>
      </c>
      <c r="I1896" t="n">
        <v>0.355458</v>
      </c>
      <c r="J1896" t="n">
        <v>0.002504</v>
      </c>
      <c r="K1896" s="4">
        <f>IFERROR(J1896/I1896,"")</f>
        <v/>
      </c>
      <c r="L1896" s="4">
        <f>IFERROR((D1896-E1896)/E1896,"")</f>
        <v/>
      </c>
      <c r="M1896" s="19">
        <f>IFERROR(F1896*G1896/10000,"")</f>
        <v/>
      </c>
    </row>
    <row r="1897"/>
    <row r="1898"/>
    <row r="1899"/>
    <row r="1900">
      <c r="A1900" t="inlineStr">
        <is>
          <t>2026-10-30</t>
        </is>
      </c>
      <c r="B1900" t="inlineStr">
        <is>
          <t>159077</t>
        </is>
      </c>
      <c r="C1900" t="inlineStr">
        <is>
          <t>电池ETF鑫元</t>
        </is>
      </c>
      <c r="D1900" t="n">
        <v>3524.2574</v>
      </c>
      <c r="E1900" t="n">
        <v>3424.2574</v>
      </c>
      <c r="F1900" t="n">
        <v>0.7491</v>
      </c>
      <c r="G1900" t="n">
        <v>100</v>
      </c>
      <c r="H1900" t="n">
        <v>0.264002</v>
      </c>
      <c r="I1900" t="n">
        <v>0.252676</v>
      </c>
      <c r="J1900" t="n">
        <v>0.011326</v>
      </c>
      <c r="K1900" s="4">
        <f>IFERROR(J1900/I1900,"")</f>
        <v/>
      </c>
      <c r="L1900" s="4">
        <f>IFERROR((D1900-E1900)/E1900,"")</f>
        <v/>
      </c>
      <c r="M1900" s="19">
        <f>IFERROR(F1900*G1900/10000,"")</f>
        <v/>
      </c>
    </row>
    <row r="1901"/>
    <row r="1902">
      <c r="A1902" t="inlineStr">
        <is>
          <t>2026-10-30</t>
        </is>
      </c>
      <c r="B1902" t="inlineStr">
        <is>
          <t>159058</t>
        </is>
      </c>
      <c r="C1902" t="inlineStr">
        <is>
          <t>证券ETF大成</t>
        </is>
      </c>
      <c r="D1902" t="n">
        <v>5833.1247</v>
      </c>
      <c r="E1902" t="n">
        <v>5833.1247</v>
      </c>
      <c r="F1902" t="n">
        <v>0.9022</v>
      </c>
      <c r="G1902" t="n">
        <v>0</v>
      </c>
      <c r="H1902" t="n">
        <v>0.526265</v>
      </c>
      <c r="I1902" t="n">
        <v>0.530989</v>
      </c>
      <c r="J1902" t="n">
        <v>-0.004724</v>
      </c>
      <c r="K1902" s="4">
        <f>IFERROR(J1902/I1902,"")</f>
        <v/>
      </c>
      <c r="L1902" s="4">
        <f>IFERROR((D1902-E1902)/E1902,"")</f>
        <v/>
      </c>
      <c r="M1902" s="19">
        <f>IFERROR(F1902*G1902/10000,"")</f>
        <v/>
      </c>
    </row>
    <row r="1903">
      <c r="A1903" t="inlineStr">
        <is>
          <t>2026-10-30</t>
        </is>
      </c>
      <c r="B1903" t="inlineStr">
        <is>
          <t>159083</t>
        </is>
      </c>
      <c r="C1903" t="inlineStr">
        <is>
          <t>红利低波100ETF嘉实</t>
        </is>
      </c>
      <c r="D1903" t="n">
        <v>9037.047200000001</v>
      </c>
      <c r="E1903" t="n">
        <v>9237.047200000001</v>
      </c>
      <c r="F1903" t="n">
        <v>1.0164</v>
      </c>
      <c r="G1903" t="n">
        <v>-200</v>
      </c>
      <c r="H1903" t="n">
        <v>0.918525</v>
      </c>
      <c r="I1903" t="n">
        <v>0.942271</v>
      </c>
      <c r="J1903" t="n">
        <v>-0.023746</v>
      </c>
      <c r="K1903" s="4">
        <f>IFERROR(J1903/I1903,"")</f>
        <v/>
      </c>
      <c r="L1903" s="4">
        <f>IFERROR((D1903-E1903)/E1903,"")</f>
        <v/>
      </c>
      <c r="M1903" s="19">
        <f>IFERROR(F1903*G1903/10000,"")</f>
        <v/>
      </c>
    </row>
    <row r="1904"/>
    <row r="1905">
      <c r="A1905" t="inlineStr">
        <is>
          <t>2026-10-30</t>
        </is>
      </c>
      <c r="B1905" t="inlineStr">
        <is>
          <t>159098</t>
        </is>
      </c>
      <c r="C1905" t="inlineStr">
        <is>
          <t>价值ETF招商</t>
        </is>
      </c>
      <c r="D1905" t="n">
        <v>10189.1589</v>
      </c>
      <c r="E1905" t="n">
        <v>9989.1589</v>
      </c>
      <c r="F1905" t="n">
        <v>0.9739</v>
      </c>
      <c r="G1905" t="n">
        <v>200</v>
      </c>
      <c r="H1905" t="n">
        <v>0.992322</v>
      </c>
      <c r="I1905" t="n">
        <v>0.972345</v>
      </c>
      <c r="J1905" t="n">
        <v>0.019977</v>
      </c>
      <c r="K1905" s="4">
        <f>IFERROR(J1905/I1905,"")</f>
        <v/>
      </c>
      <c r="L1905" s="4">
        <f>IFERROR((D1905-E1905)/E1905,"")</f>
        <v/>
      </c>
      <c r="M1905" s="19">
        <f>IFERROR(F1905*G1905/10000,"")</f>
        <v/>
      </c>
    </row>
    <row r="1906"/>
    <row r="1907"/>
    <row r="1908">
      <c r="A1908" t="inlineStr">
        <is>
          <t>2026-10-30</t>
        </is>
      </c>
      <c r="B1908" t="inlineStr">
        <is>
          <t>159095</t>
        </is>
      </c>
      <c r="C1908" t="inlineStr">
        <is>
          <t>云计算ETF银华</t>
        </is>
      </c>
      <c r="D1908" t="n">
        <v>19946.8139</v>
      </c>
      <c r="E1908" t="n">
        <v>19946.8139</v>
      </c>
      <c r="F1908" t="n">
        <v>0.8041</v>
      </c>
      <c r="G1908" t="n">
        <v>0</v>
      </c>
      <c r="H1908" t="n">
        <v>1.603923</v>
      </c>
      <c r="I1908" t="n">
        <v>1.573804</v>
      </c>
      <c r="J1908" t="n">
        <v>0.030119</v>
      </c>
      <c r="K1908" s="4">
        <f>IFERROR(J1908/I1908,"")</f>
        <v/>
      </c>
      <c r="L1908" s="4">
        <f>IFERROR((D1908-E1908)/E1908,"")</f>
        <v/>
      </c>
      <c r="M1908" s="19">
        <f>IFERROR(F1908*G1908/10000,"")</f>
        <v/>
      </c>
    </row>
    <row r="1909"/>
    <row r="1910">
      <c r="A1910" t="inlineStr">
        <is>
          <t>2026-10-30</t>
        </is>
      </c>
      <c r="B1910" t="inlineStr">
        <is>
          <t>158003</t>
        </is>
      </c>
      <c r="C1910" t="inlineStr">
        <is>
          <t>港股通医疗ETF嘉实</t>
        </is>
      </c>
      <c r="D1910" t="n">
        <v>5165.4396</v>
      </c>
      <c r="E1910" t="n">
        <v>5165.4396</v>
      </c>
      <c r="F1910" t="n">
        <v>0.9575</v>
      </c>
      <c r="G1910" t="n">
        <v>0</v>
      </c>
      <c r="H1910" t="n">
        <v>0.494591</v>
      </c>
      <c r="I1910" t="n">
        <v>0.48457</v>
      </c>
      <c r="J1910" t="n">
        <v>0.010021</v>
      </c>
      <c r="K1910" s="4">
        <f>IFERROR(J1910/I1910,"")</f>
        <v/>
      </c>
      <c r="L1910" s="4">
        <f>IFERROR((D1910-E1910)/E1910,"")</f>
        <v/>
      </c>
      <c r="M1910" s="19">
        <f>IFERROR(F1910*G1910/10000,"")</f>
        <v/>
      </c>
    </row>
    <row r="1911"/>
    <row r="1912">
      <c r="A1912" t="inlineStr">
        <is>
          <t>2026-10-30</t>
        </is>
      </c>
      <c r="B1912" t="inlineStr">
        <is>
          <t>158012</t>
        </is>
      </c>
      <c r="C1912" t="inlineStr">
        <is>
          <t>云计算ETF南方</t>
        </is>
      </c>
      <c r="D1912" t="n">
        <v>27032.5566</v>
      </c>
      <c r="E1912" t="n">
        <v>27032.5566</v>
      </c>
      <c r="F1912" t="n">
        <v>0.7975</v>
      </c>
      <c r="G1912" t="n">
        <v>0</v>
      </c>
      <c r="H1912" t="n">
        <v>2.155846</v>
      </c>
      <c r="I1912" t="n">
        <v>2.114487</v>
      </c>
      <c r="J1912" t="n">
        <v>0.041359</v>
      </c>
      <c r="K1912" s="4">
        <f>IFERROR(J1912/I1912,"")</f>
        <v/>
      </c>
      <c r="L1912" s="4">
        <f>IFERROR((D1912-E1912)/E1912,"")</f>
        <v/>
      </c>
      <c r="M1912" s="19">
        <f>IFERROR(F1912*G1912/10000,"")</f>
        <v/>
      </c>
    </row>
    <row r="1913">
      <c r="A1913" t="inlineStr">
        <is>
          <t>2026-10-30</t>
        </is>
      </c>
      <c r="B1913" t="inlineStr">
        <is>
          <t>159073</t>
        </is>
      </c>
      <c r="C1913" t="inlineStr">
        <is>
          <t>粮食ETF汇添富</t>
        </is>
      </c>
      <c r="D1913" t="n">
        <v>6017.3864</v>
      </c>
      <c r="E1913" t="n">
        <v>6117.3864</v>
      </c>
      <c r="F1913" t="n">
        <v>0.9072</v>
      </c>
      <c r="G1913" t="n">
        <v>-100</v>
      </c>
      <c r="H1913" t="n">
        <v>0.545897</v>
      </c>
      <c r="I1913" t="n">
        <v>0.5569269999999999</v>
      </c>
      <c r="J1913" t="n">
        <v>-0.01103</v>
      </c>
      <c r="K1913" s="4">
        <f>IFERROR(J1913/I1913,"")</f>
        <v/>
      </c>
      <c r="L1913" s="4">
        <f>IFERROR((D1913-E1913)/E1913,"")</f>
        <v/>
      </c>
      <c r="M1913" s="19">
        <f>IFERROR(F1913*G1913/10000,"")</f>
        <v/>
      </c>
    </row>
    <row r="1914"/>
    <row r="1915">
      <c r="A1915" t="inlineStr">
        <is>
          <t>2026-10-30</t>
        </is>
      </c>
      <c r="B1915" t="inlineStr">
        <is>
          <t>159082</t>
        </is>
      </c>
      <c r="C1915" t="inlineStr">
        <is>
          <t>化工ETF华夏</t>
        </is>
      </c>
      <c r="D1915" t="n">
        <v>7253.1212</v>
      </c>
      <c r="E1915" t="n">
        <v>7253.1212</v>
      </c>
      <c r="F1915" t="n">
        <v>0.8463000000000001</v>
      </c>
      <c r="G1915" t="n">
        <v>0</v>
      </c>
      <c r="H1915" t="n">
        <v>0.613832</v>
      </c>
      <c r="I1915" t="n">
        <v>0.60948</v>
      </c>
      <c r="J1915" t="n">
        <v>0.004352</v>
      </c>
      <c r="K1915" s="4">
        <f>IFERROR(J1915/I1915,"")</f>
        <v/>
      </c>
      <c r="L1915" s="4">
        <f>IFERROR((D1915-E1915)/E1915,"")</f>
        <v/>
      </c>
      <c r="M1915" s="19">
        <f>IFERROR(F1915*G1915/10000,"")</f>
        <v/>
      </c>
    </row>
    <row r="1916"/>
    <row r="1917">
      <c r="A1917" t="inlineStr">
        <is>
          <t>2026-10-30</t>
        </is>
      </c>
      <c r="B1917" t="inlineStr">
        <is>
          <t>158005</t>
        </is>
      </c>
      <c r="C1917" t="inlineStr">
        <is>
          <t>工程机械ETF博时</t>
        </is>
      </c>
      <c r="D1917" t="n">
        <v>10706.1376</v>
      </c>
      <c r="E1917" t="n">
        <v>10706.1376</v>
      </c>
      <c r="F1917" t="n">
        <v>0.879</v>
      </c>
      <c r="G1917" t="n">
        <v>0</v>
      </c>
      <c r="H1917" t="n">
        <v>0.941069</v>
      </c>
      <c r="I1917" t="n">
        <v>0.9280080000000001</v>
      </c>
      <c r="J1917" t="n">
        <v>0.013061</v>
      </c>
      <c r="K1917" s="4">
        <f>IFERROR(J1917/I1917,"")</f>
        <v/>
      </c>
      <c r="L1917" s="4">
        <f>IFERROR((D1917-E1917)/E1917,"")</f>
        <v/>
      </c>
      <c r="M1917" s="19">
        <f>IFERROR(F1917*G1917/10000,"")</f>
        <v/>
      </c>
    </row>
    <row r="1918">
      <c r="A1918" t="inlineStr">
        <is>
          <t>2026-10-30</t>
        </is>
      </c>
      <c r="B1918" t="inlineStr">
        <is>
          <t>159043</t>
        </is>
      </c>
      <c r="C1918" t="inlineStr">
        <is>
          <t>食品ETF华安</t>
        </is>
      </c>
      <c r="D1918" t="n">
        <v>6277.0695</v>
      </c>
      <c r="E1918" t="n">
        <v>6277.0695</v>
      </c>
      <c r="F1918" t="n">
        <v>0.9554</v>
      </c>
      <c r="G1918" t="n">
        <v>0</v>
      </c>
      <c r="H1918" t="n">
        <v>0.599711</v>
      </c>
      <c r="I1918" t="n">
        <v>0.60059</v>
      </c>
      <c r="J1918" t="n">
        <v>-0.000879</v>
      </c>
      <c r="K1918" s="4">
        <f>IFERROR(J1918/I1918,"")</f>
        <v/>
      </c>
      <c r="L1918" s="4">
        <f>IFERROR((D1918-E1918)/E1918,"")</f>
        <v/>
      </c>
      <c r="M1918" s="19">
        <f>IFERROR(F1918*G1918/10000,"")</f>
        <v/>
      </c>
    </row>
    <row r="1919"/>
    <row r="1920"/>
    <row r="1921">
      <c r="A1921" t="inlineStr">
        <is>
          <t>2026-10-30</t>
        </is>
      </c>
      <c r="B1921" t="inlineStr">
        <is>
          <t>158000</t>
        </is>
      </c>
      <c r="C1921" t="inlineStr">
        <is>
          <t>港股通金融ETF鹏华</t>
        </is>
      </c>
      <c r="D1921" t="n">
        <v>3192.5835</v>
      </c>
      <c r="E1921" t="n">
        <v>3292.5835</v>
      </c>
      <c r="F1921" t="n">
        <v>1.005</v>
      </c>
      <c r="G1921" t="n">
        <v>-100</v>
      </c>
      <c r="H1921" t="n">
        <v>0.320855</v>
      </c>
      <c r="I1921" t="n">
        <v>0.332024</v>
      </c>
      <c r="J1921" t="n">
        <v>-0.011169</v>
      </c>
      <c r="K1921" s="4">
        <f>IFERROR(J1921/I1921,"")</f>
        <v/>
      </c>
      <c r="L1921" s="4">
        <f>IFERROR((D1921-E1921)/E1921,"")</f>
        <v/>
      </c>
      <c r="M1921" s="19">
        <f>IFERROR(F1921*G1921/10000,"")</f>
        <v/>
      </c>
    </row>
    <row r="1922"/>
    <row r="1923">
      <c r="A1923" t="inlineStr">
        <is>
          <t>2026-10-30</t>
        </is>
      </c>
      <c r="B1923" t="inlineStr">
        <is>
          <t>158001</t>
        </is>
      </c>
      <c r="C1923" t="inlineStr">
        <is>
          <t>价值ETF嘉实</t>
        </is>
      </c>
      <c r="D1923" t="n">
        <v>13739.2624</v>
      </c>
      <c r="E1923" t="n">
        <v>13739.2624</v>
      </c>
      <c r="F1923" t="n">
        <v>0.969</v>
      </c>
      <c r="G1923" t="n">
        <v>0</v>
      </c>
      <c r="H1923" t="n">
        <v>1.331335</v>
      </c>
      <c r="I1923" t="n">
        <v>1.330648</v>
      </c>
      <c r="J1923" t="n">
        <v>0.000687</v>
      </c>
      <c r="K1923" s="4">
        <f>IFERROR(J1923/I1923,"")</f>
        <v/>
      </c>
      <c r="L1923" s="4">
        <f>IFERROR((D1923-E1923)/E1923,"")</f>
        <v/>
      </c>
      <c r="M1923" s="19">
        <f>IFERROR(F1923*G1923/10000,"")</f>
        <v/>
      </c>
    </row>
    <row r="1924">
      <c r="A1924" t="inlineStr">
        <is>
          <t>2026-10-30</t>
        </is>
      </c>
      <c r="B1924" t="inlineStr">
        <is>
          <t>158008</t>
        </is>
      </c>
      <c r="C1924" t="inlineStr">
        <is>
          <t>储能电池ETF华夏</t>
        </is>
      </c>
      <c r="D1924" t="n">
        <v>23241.3126</v>
      </c>
      <c r="E1924" t="n">
        <v>23241.3126</v>
      </c>
      <c r="F1924" t="n">
        <v>0.7734</v>
      </c>
      <c r="G1924" t="n">
        <v>0</v>
      </c>
      <c r="H1924" t="n">
        <v>1.797483</v>
      </c>
      <c r="I1924" t="n">
        <v>1.767037</v>
      </c>
      <c r="J1924" t="n">
        <v>0.030446</v>
      </c>
      <c r="K1924" s="4">
        <f>IFERROR(J1924/I1924,"")</f>
        <v/>
      </c>
      <c r="L1924" s="4">
        <f>IFERROR((D1924-E1924)/E1924,"")</f>
        <v/>
      </c>
      <c r="M1924" s="19">
        <f>IFERROR(F1924*G1924/10000,"")</f>
        <v/>
      </c>
    </row>
    <row r="1925">
      <c r="A1925" t="inlineStr">
        <is>
          <t>2026-10-30</t>
        </is>
      </c>
      <c r="B1925" t="inlineStr">
        <is>
          <t>158010</t>
        </is>
      </c>
      <c r="C1925" t="inlineStr">
        <is>
          <t>医疗ETF嘉实</t>
        </is>
      </c>
      <c r="D1925" t="n">
        <v>31921.3319</v>
      </c>
      <c r="E1925" t="n">
        <v>32021.3319</v>
      </c>
      <c r="F1925" t="n">
        <v>0.9571</v>
      </c>
      <c r="G1925" t="n">
        <v>-100</v>
      </c>
      <c r="H1925" t="n">
        <v>3.055191</v>
      </c>
      <c r="I1925" t="n">
        <v>3.033061</v>
      </c>
      <c r="J1925" t="n">
        <v>0.02213</v>
      </c>
      <c r="K1925" s="4">
        <f>IFERROR(J1925/I1925,"")</f>
        <v/>
      </c>
      <c r="L1925" s="4">
        <f>IFERROR((D1925-E1925)/E1925,"")</f>
        <v/>
      </c>
      <c r="M1925" s="19">
        <f>IFERROR(F1925*G1925/10000,"")</f>
        <v/>
      </c>
    </row>
    <row r="1926">
      <c r="A1926" t="inlineStr">
        <is>
          <t>2026-10-30</t>
        </is>
      </c>
      <c r="B1926" t="inlineStr">
        <is>
          <t>158017</t>
        </is>
      </c>
      <c r="C1926" t="inlineStr">
        <is>
          <t>化工ETF易方达</t>
        </is>
      </c>
      <c r="D1926" t="n">
        <v>6059.4582</v>
      </c>
      <c r="E1926" t="n">
        <v>6059.4582</v>
      </c>
      <c r="F1926" t="n">
        <v>0.8573</v>
      </c>
      <c r="G1926" t="n">
        <v>0</v>
      </c>
      <c r="H1926" t="n">
        <v>0.519477</v>
      </c>
      <c r="I1926" t="n">
        <v>0.515781</v>
      </c>
      <c r="J1926" t="n">
        <v>0.003696</v>
      </c>
      <c r="K1926" s="4">
        <f>IFERROR(J1926/I1926,"")</f>
        <v/>
      </c>
      <c r="L1926" s="4">
        <f>IFERROR((D1926-E1926)/E1926,"")</f>
        <v/>
      </c>
      <c r="M1926" s="19">
        <f>IFERROR(F1926*G1926/10000,"")</f>
        <v/>
      </c>
    </row>
    <row r="1927">
      <c r="A1927" t="inlineStr">
        <is>
          <t>2026-10-30</t>
        </is>
      </c>
      <c r="B1927" t="inlineStr">
        <is>
          <t>158019</t>
        </is>
      </c>
      <c r="C1927" t="inlineStr">
        <is>
          <t>电池ETF永赢</t>
        </is>
      </c>
      <c r="D1927" t="n">
        <v>24928.1913</v>
      </c>
      <c r="E1927" t="n">
        <v>24828.1913</v>
      </c>
      <c r="F1927" t="n">
        <v>0.7748</v>
      </c>
      <c r="G1927" t="n">
        <v>100</v>
      </c>
      <c r="H1927" t="n">
        <v>1.931436</v>
      </c>
      <c r="I1927" t="n">
        <v>1.894888</v>
      </c>
      <c r="J1927" t="n">
        <v>0.036548</v>
      </c>
      <c r="K1927" s="4">
        <f>IFERROR(J1927/I1927,"")</f>
        <v/>
      </c>
      <c r="L1927" s="4">
        <f>IFERROR((D1927-E1927)/E1927,"")</f>
        <v/>
      </c>
      <c r="M1927" s="19">
        <f>IFERROR(F1927*G1927/10000,"")</f>
        <v/>
      </c>
    </row>
    <row r="1928">
      <c r="A1928" t="inlineStr">
        <is>
          <t>2026-10-30</t>
        </is>
      </c>
      <c r="B1928" t="inlineStr">
        <is>
          <t>159096</t>
        </is>
      </c>
      <c r="C1928" t="inlineStr">
        <is>
          <t>价值ETF华夏</t>
        </is>
      </c>
      <c r="D1928" t="n">
        <v>15963.1305</v>
      </c>
      <c r="E1928" t="n">
        <v>15963.1305</v>
      </c>
      <c r="F1928" t="n">
        <v>0.965</v>
      </c>
      <c r="G1928" t="n">
        <v>0</v>
      </c>
      <c r="H1928" t="n">
        <v>1.540442</v>
      </c>
      <c r="I1928" t="n">
        <v>1.539644</v>
      </c>
      <c r="J1928" t="n">
        <v>0.000798</v>
      </c>
      <c r="K1928" s="4">
        <f>IFERROR(J1928/I1928,"")</f>
        <v/>
      </c>
      <c r="L1928" s="4">
        <f>IFERROR((D1928-E1928)/E1928,"")</f>
        <v/>
      </c>
      <c r="M1928" s="19">
        <f>IFERROR(F1928*G1928/10000,"")</f>
        <v/>
      </c>
    </row>
    <row r="1929"/>
    <row r="1930"/>
    <row r="1931"/>
    <row r="1932">
      <c r="A1932" t="inlineStr">
        <is>
          <t>2026-10-30</t>
        </is>
      </c>
      <c r="B1932" t="inlineStr">
        <is>
          <t>158027</t>
        </is>
      </c>
      <c r="C1932" t="inlineStr">
        <is>
          <t>工业互联网ETF易方达</t>
        </is>
      </c>
      <c r="D1932" t="n">
        <v>16214.3045</v>
      </c>
      <c r="E1932" t="n">
        <v>16214.3045</v>
      </c>
      <c r="F1932" t="n">
        <v>0.8391999999999999</v>
      </c>
      <c r="G1932" t="n">
        <v>0</v>
      </c>
      <c r="H1932" t="n">
        <v>1.360704</v>
      </c>
      <c r="I1932" t="n">
        <v>1.323898</v>
      </c>
      <c r="J1932" t="n">
        <v>0.036806</v>
      </c>
      <c r="K1932" s="4">
        <f>IFERROR(J1932/I1932,"")</f>
        <v/>
      </c>
      <c r="L1932" s="4">
        <f>IFERROR((D1932-E1932)/E1932,"")</f>
        <v/>
      </c>
      <c r="M1932" s="19">
        <f>IFERROR(F1932*G1932/10000,"")</f>
        <v/>
      </c>
    </row>
    <row r="1933"/>
    <row r="1934"/>
    <row r="1935">
      <c r="A1935" t="inlineStr">
        <is>
          <t>2026-10-30</t>
        </is>
      </c>
      <c r="B1935" t="inlineStr">
        <is>
          <t>158011</t>
        </is>
      </c>
      <c r="C1935" t="inlineStr">
        <is>
          <t>创业板软件ETF国泰</t>
        </is>
      </c>
      <c r="D1935" t="n">
        <v>5384.2654</v>
      </c>
      <c r="E1935" t="n">
        <v>5234.2654</v>
      </c>
      <c r="F1935" t="n">
        <v>0.9204</v>
      </c>
      <c r="G1935" t="n">
        <v>150</v>
      </c>
      <c r="H1935" t="n">
        <v>0.495568</v>
      </c>
      <c r="I1935" t="n">
        <v>0.475585</v>
      </c>
      <c r="J1935" t="n">
        <v>0.019983</v>
      </c>
      <c r="K1935" s="4">
        <f>IFERROR(J1935/I1935,"")</f>
        <v/>
      </c>
      <c r="L1935" s="4">
        <f>IFERROR((D1935-E1935)/E1935,"")</f>
        <v/>
      </c>
      <c r="M1935" s="19">
        <f>IFERROR(F1935*G1935/10000,"")</f>
        <v/>
      </c>
    </row>
    <row r="1936"/>
    <row r="1937">
      <c r="A1937" t="inlineStr">
        <is>
          <t>2026-10-30</t>
        </is>
      </c>
      <c r="B1937" t="inlineStr">
        <is>
          <t>158013</t>
        </is>
      </c>
      <c r="C1937" t="inlineStr">
        <is>
          <t>航空航天ETF易方达</t>
        </is>
      </c>
      <c r="D1937" t="n">
        <v>5634.5203</v>
      </c>
      <c r="E1937" t="n">
        <v>5534.5203</v>
      </c>
      <c r="F1937" t="n">
        <v>0.9172</v>
      </c>
      <c r="G1937" t="n">
        <v>100</v>
      </c>
      <c r="H1937" t="n">
        <v>0.516798</v>
      </c>
      <c r="I1937" t="n">
        <v>0.500265</v>
      </c>
      <c r="J1937" t="n">
        <v>0.016533</v>
      </c>
      <c r="K1937" s="4">
        <f>IFERROR(J1937/I1937,"")</f>
        <v/>
      </c>
      <c r="L1937" s="4">
        <f>IFERROR((D1937-E1937)/E1937,"")</f>
        <v/>
      </c>
      <c r="M1937" s="19">
        <f>IFERROR(F1937*G1937/10000,"")</f>
        <v/>
      </c>
    </row>
    <row r="1938">
      <c r="A1938" t="inlineStr">
        <is>
          <t>2026-10-30</t>
        </is>
      </c>
      <c r="B1938" t="inlineStr">
        <is>
          <t>158023</t>
        </is>
      </c>
      <c r="C1938" t="inlineStr">
        <is>
          <t>红利低波ETF万家</t>
        </is>
      </c>
      <c r="D1938" t="n">
        <v>38008.0789</v>
      </c>
      <c r="E1938" t="n">
        <v>38408.0789</v>
      </c>
      <c r="F1938" t="n">
        <v>1.0167</v>
      </c>
      <c r="G1938" t="n">
        <v>-400</v>
      </c>
      <c r="H1938" t="n">
        <v>3.864281</v>
      </c>
      <c r="I1938" t="n">
        <v>3.909558</v>
      </c>
      <c r="J1938" t="n">
        <v>-0.045277</v>
      </c>
      <c r="K1938" s="4">
        <f>IFERROR(J1938/I1938,"")</f>
        <v/>
      </c>
      <c r="L1938" s="4">
        <f>IFERROR((D1938-E1938)/E1938,"")</f>
        <v/>
      </c>
      <c r="M1938" s="19">
        <f>IFERROR(F1938*G1938/10000,"")</f>
        <v/>
      </c>
    </row>
    <row r="1939"/>
    <row r="1940"/>
    <row r="1941"/>
    <row r="1942"/>
    <row r="1943">
      <c r="A1943" t="inlineStr">
        <is>
          <t>2026-10-30</t>
        </is>
      </c>
      <c r="B1943" t="inlineStr">
        <is>
          <t>158028</t>
        </is>
      </c>
      <c r="C1943" t="inlineStr">
        <is>
          <t>稀有金属ETF招商</t>
        </is>
      </c>
      <c r="D1943" t="n">
        <v>19168.7769</v>
      </c>
      <c r="E1943" t="n">
        <v>19218.7769</v>
      </c>
      <c r="F1943" t="n">
        <v>0.7955</v>
      </c>
      <c r="G1943" t="n">
        <v>-50</v>
      </c>
      <c r="H1943" t="n">
        <v>1.524876</v>
      </c>
      <c r="I1943" t="n">
        <v>1.511749</v>
      </c>
      <c r="J1943" t="n">
        <v>0.013127</v>
      </c>
      <c r="K1943" s="4">
        <f>IFERROR(J1943/I1943,"")</f>
        <v/>
      </c>
      <c r="L1943" s="4">
        <f>IFERROR((D1943-E1943)/E1943,"")</f>
        <v/>
      </c>
      <c r="M1943" s="19">
        <f>IFERROR(F1943*G1943/10000,"")</f>
        <v/>
      </c>
    </row>
    <row r="1944"/>
    <row r="1945">
      <c r="A1945" t="inlineStr">
        <is>
          <t>2026-10-30</t>
        </is>
      </c>
      <c r="B1945" t="inlineStr">
        <is>
          <t>158032</t>
        </is>
      </c>
      <c r="C1945" t="inlineStr">
        <is>
          <t>化工ETF景顺</t>
        </is>
      </c>
      <c r="D1945" t="n">
        <v>18833.5501</v>
      </c>
      <c r="E1945" t="n">
        <v>19083.5501</v>
      </c>
      <c r="F1945" t="n">
        <v>0.8524</v>
      </c>
      <c r="G1945" t="n">
        <v>-250</v>
      </c>
      <c r="H1945" t="n">
        <v>1.605372</v>
      </c>
      <c r="I1945" t="n">
        <v>1.615232</v>
      </c>
      <c r="J1945" t="n">
        <v>-0.009860000000000001</v>
      </c>
      <c r="K1945" s="4">
        <f>IFERROR(J1945/I1945,"")</f>
        <v/>
      </c>
      <c r="L1945" s="4">
        <f>IFERROR((D1945-E1945)/E1945,"")</f>
        <v/>
      </c>
      <c r="M1945" s="19">
        <f>IFERROR(F1945*G1945/10000,"")</f>
        <v/>
      </c>
    </row>
    <row r="1946">
      <c r="A1946" t="inlineStr">
        <is>
          <t>2026-10-30</t>
        </is>
      </c>
      <c r="B1946" t="inlineStr">
        <is>
          <t>159025</t>
        </is>
      </c>
      <c r="C1946" t="inlineStr">
        <is>
          <t>家电ETF华安</t>
        </is>
      </c>
      <c r="D1946" t="n">
        <v>4793.5046</v>
      </c>
      <c r="E1946" t="n">
        <v>4993.5046</v>
      </c>
      <c r="F1946" t="n">
        <v>0.9361</v>
      </c>
      <c r="G1946" t="n">
        <v>-200</v>
      </c>
      <c r="H1946" t="n">
        <v>0.44872</v>
      </c>
      <c r="I1946" t="n">
        <v>0.459452</v>
      </c>
      <c r="J1946" t="n">
        <v>-0.010732</v>
      </c>
      <c r="K1946" s="4">
        <f>IFERROR(J1946/I1946,"")</f>
        <v/>
      </c>
      <c r="L1946" s="4">
        <f>IFERROR((D1946-E1946)/E1946,"")</f>
        <v/>
      </c>
      <c r="M1946" s="19">
        <f>IFERROR(F1946*G1946/10000,"")</f>
        <v/>
      </c>
    </row>
    <row r="1947"/>
    <row r="1948"/>
    <row r="1949">
      <c r="A1949" t="inlineStr">
        <is>
          <t>2026-10-30</t>
        </is>
      </c>
      <c r="B1949" t="inlineStr">
        <is>
          <t>158038</t>
        </is>
      </c>
      <c r="C1949" t="inlineStr">
        <is>
          <t>粮食ETF富国</t>
        </is>
      </c>
      <c r="D1949" t="n">
        <v>10706.002</v>
      </c>
      <c r="E1949" t="n">
        <v>10906.002</v>
      </c>
      <c r="F1949" t="n">
        <v>0.8568</v>
      </c>
      <c r="G1949" t="n">
        <v>-200</v>
      </c>
      <c r="H1949" t="n">
        <v>0.91729</v>
      </c>
      <c r="I1949" t="n">
        <v>0.937589</v>
      </c>
      <c r="J1949" t="n">
        <v>-0.020299</v>
      </c>
      <c r="K1949" s="4">
        <f>IFERROR(J1949/I1949,"")</f>
        <v/>
      </c>
      <c r="L1949" s="4">
        <f>IFERROR((D1949-E1949)/E1949,"")</f>
        <v/>
      </c>
      <c r="M1949" s="19">
        <f>IFERROR(F1949*G1949/10000,"")</f>
        <v/>
      </c>
    </row>
    <row r="1950">
      <c r="A1950" t="inlineStr">
        <is>
          <t>2026-10-30</t>
        </is>
      </c>
      <c r="B1950" t="inlineStr">
        <is>
          <t>158061</t>
        </is>
      </c>
      <c r="C1950" t="inlineStr">
        <is>
          <t>创业板算力ETF天弘</t>
        </is>
      </c>
      <c r="D1950" t="n">
        <v>39206.6414</v>
      </c>
      <c r="E1950" t="n">
        <v>39006.6414</v>
      </c>
      <c r="F1950" t="n">
        <v>0.7979000000000001</v>
      </c>
      <c r="G1950" t="n">
        <v>200</v>
      </c>
      <c r="H1950" t="n">
        <v>3.128298</v>
      </c>
      <c r="I1950" t="n">
        <v>3.004292</v>
      </c>
      <c r="J1950" t="n">
        <v>0.124006</v>
      </c>
      <c r="K1950" s="4">
        <f>IFERROR(J1950/I1950,"")</f>
        <v/>
      </c>
      <c r="L1950" s="4">
        <f>IFERROR((D1950-E1950)/E1950,"")</f>
        <v/>
      </c>
      <c r="M1950" s="19">
        <f>IFERROR(F1950*G1950/10000,"")</f>
        <v/>
      </c>
    </row>
    <row r="1951"/>
    <row r="1952">
      <c r="A1952" t="inlineStr">
        <is>
          <t>2026-10-30</t>
        </is>
      </c>
      <c r="B1952" t="inlineStr">
        <is>
          <t>158041</t>
        </is>
      </c>
      <c r="C1952" t="inlineStr">
        <is>
          <t>创业板算力ETF华夏</t>
        </is>
      </c>
      <c r="D1952" t="n">
        <v>120239.2508</v>
      </c>
      <c r="E1952" t="n">
        <v>118439.2508</v>
      </c>
      <c r="F1952" t="n">
        <v>0.7955</v>
      </c>
      <c r="G1952" t="n">
        <v>1800</v>
      </c>
      <c r="H1952" t="n">
        <v>9.565032</v>
      </c>
      <c r="I1952" t="n">
        <v>9.092580999999999</v>
      </c>
      <c r="J1952" t="n">
        <v>0.472451</v>
      </c>
      <c r="K1952" s="4">
        <f>IFERROR(J1952/I1952,"")</f>
        <v/>
      </c>
      <c r="L1952" s="4">
        <f>IFERROR((D1952-E1952)/E1952,"")</f>
        <v/>
      </c>
      <c r="M1952" s="19">
        <f>IFERROR(F1952*G1952/10000,"")</f>
        <v/>
      </c>
    </row>
    <row r="1953"/>
    <row r="1954">
      <c r="A1954" t="inlineStr">
        <is>
          <t>2026-10-30</t>
        </is>
      </c>
      <c r="B1954" t="inlineStr">
        <is>
          <t>158022</t>
        </is>
      </c>
      <c r="C1954" t="inlineStr">
        <is>
          <t>创业板综增强ETF国联</t>
        </is>
      </c>
      <c r="D1954" t="n">
        <v>29391.5335</v>
      </c>
      <c r="E1954" t="n">
        <v>29391.5335</v>
      </c>
      <c r="F1954" t="n">
        <v>0.8418</v>
      </c>
      <c r="G1954" t="n">
        <v>0</v>
      </c>
      <c r="H1954" t="n">
        <v>2.474179</v>
      </c>
      <c r="I1954" t="n">
        <v>2.393353</v>
      </c>
      <c r="J1954" t="n">
        <v>0.080826</v>
      </c>
      <c r="K1954" s="4">
        <f>IFERROR(J1954/I1954,"")</f>
        <v/>
      </c>
      <c r="L1954" s="4">
        <f>IFERROR((D1954-E1954)/E1954,"")</f>
        <v/>
      </c>
      <c r="M1954" s="19">
        <f>IFERROR(F1954*G1954/10000,"")</f>
        <v/>
      </c>
    </row>
    <row r="1955">
      <c r="A1955" t="inlineStr">
        <is>
          <t>2026-10-30</t>
        </is>
      </c>
      <c r="B1955" t="inlineStr">
        <is>
          <t>158050</t>
        </is>
      </c>
      <c r="C1955" t="inlineStr">
        <is>
          <t>创业板算力ETF易方达</t>
        </is>
      </c>
      <c r="D1955" t="n">
        <v>200844.7437</v>
      </c>
      <c r="E1955" t="n">
        <v>197844.7437</v>
      </c>
      <c r="F1955" t="n">
        <v>0.7707000000000001</v>
      </c>
      <c r="G1955" t="n">
        <v>3000</v>
      </c>
      <c r="H1955" t="n">
        <v>15.479104</v>
      </c>
      <c r="I1955" t="n">
        <v>14.711735</v>
      </c>
      <c r="J1955" t="n">
        <v>0.767369</v>
      </c>
      <c r="K1955" s="4">
        <f>IFERROR(J1955/I1955,"")</f>
        <v/>
      </c>
      <c r="L1955" s="4">
        <f>IFERROR((D1955-E1955)/E1955,"")</f>
        <v/>
      </c>
      <c r="M1955" s="19">
        <f>IFERROR(F1955*G1955/10000,"")</f>
        <v/>
      </c>
    </row>
    <row r="1956"/>
    <row r="1957"/>
    <row r="1958">
      <c r="A1958" t="inlineStr">
        <is>
          <t>2026-10-30</t>
        </is>
      </c>
      <c r="B1958" t="inlineStr">
        <is>
          <t>158031</t>
        </is>
      </c>
      <c r="C1958" t="inlineStr">
        <is>
          <t>创业板人工智能ETF易方达</t>
        </is>
      </c>
      <c r="D1958" t="n">
        <v>12597.0243</v>
      </c>
      <c r="E1958" t="n">
        <v>11997.0243</v>
      </c>
      <c r="F1958" t="n">
        <v>0.7829</v>
      </c>
      <c r="G1958" t="n">
        <v>600</v>
      </c>
      <c r="H1958" t="n">
        <v>0.986221</v>
      </c>
      <c r="I1958" t="n">
        <v>0.896418</v>
      </c>
      <c r="J1958" t="n">
        <v>0.08980299999999999</v>
      </c>
      <c r="K1958" s="4">
        <f>IFERROR(J1958/I1958,"")</f>
        <v/>
      </c>
      <c r="L1958" s="4">
        <f>IFERROR((D1958-E1958)/E1958,"")</f>
        <v/>
      </c>
      <c r="M1958" s="19">
        <f>IFERROR(F1958*G1958/10000,"")</f>
        <v/>
      </c>
    </row>
    <row r="1959">
      <c r="A1959" t="inlineStr">
        <is>
          <t>2026-10-30</t>
        </is>
      </c>
      <c r="B1959" t="inlineStr">
        <is>
          <t>158049</t>
        </is>
      </c>
      <c r="C1959" t="inlineStr">
        <is>
          <t>创业板算力ETF广发</t>
        </is>
      </c>
      <c r="D1959" t="n">
        <v>179450.7557</v>
      </c>
      <c r="E1959" t="n">
        <v>176750.7557</v>
      </c>
      <c r="F1959" t="n">
        <v>0.7586000000000001</v>
      </c>
      <c r="G1959" t="n">
        <v>2700</v>
      </c>
      <c r="H1959" t="n">
        <v>13.613134</v>
      </c>
      <c r="I1959" t="n">
        <v>12.936388</v>
      </c>
      <c r="J1959" t="n">
        <v>0.676746</v>
      </c>
      <c r="K1959" s="4">
        <f>IFERROR(J1959/I1959,"")</f>
        <v/>
      </c>
      <c r="L1959" s="4">
        <f>IFERROR((D1959-E1959)/E1959,"")</f>
        <v/>
      </c>
      <c r="M1959" s="19">
        <f>IFERROR(F1959*G1959/10000,"")</f>
        <v/>
      </c>
    </row>
    <row r="1960"/>
    <row r="1961">
      <c r="A1961" t="inlineStr">
        <is>
          <t>2026-10-30</t>
        </is>
      </c>
      <c r="B1961" t="inlineStr">
        <is>
          <t>158026</t>
        </is>
      </c>
      <c r="C1961" t="inlineStr">
        <is>
          <t>大盘成长ETF华夏</t>
        </is>
      </c>
      <c r="D1961" t="n">
        <v>9866.652599999999</v>
      </c>
      <c r="E1961" t="n">
        <v>9466.652599999999</v>
      </c>
      <c r="F1961" t="n">
        <v>0.8465</v>
      </c>
      <c r="G1961" t="n">
        <v>400</v>
      </c>
      <c r="H1961" t="n">
        <v>0.835212</v>
      </c>
      <c r="I1961" t="n">
        <v>0.7865839999999999</v>
      </c>
      <c r="J1961" t="n">
        <v>0.048628</v>
      </c>
      <c r="K1961" s="4">
        <f>IFERROR(J1961/I1961,"")</f>
        <v/>
      </c>
      <c r="L1961" s="4">
        <f>IFERROR((D1961-E1961)/E1961,"")</f>
        <v/>
      </c>
      <c r="M1961" s="19">
        <f>IFERROR(F1961*G1961/10000,"")</f>
        <v/>
      </c>
    </row>
    <row r="1962">
      <c r="A1962" t="inlineStr">
        <is>
          <t>2026-10-30</t>
        </is>
      </c>
      <c r="B1962" t="inlineStr">
        <is>
          <t>158053</t>
        </is>
      </c>
      <c r="C1962" t="inlineStr">
        <is>
          <t>创业板算力ETF大成</t>
        </is>
      </c>
      <c r="D1962" t="n">
        <v>36036.8882</v>
      </c>
      <c r="E1962" t="n">
        <v>34836.8882</v>
      </c>
      <c r="F1962" t="n">
        <v>0.7522</v>
      </c>
      <c r="G1962" t="n">
        <v>1200</v>
      </c>
      <c r="H1962" t="n">
        <v>2.710695</v>
      </c>
      <c r="I1962" t="n">
        <v>2.529158</v>
      </c>
      <c r="J1962" t="n">
        <v>0.181537</v>
      </c>
      <c r="K1962" s="4">
        <f>IFERROR(J1962/I1962,"")</f>
        <v/>
      </c>
      <c r="L1962" s="4">
        <f>IFERROR((D1962-E1962)/E1962,"")</f>
        <v/>
      </c>
      <c r="M1962" s="19">
        <f>IFERROR(F1962*G1962/10000,"")</f>
        <v/>
      </c>
    </row>
    <row r="1963">
      <c r="A1963" t="inlineStr">
        <is>
          <t>2026-10-30</t>
        </is>
      </c>
      <c r="B1963" t="inlineStr">
        <is>
          <t>158057</t>
        </is>
      </c>
      <c r="C1963" t="inlineStr">
        <is>
          <t>创业板算力ETF鹏华</t>
        </is>
      </c>
      <c r="D1963" t="n">
        <v>38407.3305</v>
      </c>
      <c r="E1963" t="n">
        <v>38607.3305</v>
      </c>
      <c r="F1963" t="n">
        <v>0.7572</v>
      </c>
      <c r="G1963" t="n">
        <v>-200</v>
      </c>
      <c r="H1963" t="n">
        <v>2.908203</v>
      </c>
      <c r="I1963" t="n">
        <v>2.822196</v>
      </c>
      <c r="J1963" t="n">
        <v>0.086007</v>
      </c>
      <c r="K1963" s="4">
        <f>IFERROR(J1963/I1963,"")</f>
        <v/>
      </c>
      <c r="L1963" s="4">
        <f>IFERROR((D1963-E1963)/E1963,"")</f>
        <v/>
      </c>
      <c r="M1963" s="19">
        <f>IFERROR(F1963*G1963/10000,"")</f>
        <v/>
      </c>
    </row>
    <row r="1964"/>
    <row r="1965">
      <c r="A1965" t="inlineStr">
        <is>
          <t>2026-10-30</t>
        </is>
      </c>
      <c r="B1965" t="inlineStr">
        <is>
          <t>158042</t>
        </is>
      </c>
      <c r="C1965" t="inlineStr">
        <is>
          <t>恒生科技ETF富国</t>
        </is>
      </c>
      <c r="D1965" t="n">
        <v>18528.1505</v>
      </c>
      <c r="E1965" t="n">
        <v>18528.1505</v>
      </c>
      <c r="F1965" t="n">
        <v>0.8771</v>
      </c>
      <c r="G1965" t="n">
        <v>0</v>
      </c>
      <c r="H1965" t="n">
        <v>1.625104</v>
      </c>
      <c r="I1965" t="n">
        <v>1.60287</v>
      </c>
      <c r="J1965" t="n">
        <v>0.022234</v>
      </c>
      <c r="K1965" s="4">
        <f>IFERROR(J1965/I1965,"")</f>
        <v/>
      </c>
      <c r="L1965" s="4">
        <f>IFERROR((D1965-E1965)/E1965,"")</f>
        <v/>
      </c>
      <c r="M1965" s="19">
        <f>IFERROR(F1965*G1965/10000,"")</f>
        <v/>
      </c>
    </row>
    <row r="1966">
      <c r="A1966" t="inlineStr">
        <is>
          <t>2026-10-30</t>
        </is>
      </c>
      <c r="B1966" t="inlineStr">
        <is>
          <t>158056</t>
        </is>
      </c>
      <c r="C1966" t="inlineStr">
        <is>
          <t>创业板算力ETF嘉实</t>
        </is>
      </c>
      <c r="D1966" t="n">
        <v>28867.5147</v>
      </c>
      <c r="E1966" t="n">
        <v>27617.5147</v>
      </c>
      <c r="F1966" t="n">
        <v>0.7501</v>
      </c>
      <c r="G1966" t="n">
        <v>1250</v>
      </c>
      <c r="H1966" t="n">
        <v>2.165352</v>
      </c>
      <c r="I1966" t="n">
        <v>1.999232</v>
      </c>
      <c r="J1966" t="n">
        <v>0.16612</v>
      </c>
      <c r="K1966" s="4">
        <f>IFERROR(J1966/I1966,"")</f>
        <v/>
      </c>
      <c r="L1966" s="4">
        <f>IFERROR((D1966-E1966)/E1966,"")</f>
        <v/>
      </c>
      <c r="M1966" s="19">
        <f>IFERROR(F1966*G1966/10000,"")</f>
        <v/>
      </c>
    </row>
    <row r="1967">
      <c r="A1967" t="inlineStr">
        <is>
          <t>2026-10-30</t>
        </is>
      </c>
      <c r="B1967" t="inlineStr">
        <is>
          <t>158063</t>
        </is>
      </c>
      <c r="C1967" t="inlineStr">
        <is>
          <t>创业板算力ETF南方</t>
        </is>
      </c>
      <c r="D1967" t="n">
        <v>42542.0837</v>
      </c>
      <c r="E1967" t="n">
        <v>40542.0837</v>
      </c>
      <c r="F1967" t="n">
        <v>0.7446</v>
      </c>
      <c r="G1967" t="n">
        <v>2000</v>
      </c>
      <c r="H1967" t="n">
        <v>3.167684</v>
      </c>
      <c r="I1967" t="n">
        <v>2.912543</v>
      </c>
      <c r="J1967" t="n">
        <v>0.255141</v>
      </c>
      <c r="K1967" s="4">
        <f>IFERROR(J1967/I1967,"")</f>
        <v/>
      </c>
      <c r="L1967" s="4">
        <f>IFERROR((D1967-E1967)/E1967,"")</f>
        <v/>
      </c>
      <c r="M1967" s="19">
        <f>IFERROR(F1967*G1967/10000,"")</f>
        <v/>
      </c>
    </row>
    <row r="1968"/>
    <row r="1969">
      <c r="A1969" t="inlineStr">
        <is>
          <t>2026-10-30</t>
        </is>
      </c>
      <c r="B1969" t="inlineStr">
        <is>
          <t>158025</t>
        </is>
      </c>
      <c r="C1969" t="inlineStr">
        <is>
          <t>创业板成长ETF鹏华</t>
        </is>
      </c>
      <c r="D1969" t="n">
        <v>18208.4792</v>
      </c>
      <c r="E1969" t="n">
        <v>17408.4792</v>
      </c>
      <c r="F1969" t="n">
        <v>0.7572</v>
      </c>
      <c r="G1969" t="n">
        <v>800</v>
      </c>
      <c r="H1969" t="n">
        <v>1.378746</v>
      </c>
      <c r="I1969" t="n">
        <v>1.265596</v>
      </c>
      <c r="J1969" t="n">
        <v>0.11315</v>
      </c>
      <c r="K1969" s="4">
        <f>IFERROR(J1969/I1969,"")</f>
        <v/>
      </c>
      <c r="L1969" s="4">
        <f>IFERROR((D1969-E1969)/E1969,"")</f>
        <v/>
      </c>
      <c r="M1969" s="19">
        <f>IFERROR(F1969*G1969/10000,"")</f>
        <v/>
      </c>
    </row>
    <row r="1970"/>
    <row r="1971">
      <c r="A1971" t="inlineStr">
        <is>
          <t>2026-10-30</t>
        </is>
      </c>
      <c r="B1971" t="inlineStr">
        <is>
          <t>158039</t>
        </is>
      </c>
      <c r="C1971" t="inlineStr">
        <is>
          <t>港股通红利低波ETF广发</t>
        </is>
      </c>
      <c r="D1971" t="n">
        <v>8804.9226</v>
      </c>
      <c r="E1971" t="n">
        <v>8804.9226</v>
      </c>
      <c r="F1971" t="n">
        <v>0.9886</v>
      </c>
      <c r="G1971" t="n">
        <v>0</v>
      </c>
      <c r="H1971" t="n">
        <v>0.870455</v>
      </c>
      <c r="I1971" t="n">
        <v>0.877146</v>
      </c>
      <c r="J1971" t="n">
        <v>-0.006691</v>
      </c>
      <c r="K1971" s="4">
        <f>IFERROR(J1971/I1971,"")</f>
        <v/>
      </c>
      <c r="L1971" s="4">
        <f>IFERROR((D1971-E1971)/E1971,"")</f>
        <v/>
      </c>
      <c r="M1971" s="19">
        <f>IFERROR(F1971*G1971/10000,"")</f>
        <v/>
      </c>
    </row>
    <row r="1972"/>
    <row r="1973">
      <c r="A1973" t="inlineStr">
        <is>
          <t>2026-10-30</t>
        </is>
      </c>
      <c r="B1973" t="inlineStr">
        <is>
          <t>158059</t>
        </is>
      </c>
      <c r="C1973" t="inlineStr">
        <is>
          <t>创业板算力ETF富国</t>
        </is>
      </c>
      <c r="D1973" t="n">
        <v>25454.0631</v>
      </c>
      <c r="E1973" t="n">
        <v>25154.0631</v>
      </c>
      <c r="F1973" t="n">
        <v>0.7882</v>
      </c>
      <c r="G1973" t="n">
        <v>300</v>
      </c>
      <c r="H1973" t="n">
        <v>2.006289</v>
      </c>
      <c r="I1973" t="n">
        <v>1.912966</v>
      </c>
      <c r="J1973" t="n">
        <v>0.093323</v>
      </c>
      <c r="K1973" s="4">
        <f>IFERROR(J1973/I1973,"")</f>
        <v/>
      </c>
      <c r="L1973" s="4">
        <f>IFERROR((D1973-E1973)/E1973,"")</f>
        <v/>
      </c>
      <c r="M1973" s="19">
        <f>IFERROR(F1973*G1973/10000,"")</f>
        <v/>
      </c>
    </row>
    <row r="1974"/>
    <row r="1975"/>
    <row r="1976">
      <c r="A1976" t="inlineStr">
        <is>
          <t>2026-10-30</t>
        </is>
      </c>
      <c r="B1976" t="inlineStr">
        <is>
          <t>158030</t>
        </is>
      </c>
      <c r="C1976" t="inlineStr">
        <is>
          <t>航空航天ETF汇添富</t>
        </is>
      </c>
      <c r="D1976" t="n">
        <v>7060.3559</v>
      </c>
      <c r="E1976" t="n">
        <v>7060.3559</v>
      </c>
      <c r="F1976" t="n">
        <v>0.9633</v>
      </c>
      <c r="G1976" t="n">
        <v>0</v>
      </c>
      <c r="H1976" t="n">
        <v>0.680124</v>
      </c>
      <c r="I1976" t="n">
        <v>0.67031</v>
      </c>
      <c r="J1976" t="n">
        <v>0.009814</v>
      </c>
      <c r="K1976" s="4">
        <f>IFERROR(J1976/I1976,"")</f>
        <v/>
      </c>
      <c r="L1976" s="4">
        <f>IFERROR((D1976-E1976)/E1976,"")</f>
        <v/>
      </c>
      <c r="M1976" s="19">
        <f>IFERROR(F1976*G1976/10000,"")</f>
        <v/>
      </c>
    </row>
    <row r="1977"/>
    <row r="1978">
      <c r="A1978" t="inlineStr">
        <is>
          <t>2026-10-30</t>
        </is>
      </c>
      <c r="B1978" t="inlineStr">
        <is>
          <t>158046</t>
        </is>
      </c>
      <c r="C1978" t="inlineStr">
        <is>
          <t>卫星ETF南方</t>
        </is>
      </c>
      <c r="D1978" t="n">
        <v>11269.0032</v>
      </c>
      <c r="E1978" t="n">
        <v>11369.0032</v>
      </c>
      <c r="F1978" t="n">
        <v>0.9162</v>
      </c>
      <c r="G1978" t="n">
        <v>-100</v>
      </c>
      <c r="H1978" t="n">
        <v>1.032466</v>
      </c>
      <c r="I1978" t="n">
        <v>1.0115</v>
      </c>
      <c r="J1978" t="n">
        <v>0.020966</v>
      </c>
      <c r="K1978" s="4">
        <f>IFERROR(J1978/I1978,"")</f>
        <v/>
      </c>
      <c r="L1978" s="4">
        <f>IFERROR((D1978-E1978)/E1978,"")</f>
        <v/>
      </c>
      <c r="M1978" s="19">
        <f>IFERROR(F1978*G1978/10000,"")</f>
        <v/>
      </c>
    </row>
    <row r="1979"/>
    <row r="1980"/>
    <row r="1981">
      <c r="A1981" t="inlineStr">
        <is>
          <t>2026-10-30</t>
        </is>
      </c>
      <c r="B1981" t="inlineStr">
        <is>
          <t>158040</t>
        </is>
      </c>
      <c r="C1981" t="inlineStr">
        <is>
          <t>科创创业人工智能ETF国联安</t>
        </is>
      </c>
      <c r="D1981" t="n">
        <v>15940.1708</v>
      </c>
      <c r="E1981" t="n">
        <v>15940.1708</v>
      </c>
      <c r="F1981" t="n">
        <v>0.9393</v>
      </c>
      <c r="G1981" t="n">
        <v>0</v>
      </c>
      <c r="H1981" t="n">
        <v>1.49726</v>
      </c>
      <c r="I1981" t="n">
        <v>1.444817</v>
      </c>
      <c r="J1981" t="n">
        <v>0.052443</v>
      </c>
      <c r="K1981" s="4">
        <f>IFERROR(J1981/I1981,"")</f>
        <v/>
      </c>
      <c r="L1981" s="4">
        <f>IFERROR((D1981-E1981)/E1981,"")</f>
        <v/>
      </c>
      <c r="M1981" s="19">
        <f>IFERROR(F1981*G1981/10000,"")</f>
        <v/>
      </c>
    </row>
    <row r="1982">
      <c r="A1982" t="inlineStr">
        <is>
          <t>2026-10-30</t>
        </is>
      </c>
      <c r="B1982" t="inlineStr">
        <is>
          <t>158058</t>
        </is>
      </c>
      <c r="C1982" t="inlineStr">
        <is>
          <t>创业板金融科技ETF华泰柏瑞</t>
        </is>
      </c>
      <c r="D1982" t="n">
        <v>8485.761</v>
      </c>
      <c r="E1982" t="n">
        <v>8185.761</v>
      </c>
      <c r="F1982" t="n">
        <v>0.962</v>
      </c>
      <c r="G1982" t="n">
        <v>300</v>
      </c>
      <c r="H1982" t="n">
        <v>0.81633</v>
      </c>
      <c r="I1982" t="n">
        <v>0.781658</v>
      </c>
      <c r="J1982" t="n">
        <v>0.034672</v>
      </c>
      <c r="K1982" s="4">
        <f>IFERROR(J1982/I1982,"")</f>
        <v/>
      </c>
      <c r="L1982" s="4">
        <f>IFERROR((D1982-E1982)/E1982,"")</f>
        <v/>
      </c>
      <c r="M1982" s="19">
        <f>IFERROR(F1982*G1982/10000,"")</f>
        <v/>
      </c>
    </row>
    <row r="1983"/>
    <row r="1984">
      <c r="A1984" t="inlineStr">
        <is>
          <t>2026-10-30</t>
        </is>
      </c>
      <c r="B1984" t="inlineStr">
        <is>
          <t>158037</t>
        </is>
      </c>
      <c r="C1984" t="inlineStr">
        <is>
          <t>机器人ETF博时</t>
        </is>
      </c>
      <c r="D1984" t="n">
        <v>93489.45170000001</v>
      </c>
      <c r="E1984" t="n">
        <v>93939.45170000001</v>
      </c>
      <c r="F1984" t="n">
        <v>1.0607</v>
      </c>
      <c r="G1984" t="n">
        <v>-450</v>
      </c>
      <c r="H1984" t="n">
        <v>9.916426</v>
      </c>
      <c r="I1984" t="n">
        <v>9.571491</v>
      </c>
      <c r="J1984" t="n">
        <v>0.344935</v>
      </c>
      <c r="K1984" s="4">
        <f>IFERROR(J1984/I1984,"")</f>
        <v/>
      </c>
      <c r="L1984" s="4">
        <f>IFERROR((D1984-E1984)/E1984,"")</f>
        <v/>
      </c>
      <c r="M1984" s="19">
        <f>IFERROR(F1984*G1984/10000,"")</f>
        <v/>
      </c>
    </row>
    <row r="1985">
      <c r="A1985" t="inlineStr">
        <is>
          <t>2026-10-30</t>
        </is>
      </c>
      <c r="B1985" t="inlineStr">
        <is>
          <t>158043</t>
        </is>
      </c>
      <c r="C1985" t="inlineStr">
        <is>
          <t>价值ETF南方</t>
        </is>
      </c>
      <c r="D1985" t="n">
        <v>17413.9676</v>
      </c>
      <c r="E1985" t="n">
        <v>17413.9676</v>
      </c>
      <c r="F1985" t="n">
        <v>0.9781</v>
      </c>
      <c r="G1985" t="n">
        <v>0</v>
      </c>
      <c r="H1985" t="n">
        <v>1.70326</v>
      </c>
      <c r="I1985" t="n">
        <v>1.702215</v>
      </c>
      <c r="J1985" t="n">
        <v>0.001045</v>
      </c>
      <c r="K1985" s="4">
        <f>IFERROR(J1985/I1985,"")</f>
        <v/>
      </c>
      <c r="L1985" s="4">
        <f>IFERROR((D1985-E1985)/E1985,"")</f>
        <v/>
      </c>
      <c r="M1985" s="19">
        <f>IFERROR(F1985*G1985/10000,"")</f>
        <v/>
      </c>
    </row>
    <row r="1986">
      <c r="A1986" t="inlineStr">
        <is>
          <t>2026-10-30</t>
        </is>
      </c>
      <c r="B1986" t="inlineStr">
        <is>
          <t>158047</t>
        </is>
      </c>
      <c r="C1986" t="inlineStr">
        <is>
          <t>粮食ETF永赢</t>
        </is>
      </c>
      <c r="D1986" t="n">
        <v>13583.8605</v>
      </c>
      <c r="E1986" t="n">
        <v>13983.8605</v>
      </c>
      <c r="F1986" t="n">
        <v>0.9087</v>
      </c>
      <c r="G1986" t="n">
        <v>-400</v>
      </c>
      <c r="H1986" t="n">
        <v>1.234365</v>
      </c>
      <c r="I1986" t="n">
        <v>1.275048</v>
      </c>
      <c r="J1986" t="n">
        <v>-0.040683</v>
      </c>
      <c r="K1986" s="4">
        <f>IFERROR(J1986/I1986,"")</f>
        <v/>
      </c>
      <c r="L1986" s="4">
        <f>IFERROR((D1986-E1986)/E1986,"")</f>
        <v/>
      </c>
      <c r="M1986" s="19">
        <f>IFERROR(F1986*G1986/10000,"")</f>
        <v/>
      </c>
    </row>
    <row r="1987"/>
    <row r="1988">
      <c r="A1988" t="inlineStr">
        <is>
          <t>2026-10-30</t>
        </is>
      </c>
      <c r="B1988" t="inlineStr">
        <is>
          <t>158052</t>
        </is>
      </c>
      <c r="C1988" t="inlineStr">
        <is>
          <t>创业板金融科技ETF景顺</t>
        </is>
      </c>
      <c r="D1988" t="n">
        <v>6600.3532</v>
      </c>
      <c r="E1988" t="n">
        <v>6700.3532</v>
      </c>
      <c r="F1988" t="n">
        <v>0.9623</v>
      </c>
      <c r="G1988" t="n">
        <v>-100</v>
      </c>
      <c r="H1988" t="n">
        <v>0.635152</v>
      </c>
      <c r="I1988" t="n">
        <v>0.639951</v>
      </c>
      <c r="J1988" t="n">
        <v>-0.004799</v>
      </c>
      <c r="K1988" s="4">
        <f>IFERROR(J1988/I1988,"")</f>
        <v/>
      </c>
      <c r="L1988" s="4">
        <f>IFERROR((D1988-E1988)/E1988,"")</f>
        <v/>
      </c>
      <c r="M1988" s="19">
        <f>IFERROR(F1988*G1988/10000,"")</f>
        <v/>
      </c>
    </row>
    <row r="1989">
      <c r="A1989" t="inlineStr">
        <is>
          <t>2026-10-30</t>
        </is>
      </c>
      <c r="B1989" t="inlineStr">
        <is>
          <t>158055</t>
        </is>
      </c>
      <c r="C1989" t="inlineStr">
        <is>
          <t>创业板算力ETF国泰</t>
        </is>
      </c>
      <c r="D1989" t="n">
        <v>61936.875</v>
      </c>
      <c r="E1989" t="n">
        <v>61636.875</v>
      </c>
      <c r="F1989" t="n">
        <v>0.8884</v>
      </c>
      <c r="G1989" t="n">
        <v>300</v>
      </c>
      <c r="H1989" t="n">
        <v>5.502472</v>
      </c>
      <c r="I1989" t="n">
        <v>5.284746</v>
      </c>
      <c r="J1989" t="n">
        <v>0.217726</v>
      </c>
      <c r="K1989" s="4">
        <f>IFERROR(J1989/I1989,"")</f>
        <v/>
      </c>
      <c r="L1989" s="4">
        <f>IFERROR((D1989-E1989)/E1989,"")</f>
        <v/>
      </c>
      <c r="M1989" s="19">
        <f>IFERROR(F1989*G1989/10000,"")</f>
        <v/>
      </c>
    </row>
    <row r="1990"/>
    <row r="1991">
      <c r="A1991" t="inlineStr">
        <is>
          <t>2026-10-30</t>
        </is>
      </c>
      <c r="B1991" t="inlineStr">
        <is>
          <t>158051</t>
        </is>
      </c>
      <c r="C1991" t="inlineStr">
        <is>
          <t>金融科技ETF国联安</t>
        </is>
      </c>
      <c r="D1991" t="n">
        <v>7120.183</v>
      </c>
      <c r="E1991" t="n">
        <v>7120.183</v>
      </c>
      <c r="F1991" t="n">
        <v>0.9762999999999999</v>
      </c>
      <c r="G1991" t="n">
        <v>0</v>
      </c>
      <c r="H1991" t="n">
        <v>0.695143</v>
      </c>
      <c r="I1991" t="n">
        <v>0.693791</v>
      </c>
      <c r="J1991" t="n">
        <v>0.001352</v>
      </c>
      <c r="K1991" s="4">
        <f>IFERROR(J1991/I1991,"")</f>
        <v/>
      </c>
      <c r="L1991" s="4">
        <f>IFERROR((D1991-E1991)/E1991,"")</f>
        <v/>
      </c>
      <c r="M1991" s="19">
        <f>IFERROR(F1991*G1991/10000,"")</f>
        <v/>
      </c>
    </row>
    <row r="1992">
      <c r="A1992" t="inlineStr">
        <is>
          <t>2026-10-30</t>
        </is>
      </c>
      <c r="B1992" t="inlineStr">
        <is>
          <t>158062</t>
        </is>
      </c>
      <c r="C1992" t="inlineStr">
        <is>
          <t>创业板金融科技ETF建信</t>
        </is>
      </c>
      <c r="D1992" t="n">
        <v>8333.4964</v>
      </c>
      <c r="E1992" t="n">
        <v>8333.4964</v>
      </c>
      <c r="F1992" t="n">
        <v>0.9631999999999999</v>
      </c>
      <c r="G1992" t="n">
        <v>0</v>
      </c>
      <c r="H1992" t="n">
        <v>0.802682</v>
      </c>
      <c r="I1992" t="n">
        <v>0.796849</v>
      </c>
      <c r="J1992" t="n">
        <v>0.005833</v>
      </c>
      <c r="K1992" s="4">
        <f>IFERROR(J1992/I1992,"")</f>
        <v/>
      </c>
      <c r="L1992" s="4">
        <f>IFERROR((D1992-E1992)/E1992,"")</f>
        <v/>
      </c>
      <c r="M1992" s="19">
        <f>IFERROR(F1992*G1992/10000,"")</f>
        <v/>
      </c>
    </row>
    <row r="1993">
      <c r="A1993" t="inlineStr">
        <is>
          <t>2026-10-30</t>
        </is>
      </c>
      <c r="B1993" t="inlineStr">
        <is>
          <t>158067</t>
        </is>
      </c>
      <c r="C1993" t="inlineStr">
        <is>
          <t>创业板金融科技ETF万家</t>
        </is>
      </c>
      <c r="D1993" t="n">
        <v>11844.7055</v>
      </c>
      <c r="E1993" t="n">
        <v>11844.7055</v>
      </c>
      <c r="F1993" t="n">
        <v>0.9558</v>
      </c>
      <c r="G1993" t="n">
        <v>0</v>
      </c>
      <c r="H1993" t="n">
        <v>1.132117</v>
      </c>
      <c r="I1993" t="n">
        <v>1.123589</v>
      </c>
      <c r="J1993" t="n">
        <v>0.008528000000000001</v>
      </c>
      <c r="K1993" s="4">
        <f>IFERROR(J1993/I1993,"")</f>
        <v/>
      </c>
      <c r="L1993" s="4">
        <f>IFERROR((D1993-E1993)/E1993,"")</f>
        <v/>
      </c>
      <c r="M1993" s="19">
        <f>IFERROR(F1993*G1993/10000,"")</f>
        <v/>
      </c>
    </row>
    <row r="1994"/>
    <row r="1995">
      <c r="A1995" t="inlineStr">
        <is>
          <t>2026-10-30</t>
        </is>
      </c>
      <c r="B1995" t="inlineStr">
        <is>
          <t>158072</t>
        </is>
      </c>
      <c r="C1995" t="inlineStr">
        <is>
          <t>创业板软件ETF南方</t>
        </is>
      </c>
      <c r="D1995" t="n">
        <v>2718.7008</v>
      </c>
      <c r="E1995" t="n">
        <v>2818.7008</v>
      </c>
      <c r="F1995" t="n">
        <v>1.0287</v>
      </c>
      <c r="G1995" t="n">
        <v>-100</v>
      </c>
      <c r="H1995" t="n">
        <v>0.279673</v>
      </c>
      <c r="I1995" t="n">
        <v>0.286211</v>
      </c>
      <c r="J1995" t="n">
        <v>-0.006538</v>
      </c>
      <c r="K1995" s="4">
        <f>IFERROR(J1995/I1995,"")</f>
        <v/>
      </c>
      <c r="L1995" s="4">
        <f>IFERROR((D1995-E1995)/E1995,"")</f>
        <v/>
      </c>
      <c r="M1995" s="19">
        <f>IFERROR(F1995*G1995/10000,"")</f>
        <v/>
      </c>
    </row>
    <row r="1996"/>
    <row r="1997">
      <c r="A1997" t="inlineStr">
        <is>
          <t>2026-10-30</t>
        </is>
      </c>
      <c r="B1997" t="inlineStr">
        <is>
          <t>159047</t>
        </is>
      </c>
      <c r="C1997" t="inlineStr">
        <is>
          <t>港股信息技术ETF银华</t>
        </is>
      </c>
      <c r="D1997" t="n">
        <v>10649.3795</v>
      </c>
      <c r="E1997" t="n">
        <v>10649.3795</v>
      </c>
      <c r="F1997" t="n">
        <v>0.953</v>
      </c>
      <c r="G1997" t="n">
        <v>0</v>
      </c>
      <c r="H1997" t="n">
        <v>1.014886</v>
      </c>
      <c r="I1997" t="n">
        <v>0.977613</v>
      </c>
      <c r="J1997" t="n">
        <v>0.037273</v>
      </c>
      <c r="K1997" s="4">
        <f>IFERROR(J1997/I1997,"")</f>
        <v/>
      </c>
      <c r="L1997" s="4">
        <f>IFERROR((D1997-E1997)/E1997,"")</f>
        <v/>
      </c>
      <c r="M1997" s="19">
        <f>IFERROR(F1997*G1997/10000,"")</f>
        <v/>
      </c>
    </row>
    <row r="1998">
      <c r="A1998" t="inlineStr">
        <is>
          <t>2026-10-30</t>
        </is>
      </c>
      <c r="B1998" t="inlineStr">
        <is>
          <t>159089</t>
        </is>
      </c>
      <c r="C1998" t="inlineStr">
        <is>
          <t>港股通互联网ETF国联</t>
        </is>
      </c>
      <c r="D1998" t="n">
        <v>10969.5772</v>
      </c>
      <c r="E1998" t="n">
        <v>11069.5772</v>
      </c>
      <c r="F1998" t="n">
        <v>0.9533</v>
      </c>
      <c r="G1998" t="n">
        <v>-100</v>
      </c>
      <c r="H1998" t="n">
        <v>1.04573</v>
      </c>
      <c r="I1998" t="n">
        <v>1.044525</v>
      </c>
      <c r="J1998" t="n">
        <v>0.001205</v>
      </c>
      <c r="K1998" s="4">
        <f>IFERROR(J1998/I1998,"")</f>
        <v/>
      </c>
      <c r="L1998" s="4">
        <f>IFERROR((D1998-E1998)/E1998,"")</f>
        <v/>
      </c>
      <c r="M1998" s="19">
        <f>IFERROR(F1998*G1998/10000,"")</f>
        <v/>
      </c>
    </row>
    <row r="1999"/>
    <row r="2000">
      <c r="A2000" t="inlineStr">
        <is>
          <t>2026-10-30</t>
        </is>
      </c>
      <c r="B2000" t="inlineStr">
        <is>
          <t>158066</t>
        </is>
      </c>
      <c r="C2000" t="inlineStr">
        <is>
          <t>大数据ETF前海开源</t>
        </is>
      </c>
      <c r="D2000" t="n">
        <v>4465.9211</v>
      </c>
      <c r="E2000" t="n">
        <v>4565.9211</v>
      </c>
      <c r="F2000" t="n">
        <v>0.988</v>
      </c>
      <c r="G2000" t="n">
        <v>-100</v>
      </c>
      <c r="H2000" t="n">
        <v>0.441233</v>
      </c>
      <c r="I2000" t="n">
        <v>0.445086</v>
      </c>
      <c r="J2000" t="n">
        <v>-0.003853</v>
      </c>
      <c r="K2000" s="4">
        <f>IFERROR(J2000/I2000,"")</f>
        <v/>
      </c>
      <c r="L2000" s="4">
        <f>IFERROR((D2000-E2000)/E2000,"")</f>
        <v/>
      </c>
      <c r="M2000" s="19">
        <f>IFERROR(F2000*G2000/10000,"")</f>
        <v/>
      </c>
    </row>
    <row r="2001"/>
    <row r="2002">
      <c r="A2002" t="inlineStr">
        <is>
          <t>2026-10-30</t>
        </is>
      </c>
      <c r="B2002" t="inlineStr">
        <is>
          <t>158036</t>
        </is>
      </c>
      <c r="C2002" t="inlineStr">
        <is>
          <t>卫星ETF华夏</t>
        </is>
      </c>
      <c r="D2002" t="n">
        <v>8663.5198</v>
      </c>
      <c r="E2002" t="n">
        <v>8663.5198</v>
      </c>
      <c r="F2002" t="n">
        <v>0.961</v>
      </c>
      <c r="G2002" t="n">
        <v>0</v>
      </c>
      <c r="H2002" t="n">
        <v>0.832564</v>
      </c>
      <c r="I2002" t="n">
        <v>0.808566</v>
      </c>
      <c r="J2002" t="n">
        <v>0.023998</v>
      </c>
      <c r="K2002" s="4">
        <f>IFERROR(J2002/I2002,"")</f>
        <v/>
      </c>
      <c r="L2002" s="4">
        <f>IFERROR((D2002-E2002)/E2002,"")</f>
        <v/>
      </c>
      <c r="M2002" s="19">
        <f>IFERROR(F2002*G2002/10000,"")</f>
        <v/>
      </c>
    </row>
    <row r="2003"/>
    <row r="2004"/>
    <row r="2005">
      <c r="A2005" t="inlineStr">
        <is>
          <t>2026-10-27</t>
        </is>
      </c>
      <c r="B2005" t="inlineStr">
        <is>
          <t>【全市场汇总】</t>
        </is>
      </c>
      <c r="C2005" t="inlineStr">
        <is>
          <t>1908只</t>
        </is>
      </c>
      <c r="D2005" t="n">
        <v>337154243.69</v>
      </c>
      <c r="H2005" t="n">
        <v>48075.0829</v>
      </c>
      <c r="J2005" t="n">
        <v>606.8028</v>
      </c>
    </row>
    <row r="2006">
      <c r="A2006" t="inlineStr">
        <is>
          <t>2026-10-27</t>
        </is>
      </c>
      <c r="B2006" t="inlineStr">
        <is>
          <t xml:space="preserve"> ↳ 上交所</t>
        </is>
      </c>
      <c r="C2006" t="inlineStr">
        <is>
          <t>857只</t>
        </is>
      </c>
      <c r="D2006" t="n">
        <v>214268864.07</v>
      </c>
      <c r="H2006" t="n">
        <v>31968.0778</v>
      </c>
      <c r="J2006" t="n">
        <v>303.8012</v>
      </c>
    </row>
    <row r="2007">
      <c r="A2007" t="inlineStr">
        <is>
          <t>2026-10-27</t>
        </is>
      </c>
      <c r="B2007" t="inlineStr">
        <is>
          <t xml:space="preserve"> ↳ 深交所</t>
        </is>
      </c>
      <c r="C2007" t="inlineStr">
        <is>
          <t>1051只</t>
        </is>
      </c>
      <c r="D2007" t="n">
        <v>122885379.62</v>
      </c>
      <c r="H2007" t="n">
        <v>16107.0051</v>
      </c>
      <c r="J2007" t="n">
        <v>303.0016</v>
      </c>
    </row>
    <row r="2008"/>
    <row r="2009">
      <c r="A2009" t="inlineStr">
        <is>
          <t>2026-10-28</t>
        </is>
      </c>
      <c r="B2009" t="inlineStr">
        <is>
          <t>【全市场汇总】</t>
        </is>
      </c>
      <c r="C2009" t="inlineStr">
        <is>
          <t>1908只</t>
        </is>
      </c>
      <c r="D2009" t="n">
        <v>338563525.32</v>
      </c>
      <c r="H2009" t="n">
        <v>47885.3965</v>
      </c>
      <c r="J2009" t="n">
        <v>-189.6864</v>
      </c>
    </row>
    <row r="2010">
      <c r="A2010" t="inlineStr">
        <is>
          <t>2026-10-28</t>
        </is>
      </c>
      <c r="B2010" t="inlineStr">
        <is>
          <t xml:space="preserve"> ↳ 上交所</t>
        </is>
      </c>
      <c r="C2010" t="inlineStr">
        <is>
          <t>857只</t>
        </is>
      </c>
      <c r="D2010" t="n">
        <v>215248694.07</v>
      </c>
      <c r="H2010" t="n">
        <v>31803.4503</v>
      </c>
      <c r="J2010" t="n">
        <v>-164.6275</v>
      </c>
    </row>
    <row r="2011">
      <c r="A2011" t="inlineStr">
        <is>
          <t>2026-10-28</t>
        </is>
      </c>
      <c r="B2011" t="inlineStr">
        <is>
          <t xml:space="preserve"> ↳ 深交所</t>
        </is>
      </c>
      <c r="C2011" t="inlineStr">
        <is>
          <t>1051只</t>
        </is>
      </c>
      <c r="D2011" t="n">
        <v>123314831.25</v>
      </c>
      <c r="H2011" t="n">
        <v>16081.9462</v>
      </c>
      <c r="J2011" t="n">
        <v>-25.0589</v>
      </c>
    </row>
    <row r="2012">
      <c r="A2012" t="inlineStr">
        <is>
          <t>2026-10-30</t>
        </is>
      </c>
      <c r="B2012" t="inlineStr">
        <is>
          <t>158078</t>
        </is>
      </c>
      <c r="C2012" t="inlineStr">
        <is>
          <t>创业板电池ETF华宝</t>
        </is>
      </c>
      <c r="D2012" t="n">
        <v>11746.8457</v>
      </c>
      <c r="E2012" t="n">
        <v>13246.8457</v>
      </c>
      <c r="F2012" t="n">
        <v>0.9976</v>
      </c>
      <c r="G2012" t="n">
        <v>-1500</v>
      </c>
      <c r="H2012" t="n">
        <v>1.171865</v>
      </c>
      <c r="I2012" t="n">
        <v>1.307596</v>
      </c>
      <c r="J2012" t="n">
        <v>-0.135731</v>
      </c>
      <c r="K2012" s="4">
        <f>IFERROR(J2015/I2015,"")</f>
        <v/>
      </c>
      <c r="L2012" s="4">
        <f>IFERROR((D2015-E2015)/E2015,"")</f>
        <v/>
      </c>
      <c r="M2012" s="19">
        <f>IFERROR(F2015*G2015/10000,"")</f>
        <v/>
      </c>
    </row>
    <row r="2013"/>
    <row r="2014">
      <c r="A2014" t="inlineStr">
        <is>
          <t>2026-10-29</t>
        </is>
      </c>
      <c r="B2014" t="inlineStr">
        <is>
          <t>【全市场汇总】</t>
        </is>
      </c>
      <c r="C2014" t="inlineStr">
        <is>
          <t>1908只</t>
        </is>
      </c>
      <c r="D2014" t="n">
        <v>338538823.94</v>
      </c>
      <c r="H2014" t="n">
        <v>48172.4184</v>
      </c>
      <c r="J2014" t="n">
        <v>285.7175</v>
      </c>
    </row>
    <row r="2015">
      <c r="A2015" t="inlineStr">
        <is>
          <t>2026-10-29</t>
        </is>
      </c>
      <c r="B2015" t="inlineStr">
        <is>
          <t xml:space="preserve"> ↳ 上交所</t>
        </is>
      </c>
      <c r="C2015" t="inlineStr">
        <is>
          <t>857只</t>
        </is>
      </c>
      <c r="D2015" t="n">
        <v>215158456.07</v>
      </c>
      <c r="H2015" t="n">
        <v>32326.7272</v>
      </c>
      <c r="J2015" t="n">
        <v>523.2769</v>
      </c>
    </row>
    <row r="2016">
      <c r="A2016" t="inlineStr">
        <is>
          <t>2026-10-29</t>
        </is>
      </c>
      <c r="B2016" t="inlineStr">
        <is>
          <t xml:space="preserve"> ↳ 深交所</t>
        </is>
      </c>
      <c r="C2016" t="inlineStr">
        <is>
          <t>1051只</t>
        </is>
      </c>
      <c r="D2016" t="n">
        <v>123380367.87</v>
      </c>
      <c r="H2016" t="n">
        <v>15845.6912</v>
      </c>
      <c r="J2016" t="n">
        <v>-237.5594</v>
      </c>
    </row>
    <row r="2017">
      <c r="A2017" t="inlineStr">
        <is>
          <t>2026-10-30</t>
        </is>
      </c>
      <c r="B2017" t="inlineStr">
        <is>
          <t>158082</t>
        </is>
      </c>
      <c r="C2017" t="inlineStr">
        <is>
          <t>创业板电池ETF银华</t>
        </is>
      </c>
      <c r="D2017" t="n">
        <v>15173.5272</v>
      </c>
      <c r="F2017" t="n">
        <v>0.9991</v>
      </c>
      <c r="H2017" t="n">
        <v>1.515987</v>
      </c>
      <c r="K2017" s="4">
        <f>IFERROR(J2020/I2020,"")</f>
        <v/>
      </c>
      <c r="L2017" s="4">
        <f>IFERROR((D2020-E2020)/E2020,"")</f>
        <v/>
      </c>
      <c r="M2017" s="19">
        <f>IFERROR(F2020*G2020/10000,"")</f>
        <v/>
      </c>
    </row>
    <row r="2019">
      <c r="A2019" t="inlineStr">
        <is>
          <t>2026-10-30</t>
        </is>
      </c>
      <c r="B2019" t="inlineStr">
        <is>
          <t>【全市场汇总】</t>
        </is>
      </c>
      <c r="C2019" t="inlineStr">
        <is>
          <t>1909只</t>
        </is>
      </c>
      <c r="D2019" t="n">
        <v>339686757.12</v>
      </c>
      <c r="H2019" t="n">
        <v>48135.1713</v>
      </c>
      <c r="J2019" t="n">
        <v>-38.7631</v>
      </c>
    </row>
    <row r="2020">
      <c r="A2020" t="inlineStr">
        <is>
          <t>2026-10-30</t>
        </is>
      </c>
      <c r="B2020" t="inlineStr">
        <is>
          <t xml:space="preserve"> ↳ 上交所</t>
        </is>
      </c>
      <c r="C2020" t="inlineStr">
        <is>
          <t>857只</t>
        </is>
      </c>
      <c r="D2020" t="n">
        <v>215750708.27</v>
      </c>
      <c r="H2020" t="n">
        <v>31959.0151</v>
      </c>
      <c r="J2020" t="n">
        <v>-367.7121</v>
      </c>
    </row>
    <row r="2021">
      <c r="A2021" t="inlineStr">
        <is>
          <t>2026-10-30</t>
        </is>
      </c>
      <c r="B2021" t="inlineStr">
        <is>
          <t xml:space="preserve"> ↳ 深交所</t>
        </is>
      </c>
      <c r="C2021" t="inlineStr">
        <is>
          <t>1052只</t>
        </is>
      </c>
      <c r="D2021" t="n">
        <v>123936048.85</v>
      </c>
      <c r="H2021" t="n">
        <v>16176.1562</v>
      </c>
      <c r="J2021" t="n">
        <v>328.949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topLeftCell="A27" workbookViewId="0">
      <selection activeCell="A38" sqref="A38:I67"/>
    </sheetView>
  </sheetViews>
  <sheetFormatPr baseColWidth="8" defaultColWidth="9" defaultRowHeight="13.5"/>
  <cols>
    <col width="10" customWidth="1" style="2" min="1" max="1"/>
    <col width="22" customWidth="1" style="2" min="2" max="2"/>
    <col width="14" customWidth="1" style="2" min="3" max="3"/>
    <col width="10" customWidth="1" min="4" max="4"/>
    <col width="22" customWidth="1" min="5" max="5"/>
    <col width="14" customWidth="1" min="6" max="6"/>
    <col width="10" customWidth="1" style="2" min="7" max="7"/>
    <col width="22" customWidth="1" style="2" min="8" max="8"/>
    <col width="14" customWidth="1" style="3" min="9" max="9"/>
    <col width="20.625" customWidth="1" min="10" max="12"/>
    <col width="20.625" customWidth="1" style="4" min="13" max="13"/>
  </cols>
  <sheetData>
    <row r="1" ht="22" customHeight="1">
      <c r="A1" s="20" t="inlineStr">
        <is>
          <t>2026-10-30</t>
        </is>
      </c>
    </row>
    <row r="2" ht="12" customFormat="1" customHeight="1" s="1">
      <c r="A2" s="21" t="inlineStr">
        <is>
          <t>份额变化百分比排名（增加前30）</t>
        </is>
      </c>
      <c r="D2" s="21" t="inlineStr">
        <is>
          <t>市值增长最多排名（前30）</t>
        </is>
      </c>
      <c r="G2" s="21" t="inlineStr">
        <is>
          <t>市值增长百分比排名（前30）</t>
        </is>
      </c>
    </row>
    <row r="3">
      <c r="A3" s="22" t="inlineStr">
        <is>
          <t>代码</t>
        </is>
      </c>
      <c r="B3" s="22" t="inlineStr">
        <is>
          <t>名称</t>
        </is>
      </c>
      <c r="C3" s="22" t="inlineStr">
        <is>
          <t>份额变化百分比</t>
        </is>
      </c>
      <c r="D3" s="22" t="inlineStr">
        <is>
          <t>代码</t>
        </is>
      </c>
      <c r="E3" s="22" t="inlineStr">
        <is>
          <t>名称</t>
        </is>
      </c>
      <c r="F3" s="22" t="inlineStr">
        <is>
          <t>增长值（亿）</t>
        </is>
      </c>
      <c r="G3" s="22" t="inlineStr">
        <is>
          <t>代码</t>
        </is>
      </c>
      <c r="H3" s="22" t="inlineStr">
        <is>
          <t>名称</t>
        </is>
      </c>
      <c r="I3" s="22" t="inlineStr">
        <is>
          <t>百分比</t>
        </is>
      </c>
    </row>
    <row r="4">
      <c r="A4" s="23" t="inlineStr">
        <is>
          <t>159219</t>
        </is>
      </c>
      <c r="B4" s="24" t="inlineStr">
        <is>
          <t>深证100ETF融通</t>
        </is>
      </c>
      <c r="C4" s="25" t="n">
        <v>3.850590170328931</v>
      </c>
      <c r="D4" s="23" t="inlineStr">
        <is>
          <t>159915</t>
        </is>
      </c>
      <c r="E4" s="24" t="inlineStr">
        <is>
          <t>创业板ETF易方达</t>
        </is>
      </c>
      <c r="F4" s="26" t="n">
        <v>69.713413</v>
      </c>
      <c r="G4" s="23" t="inlineStr">
        <is>
          <t>159219</t>
        </is>
      </c>
      <c r="H4" s="24" t="inlineStr">
        <is>
          <t>深证100ETF融通</t>
        </is>
      </c>
      <c r="I4" s="25" t="n">
        <v>3.940587579814988</v>
      </c>
    </row>
    <row r="5">
      <c r="A5" s="23" t="inlineStr">
        <is>
          <t>159216</t>
        </is>
      </c>
      <c r="B5" s="24" t="inlineStr">
        <is>
          <t>深证100ETF大成</t>
        </is>
      </c>
      <c r="C5" s="25" t="n">
        <v>0.4270994607869307</v>
      </c>
      <c r="D5" s="23" t="inlineStr">
        <is>
          <t>159919</t>
        </is>
      </c>
      <c r="E5" s="24" t="inlineStr">
        <is>
          <t>沪深300ETF嘉实</t>
        </is>
      </c>
      <c r="F5" s="26" t="n">
        <v>37.219759</v>
      </c>
      <c r="G5" s="23" t="inlineStr">
        <is>
          <t>512970</t>
        </is>
      </c>
      <c r="H5" s="24" t="inlineStr">
        <is>
          <t>大湾区ETF平安</t>
        </is>
      </c>
      <c r="I5" s="25" t="n">
        <v>0.6221771415448213</v>
      </c>
    </row>
    <row r="6">
      <c r="A6" s="23" t="inlineStr">
        <is>
          <t>159517</t>
        </is>
      </c>
      <c r="B6" s="24" t="inlineStr">
        <is>
          <t>中证800增强ETF银华</t>
        </is>
      </c>
      <c r="C6" s="25" t="n">
        <v>0.3431464054727735</v>
      </c>
      <c r="D6" s="23" t="inlineStr">
        <is>
          <t>159949</t>
        </is>
      </c>
      <c r="E6" s="24" t="inlineStr">
        <is>
          <t>创业板50ETF华安</t>
        </is>
      </c>
      <c r="F6" s="26" t="n">
        <v>16.785591</v>
      </c>
      <c r="G6" s="23" t="inlineStr">
        <is>
          <t>159216</t>
        </is>
      </c>
      <c r="H6" s="24" t="inlineStr">
        <is>
          <t>深证100ETF大成</t>
        </is>
      </c>
      <c r="I6" s="25" t="n">
        <v>0.4535410010649628</v>
      </c>
    </row>
    <row r="7">
      <c r="A7" s="23" t="inlineStr">
        <is>
          <t>562010</t>
        </is>
      </c>
      <c r="B7" s="24" t="inlineStr">
        <is>
          <t>绿色能源ETF华宝</t>
        </is>
      </c>
      <c r="C7" s="25" t="n">
        <v>0.3278921453436583</v>
      </c>
      <c r="D7" s="23" t="inlineStr">
        <is>
          <t>159530</t>
        </is>
      </c>
      <c r="E7" s="24" t="inlineStr">
        <is>
          <t>机器人ETF易方达</t>
        </is>
      </c>
      <c r="F7" s="26" t="n">
        <v>12.561118</v>
      </c>
      <c r="G7" s="23" t="inlineStr">
        <is>
          <t>517350</t>
        </is>
      </c>
      <c r="H7" s="24" t="inlineStr">
        <is>
          <t>沪港深科技ETF广发</t>
        </is>
      </c>
      <c r="I7" s="25" t="n">
        <v>0.4249955202690596</v>
      </c>
    </row>
    <row r="8">
      <c r="A8" s="23" t="inlineStr">
        <is>
          <t>588270</t>
        </is>
      </c>
      <c r="B8" s="24" t="inlineStr">
        <is>
          <t>科创200ETF易方达</t>
        </is>
      </c>
      <c r="C8" s="25" t="n">
        <v>0.1739634676717889</v>
      </c>
      <c r="D8" s="23" t="inlineStr">
        <is>
          <t>159952</t>
        </is>
      </c>
      <c r="E8" s="24" t="inlineStr">
        <is>
          <t>创业板ETF广发</t>
        </is>
      </c>
      <c r="F8" s="26" t="n">
        <v>11.858824</v>
      </c>
      <c r="G8" s="23" t="inlineStr">
        <is>
          <t>159517</t>
        </is>
      </c>
      <c r="H8" s="24" t="inlineStr">
        <is>
          <t>中证800增强ETF银华</t>
        </is>
      </c>
      <c r="I8" s="25" t="n">
        <v>0.3634762359684739</v>
      </c>
    </row>
    <row r="9">
      <c r="A9" s="23" t="inlineStr">
        <is>
          <t>159521</t>
        </is>
      </c>
      <c r="B9" s="24" t="inlineStr">
        <is>
          <t>国证2000ETF平安</t>
        </is>
      </c>
      <c r="C9" s="25" t="n">
        <v>0.1641637621081034</v>
      </c>
      <c r="D9" s="23" t="inlineStr">
        <is>
          <t>511070</t>
        </is>
      </c>
      <c r="E9" s="24" t="inlineStr">
        <is>
          <t>公司债ETF南方</t>
        </is>
      </c>
      <c r="F9" s="26" t="n">
        <v>10.736181</v>
      </c>
      <c r="G9" s="23" t="inlineStr">
        <is>
          <t>515020</t>
        </is>
      </c>
      <c r="H9" s="24" t="inlineStr">
        <is>
          <t>银行ETF华夏</t>
        </is>
      </c>
      <c r="I9" s="25" t="n">
        <v>0.2776017551502158</v>
      </c>
    </row>
    <row r="10">
      <c r="A10" s="23" t="inlineStr">
        <is>
          <t>588680</t>
        </is>
      </c>
      <c r="B10" s="24" t="inlineStr">
        <is>
          <t>科创100增强ETF广发</t>
        </is>
      </c>
      <c r="C10" s="25" t="n">
        <v>0.1564088527410653</v>
      </c>
      <c r="D10" s="23" t="inlineStr">
        <is>
          <t>159338</t>
        </is>
      </c>
      <c r="E10" s="24" t="inlineStr">
        <is>
          <t>中证A500ETF国泰</t>
        </is>
      </c>
      <c r="F10" s="26" t="n">
        <v>9.842549999999999</v>
      </c>
      <c r="G10" s="23" t="inlineStr">
        <is>
          <t>159521</t>
        </is>
      </c>
      <c r="H10" s="24" t="inlineStr">
        <is>
          <t>国证2000ETF平安</t>
        </is>
      </c>
      <c r="I10" s="25" t="n">
        <v>0.2006474411248672</v>
      </c>
    </row>
    <row r="11">
      <c r="A11" s="23" t="inlineStr">
        <is>
          <t>159366</t>
        </is>
      </c>
      <c r="B11" s="24" t="inlineStr">
        <is>
          <t>港股医疗ETF永赢</t>
        </is>
      </c>
      <c r="C11" s="25" t="n">
        <v>0.1554318227624227</v>
      </c>
      <c r="D11" s="23" t="inlineStr">
        <is>
          <t>159361</t>
        </is>
      </c>
      <c r="E11" s="24" t="inlineStr">
        <is>
          <t>A500ETF易方达</t>
        </is>
      </c>
      <c r="F11" s="26" t="n">
        <v>9.265126</v>
      </c>
      <c r="G11" s="23" t="inlineStr">
        <is>
          <t>159366</t>
        </is>
      </c>
      <c r="H11" s="24" t="inlineStr">
        <is>
          <t>港股医疗ETF永赢</t>
        </is>
      </c>
      <c r="I11" s="25" t="n">
        <v>0.1796033242700728</v>
      </c>
    </row>
    <row r="12">
      <c r="A12" s="23" t="inlineStr">
        <is>
          <t>589700</t>
        </is>
      </c>
      <c r="B12" s="24" t="inlineStr">
        <is>
          <t>科创成长ETF南方</t>
        </is>
      </c>
      <c r="C12" s="25" t="n">
        <v>0.1220864575596952</v>
      </c>
      <c r="D12" s="23" t="inlineStr">
        <is>
          <t>159995</t>
        </is>
      </c>
      <c r="E12" s="24" t="inlineStr">
        <is>
          <t>芯片ETF华夏</t>
        </is>
      </c>
      <c r="F12" s="26" t="n">
        <v>9.217131999999999</v>
      </c>
      <c r="G12" s="23" t="inlineStr">
        <is>
          <t>515660</t>
        </is>
      </c>
      <c r="H12" s="24" t="inlineStr">
        <is>
          <t>沪深300ETF国联安</t>
        </is>
      </c>
      <c r="I12" s="25" t="n">
        <v>0.1594427502624111</v>
      </c>
    </row>
    <row r="13">
      <c r="A13" s="23" t="inlineStr">
        <is>
          <t>530580</t>
        </is>
      </c>
      <c r="B13" s="24" t="inlineStr">
        <is>
          <t>上证180ETF南方</t>
        </is>
      </c>
      <c r="C13" s="25" t="n">
        <v>0.122077763535372</v>
      </c>
      <c r="D13" s="23" t="inlineStr">
        <is>
          <t>159781</t>
        </is>
      </c>
      <c r="E13" s="24" t="inlineStr">
        <is>
          <t>科创创业ETF易方达</t>
        </is>
      </c>
      <c r="F13" s="26" t="n">
        <v>8.408322999999999</v>
      </c>
      <c r="G13" s="23" t="inlineStr">
        <is>
          <t>159372</t>
        </is>
      </c>
      <c r="H13" s="24" t="inlineStr">
        <is>
          <t>创业板50ETF万家</t>
        </is>
      </c>
      <c r="I13" s="25" t="n">
        <v>0.1535670436778443</v>
      </c>
    </row>
    <row r="14">
      <c r="A14" s="23" t="inlineStr">
        <is>
          <t>159372</t>
        </is>
      </c>
      <c r="B14" s="24" t="inlineStr">
        <is>
          <t>创业板50ETF万家</t>
        </is>
      </c>
      <c r="C14" s="25" t="n">
        <v>0.1135531536918657</v>
      </c>
      <c r="D14" s="23" t="inlineStr">
        <is>
          <t>159352</t>
        </is>
      </c>
      <c r="E14" s="24" t="inlineStr">
        <is>
          <t>A500ETF南方</t>
        </is>
      </c>
      <c r="F14" s="26" t="n">
        <v>7.933504</v>
      </c>
      <c r="G14" s="23" t="inlineStr">
        <is>
          <t>159279</t>
        </is>
      </c>
      <c r="H14" s="24" t="inlineStr">
        <is>
          <t>创业板人工智能ETF华安</t>
        </is>
      </c>
      <c r="I14" s="25" t="n">
        <v>0.1449309031395686</v>
      </c>
    </row>
    <row r="15">
      <c r="A15" s="23" t="inlineStr">
        <is>
          <t>589800</t>
        </is>
      </c>
      <c r="B15" s="24" t="inlineStr">
        <is>
          <t>科创综指ETF易方达</t>
        </is>
      </c>
      <c r="C15" s="25" t="n">
        <v>0.1081090658310637</v>
      </c>
      <c r="D15" s="23" t="inlineStr">
        <is>
          <t>159206</t>
        </is>
      </c>
      <c r="E15" s="24" t="inlineStr">
        <is>
          <t>卫星ETF永赢</t>
        </is>
      </c>
      <c r="F15" s="26" t="n">
        <v>7.437997</v>
      </c>
      <c r="G15" s="23" t="inlineStr">
        <is>
          <t>159675</t>
        </is>
      </c>
      <c r="H15" s="24" t="inlineStr">
        <is>
          <t>创业板增强ETF嘉实</t>
        </is>
      </c>
      <c r="I15" s="25" t="n">
        <v>0.1312419054577996</v>
      </c>
    </row>
    <row r="16">
      <c r="A16" s="23" t="inlineStr">
        <is>
          <t>561300</t>
        </is>
      </c>
      <c r="B16" s="24" t="inlineStr">
        <is>
          <t>沪深300增强ETF国泰</t>
        </is>
      </c>
      <c r="C16" s="25" t="n">
        <v>0.1054103910320083</v>
      </c>
      <c r="D16" s="23" t="inlineStr">
        <is>
          <t>159516</t>
        </is>
      </c>
      <c r="E16" s="24" t="inlineStr">
        <is>
          <t>半导体设备ETF国泰</t>
        </is>
      </c>
      <c r="F16" s="26" t="n">
        <v>7.341539</v>
      </c>
      <c r="G16" s="23" t="inlineStr">
        <is>
          <t>159243</t>
        </is>
      </c>
      <c r="H16" s="24" t="inlineStr">
        <is>
          <t>创业板人工智能ETF招商</t>
        </is>
      </c>
      <c r="I16" s="25" t="n">
        <v>0.1240120669915666</v>
      </c>
    </row>
    <row r="17">
      <c r="A17" s="23" t="inlineStr">
        <is>
          <t>159675</t>
        </is>
      </c>
      <c r="B17" s="24" t="inlineStr">
        <is>
          <t>创业板增强ETF嘉实</t>
        </is>
      </c>
      <c r="C17" s="25" t="n">
        <v>0.09906800017625299</v>
      </c>
      <c r="D17" s="23" t="inlineStr">
        <is>
          <t>510880</t>
        </is>
      </c>
      <c r="E17" s="24" t="inlineStr">
        <is>
          <t>红利ETF华泰柏瑞</t>
        </is>
      </c>
      <c r="F17" s="26" t="n">
        <v>6.55625</v>
      </c>
      <c r="G17" s="23" t="inlineStr">
        <is>
          <t>159293</t>
        </is>
      </c>
      <c r="H17" s="24" t="inlineStr">
        <is>
          <t>创业板综增强ETF建信</t>
        </is>
      </c>
      <c r="I17" s="25" t="n">
        <v>0.1222544972736075</v>
      </c>
    </row>
    <row r="18">
      <c r="A18" s="23" t="inlineStr">
        <is>
          <t>159279</t>
        </is>
      </c>
      <c r="B18" s="24" t="inlineStr">
        <is>
          <t>创业板人工智能ETF华安</t>
        </is>
      </c>
      <c r="C18" s="25" t="n">
        <v>0.09294398165845956</v>
      </c>
      <c r="D18" s="23" t="inlineStr">
        <is>
          <t>511110</t>
        </is>
      </c>
      <c r="E18" s="24" t="inlineStr">
        <is>
          <t>公司债ETF易方达</t>
        </is>
      </c>
      <c r="F18" s="26" t="n">
        <v>6.423765</v>
      </c>
      <c r="G18" s="23" t="inlineStr">
        <is>
          <t>159583</t>
        </is>
      </c>
      <c r="H18" s="24" t="inlineStr">
        <is>
          <t>通信ETF富国</t>
        </is>
      </c>
      <c r="I18" s="25" t="n">
        <v>0.1202871465560459</v>
      </c>
    </row>
    <row r="19">
      <c r="A19" s="23" t="inlineStr">
        <is>
          <t>159293</t>
        </is>
      </c>
      <c r="B19" s="24" t="inlineStr">
        <is>
          <t>创业板综增强ETF建信</t>
        </is>
      </c>
      <c r="C19" s="25" t="n">
        <v>0.08635803427869905</v>
      </c>
      <c r="D19" s="23" t="inlineStr">
        <is>
          <t>159819</t>
        </is>
      </c>
      <c r="E19" s="24" t="inlineStr">
        <is>
          <t>人工智能ETF易方达</t>
        </is>
      </c>
      <c r="F19" s="26" t="n">
        <v>6.001937</v>
      </c>
      <c r="G19" s="23" t="inlineStr">
        <is>
          <t>159295</t>
        </is>
      </c>
      <c r="H19" s="24" t="inlineStr">
        <is>
          <t>创业综指ETF西部利得</t>
        </is>
      </c>
      <c r="I19" s="25" t="n">
        <v>0.1176444625892374</v>
      </c>
    </row>
    <row r="20">
      <c r="A20" s="23" t="inlineStr">
        <is>
          <t>588070</t>
        </is>
      </c>
      <c r="B20" s="24" t="inlineStr">
        <is>
          <t>科创成长ETF万家</t>
        </is>
      </c>
      <c r="C20" s="25" t="n">
        <v>0.08258149761545926</v>
      </c>
      <c r="D20" s="23" t="inlineStr">
        <is>
          <t>512800</t>
        </is>
      </c>
      <c r="E20" s="24" t="inlineStr">
        <is>
          <t>银行ETF华宝</t>
        </is>
      </c>
      <c r="F20" s="26" t="n">
        <v>5.710662</v>
      </c>
      <c r="G20" s="23" t="inlineStr">
        <is>
          <t>159778</t>
        </is>
      </c>
      <c r="H20" s="24" t="inlineStr">
        <is>
          <t>工业互联网ETF鹏华</t>
        </is>
      </c>
      <c r="I20" s="25" t="n">
        <v>0.1083928681833396</v>
      </c>
    </row>
    <row r="21">
      <c r="A21" s="23" t="inlineStr">
        <is>
          <t>560690</t>
        </is>
      </c>
      <c r="B21" s="24" t="inlineStr">
        <is>
          <t>电信ETF鹏华</t>
        </is>
      </c>
      <c r="C21" s="25" t="n">
        <v>0.07941129758060246</v>
      </c>
      <c r="D21" s="23" t="inlineStr">
        <is>
          <t>511190</t>
        </is>
      </c>
      <c r="E21" s="24" t="inlineStr">
        <is>
          <t>信用债ETF海富通</t>
        </is>
      </c>
      <c r="F21" s="26" t="n">
        <v>5.578769</v>
      </c>
      <c r="G21" s="23" t="inlineStr">
        <is>
          <t>159383</t>
        </is>
      </c>
      <c r="H21" s="24" t="inlineStr">
        <is>
          <t>创业板50ETF华泰柏瑞</t>
        </is>
      </c>
      <c r="I21" s="25" t="n">
        <v>0.1072530968354459</v>
      </c>
    </row>
    <row r="22">
      <c r="A22" s="23" t="inlineStr">
        <is>
          <t>159778</t>
        </is>
      </c>
      <c r="B22" s="24" t="inlineStr">
        <is>
          <t>工业互联网ETF鹏华</t>
        </is>
      </c>
      <c r="C22" s="25" t="n">
        <v>0.07852518068015873</v>
      </c>
      <c r="D22" s="23" t="inlineStr">
        <is>
          <t>159941</t>
        </is>
      </c>
      <c r="E22" s="24" t="inlineStr">
        <is>
          <t>纳指ETF广发</t>
        </is>
      </c>
      <c r="F22" s="26" t="n">
        <v>4.381367</v>
      </c>
      <c r="G22" s="23" t="inlineStr">
        <is>
          <t>159382</t>
        </is>
      </c>
      <c r="H22" s="24" t="inlineStr">
        <is>
          <t>创业板人工智能ETF南方</t>
        </is>
      </c>
      <c r="I22" s="25" t="n">
        <v>0.1036681007722717</v>
      </c>
    </row>
    <row r="23">
      <c r="A23" s="23" t="inlineStr">
        <is>
          <t>159243</t>
        </is>
      </c>
      <c r="B23" s="24" t="inlineStr">
        <is>
          <t>创业板人工智能ETF招商</t>
        </is>
      </c>
      <c r="C23" s="25" t="n">
        <v>0.07315724936155668</v>
      </c>
      <c r="D23" s="23" t="inlineStr">
        <is>
          <t>512890</t>
        </is>
      </c>
      <c r="E23" s="24" t="inlineStr">
        <is>
          <t>红利低波ETF华泰柏瑞</t>
        </is>
      </c>
      <c r="F23" s="26" t="n">
        <v>4.277137</v>
      </c>
      <c r="G23" s="23" t="inlineStr">
        <is>
          <t>560670</t>
        </is>
      </c>
      <c r="H23" s="24" t="inlineStr">
        <is>
          <t>银行ETF华泰柏瑞</t>
        </is>
      </c>
      <c r="I23" s="25" t="n">
        <v>0.1026573564203388</v>
      </c>
    </row>
    <row r="24">
      <c r="A24" s="23" t="inlineStr">
        <is>
          <t>159944</t>
        </is>
      </c>
      <c r="B24" s="24" t="inlineStr">
        <is>
          <t>材料ETF广发</t>
        </is>
      </c>
      <c r="C24" s="25" t="n">
        <v>0.07244187282235204</v>
      </c>
      <c r="D24" s="23" t="inlineStr">
        <is>
          <t>159259</t>
        </is>
      </c>
      <c r="E24" s="24" t="inlineStr">
        <is>
          <t>成长ETF易方达</t>
        </is>
      </c>
      <c r="F24" s="26" t="n">
        <v>4.247725</v>
      </c>
      <c r="G24" s="23" t="inlineStr">
        <is>
          <t>159369</t>
        </is>
      </c>
      <c r="H24" s="24" t="inlineStr">
        <is>
          <t>创业板50ETF易方达</t>
        </is>
      </c>
      <c r="I24" s="25" t="n">
        <v>0.1007053705920416</v>
      </c>
    </row>
    <row r="25">
      <c r="A25" s="23" t="inlineStr">
        <is>
          <t>159919</t>
        </is>
      </c>
      <c r="B25" s="24" t="inlineStr">
        <is>
          <t>沪深300ETF嘉实</t>
        </is>
      </c>
      <c r="C25" s="25" t="n">
        <v>0.07135543091021621</v>
      </c>
      <c r="D25" s="23" t="inlineStr">
        <is>
          <t>515660</t>
        </is>
      </c>
      <c r="E25" s="24" t="inlineStr">
        <is>
          <t>沪深300ETF国联安</t>
        </is>
      </c>
      <c r="F25" s="26" t="n">
        <v>4.170309</v>
      </c>
      <c r="G25" s="23" t="inlineStr">
        <is>
          <t>159205</t>
        </is>
      </c>
      <c r="H25" s="24" t="inlineStr">
        <is>
          <t>创业板ETF东财</t>
        </is>
      </c>
      <c r="I25" s="25" t="n">
        <v>0.1004478599641756</v>
      </c>
    </row>
    <row r="26">
      <c r="A26" s="23" t="inlineStr">
        <is>
          <t>159583</t>
        </is>
      </c>
      <c r="B26" s="24" t="inlineStr">
        <is>
          <t>通信ETF富国</t>
        </is>
      </c>
      <c r="C26" s="25" t="n">
        <v>0.07040706282862669</v>
      </c>
      <c r="D26" s="23" t="inlineStr">
        <is>
          <t>511090</t>
        </is>
      </c>
      <c r="E26" s="24" t="inlineStr">
        <is>
          <t>30年国债ETF鹏扬</t>
        </is>
      </c>
      <c r="F26" s="26" t="n">
        <v>4.160676</v>
      </c>
      <c r="G26" s="23" t="inlineStr">
        <is>
          <t>158031</t>
        </is>
      </c>
      <c r="H26" s="24" t="inlineStr">
        <is>
          <t>创业板人工智能ETF易方达</t>
        </is>
      </c>
      <c r="I26" s="25" t="n">
        <v>0.1001798268218621</v>
      </c>
    </row>
    <row r="27">
      <c r="A27" s="23" t="inlineStr">
        <is>
          <t>159383</t>
        </is>
      </c>
      <c r="B27" s="24" t="inlineStr">
        <is>
          <t>创业板50ETF华泰柏瑞</t>
        </is>
      </c>
      <c r="C27" s="25" t="n">
        <v>0.06935535556368523</v>
      </c>
      <c r="D27" s="23" t="inlineStr">
        <is>
          <t>159937</t>
        </is>
      </c>
      <c r="E27" s="24" t="inlineStr">
        <is>
          <t>黄金ETF博时</t>
        </is>
      </c>
      <c r="F27" s="26" t="n">
        <v>4.010737</v>
      </c>
      <c r="G27" s="23" t="inlineStr">
        <is>
          <t>516310</t>
        </is>
      </c>
      <c r="H27" s="24" t="inlineStr">
        <is>
          <t>银行ETF易方达</t>
        </is>
      </c>
      <c r="I27" s="25" t="n">
        <v>0.09612486928265347</v>
      </c>
    </row>
    <row r="28">
      <c r="A28" s="23" t="inlineStr">
        <is>
          <t>563550</t>
        </is>
      </c>
      <c r="B28" s="24" t="inlineStr">
        <is>
          <t>A500增强ETF摩根</t>
        </is>
      </c>
      <c r="C28" s="25" t="n">
        <v>0.06553151519785057</v>
      </c>
      <c r="D28" s="23" t="inlineStr">
        <is>
          <t>159583</t>
        </is>
      </c>
      <c r="E28" s="24" t="inlineStr">
        <is>
          <t>通信ETF富国</t>
        </is>
      </c>
      <c r="F28" s="26" t="n">
        <v>3.880016</v>
      </c>
      <c r="G28" s="23" t="inlineStr">
        <is>
          <t>159381</t>
        </is>
      </c>
      <c r="H28" s="24" t="inlineStr">
        <is>
          <t>创业板人工智能ETF华夏</t>
        </is>
      </c>
      <c r="I28" s="25" t="n">
        <v>0.09602170422926011</v>
      </c>
    </row>
    <row r="29">
      <c r="A29" s="23" t="inlineStr">
        <is>
          <t>588020</t>
        </is>
      </c>
      <c r="B29" s="24" t="inlineStr">
        <is>
          <t>科创成长ETF易方达</t>
        </is>
      </c>
      <c r="C29" s="25" t="n">
        <v>0.06453063107730662</v>
      </c>
      <c r="D29" s="23" t="inlineStr">
        <is>
          <t>159977</t>
        </is>
      </c>
      <c r="E29" s="24" t="inlineStr">
        <is>
          <t>创业板ETF天弘</t>
        </is>
      </c>
      <c r="F29" s="26" t="n">
        <v>3.848397</v>
      </c>
      <c r="G29" s="23" t="inlineStr">
        <is>
          <t>516260</t>
        </is>
      </c>
      <c r="H29" s="24" t="inlineStr">
        <is>
          <t>物联网ETF华夏</t>
        </is>
      </c>
      <c r="I29" s="25" t="n">
        <v>0.09404867224550768</v>
      </c>
    </row>
    <row r="30">
      <c r="A30" s="23" t="inlineStr">
        <is>
          <t>516800</t>
        </is>
      </c>
      <c r="B30" s="24" t="inlineStr">
        <is>
          <t>智能制造ETF华宝</t>
        </is>
      </c>
      <c r="C30" s="25" t="n">
        <v>0.06440947248642034</v>
      </c>
      <c r="D30" s="23" t="inlineStr">
        <is>
          <t>159967</t>
        </is>
      </c>
      <c r="E30" s="24" t="inlineStr">
        <is>
          <t>创业板成长ETF华夏</t>
        </is>
      </c>
      <c r="F30" s="26" t="n">
        <v>3.677688</v>
      </c>
      <c r="G30" s="23" t="inlineStr">
        <is>
          <t>560950</t>
        </is>
      </c>
      <c r="H30" s="24" t="inlineStr">
        <is>
          <t>中证500增强ETF汇添富</t>
        </is>
      </c>
      <c r="I30" s="25" t="n">
        <v>0.09234948184709765</v>
      </c>
    </row>
    <row r="31">
      <c r="A31" s="23" t="inlineStr">
        <is>
          <t>159205</t>
        </is>
      </c>
      <c r="B31" s="24" t="inlineStr">
        <is>
          <t>创业板ETF东财</t>
        </is>
      </c>
      <c r="C31" s="25" t="n">
        <v>0.06433702464685161</v>
      </c>
      <c r="D31" s="23" t="inlineStr">
        <is>
          <t>159558</t>
        </is>
      </c>
      <c r="E31" s="24" t="inlineStr">
        <is>
          <t>半导体设备ETF易方达</t>
        </is>
      </c>
      <c r="F31" s="26" t="n">
        <v>3.549542</v>
      </c>
      <c r="G31" s="23" t="inlineStr">
        <is>
          <t>159971</t>
        </is>
      </c>
      <c r="H31" s="24" t="inlineStr">
        <is>
          <t>创业板ETF富国</t>
        </is>
      </c>
      <c r="I31" s="25" t="n">
        <v>0.09024155235252629</v>
      </c>
    </row>
    <row r="32">
      <c r="A32" s="23" t="inlineStr">
        <is>
          <t>159369</t>
        </is>
      </c>
      <c r="B32" s="24" t="inlineStr">
        <is>
          <t>创业板50ETF易方达</t>
        </is>
      </c>
      <c r="C32" s="25" t="n">
        <v>0.06218287645474203</v>
      </c>
      <c r="D32" s="23" t="inlineStr">
        <is>
          <t>159934</t>
        </is>
      </c>
      <c r="E32" s="24" t="inlineStr">
        <is>
          <t>黄金ETF易方达</t>
        </is>
      </c>
      <c r="F32" s="26" t="n">
        <v>3.288764</v>
      </c>
      <c r="G32" s="23" t="inlineStr">
        <is>
          <t>158025</t>
        </is>
      </c>
      <c r="H32" s="24" t="inlineStr">
        <is>
          <t>创业板成长ETF鹏华</t>
        </is>
      </c>
      <c r="I32" s="25" t="n">
        <v>0.08940451771339354</v>
      </c>
    </row>
    <row r="33">
      <c r="A33" s="23" t="inlineStr">
        <is>
          <t>159720</t>
        </is>
      </c>
      <c r="B33" s="24" t="inlineStr">
        <is>
          <t>智能车ETF泰康</t>
        </is>
      </c>
      <c r="C33" s="25" t="n">
        <v>0.06145984714485309</v>
      </c>
      <c r="D33" s="23" t="inlineStr">
        <is>
          <t>511260</t>
        </is>
      </c>
      <c r="E33" s="24" t="inlineStr">
        <is>
          <t>十年国债ETF国泰</t>
        </is>
      </c>
      <c r="F33" s="26" t="n">
        <v>3.119926</v>
      </c>
      <c r="G33" s="23" t="inlineStr">
        <is>
          <t>158063</t>
        </is>
      </c>
      <c r="H33" s="24" t="inlineStr">
        <is>
          <t>创业板算力ETF南方</t>
        </is>
      </c>
      <c r="I33" s="25" t="n">
        <v>0.08760076675262821</v>
      </c>
    </row>
    <row r="36" ht="15" customHeight="1">
      <c r="A36" s="21" t="inlineStr">
        <is>
          <t>份额变化百分比排名（减少前30）</t>
        </is>
      </c>
      <c r="D36" s="21" t="inlineStr">
        <is>
          <t>市值减少最多排名（前30）</t>
        </is>
      </c>
      <c r="G36" s="21" t="inlineStr">
        <is>
          <t>市值减少百分比排名（前30）</t>
        </is>
      </c>
    </row>
    <row r="37">
      <c r="A37" s="22" t="inlineStr">
        <is>
          <t>代码</t>
        </is>
      </c>
      <c r="B37" s="22" t="inlineStr">
        <is>
          <t>名称</t>
        </is>
      </c>
      <c r="C37" s="22" t="inlineStr">
        <is>
          <t>份额变化百分比</t>
        </is>
      </c>
      <c r="D37" s="22" t="inlineStr">
        <is>
          <t>代码</t>
        </is>
      </c>
      <c r="E37" s="22" t="inlineStr">
        <is>
          <t>名称</t>
        </is>
      </c>
      <c r="F37" s="22" t="inlineStr">
        <is>
          <t>减少值（亿）</t>
        </is>
      </c>
      <c r="G37" s="22" t="inlineStr">
        <is>
          <t>代码</t>
        </is>
      </c>
      <c r="H37" s="22" t="inlineStr">
        <is>
          <t>名称</t>
        </is>
      </c>
      <c r="I37" s="22" t="inlineStr">
        <is>
          <t>百分比</t>
        </is>
      </c>
    </row>
    <row r="38">
      <c r="A38" s="27" t="inlineStr">
        <is>
          <t>163821</t>
        </is>
      </c>
      <c r="B38" s="28" t="inlineStr">
        <is>
          <t>沪深300等权LOF</t>
        </is>
      </c>
      <c r="C38" s="29" t="n">
        <v>-0.1958203440711234</v>
      </c>
      <c r="D38" s="27" t="inlineStr">
        <is>
          <t>588000</t>
        </is>
      </c>
      <c r="E38" s="28" t="inlineStr">
        <is>
          <t>科创50ETF华夏</t>
        </is>
      </c>
      <c r="F38" s="30" t="n">
        <v>-60.626047</v>
      </c>
      <c r="G38" s="27" t="inlineStr">
        <is>
          <t>163821</t>
        </is>
      </c>
      <c r="H38" s="28" t="inlineStr">
        <is>
          <t>沪深300等权LOF</t>
        </is>
      </c>
      <c r="I38" s="29" t="n">
        <v>-0.1943750503666694</v>
      </c>
    </row>
    <row r="39">
      <c r="A39" s="27" t="inlineStr">
        <is>
          <t>530080</t>
        </is>
      </c>
      <c r="B39" s="28" t="inlineStr">
        <is>
          <t>上证180ETF天弘</t>
        </is>
      </c>
      <c r="C39" s="29" t="n">
        <v>-0.1822766351733147</v>
      </c>
      <c r="D39" s="27" t="inlineStr">
        <is>
          <t>515880</t>
        </is>
      </c>
      <c r="E39" s="28" t="inlineStr">
        <is>
          <t>通信ETF国泰</t>
        </is>
      </c>
      <c r="F39" s="30" t="n">
        <v>-30.71717</v>
      </c>
      <c r="G39" s="27" t="inlineStr">
        <is>
          <t>589700</t>
        </is>
      </c>
      <c r="H39" s="28" t="inlineStr">
        <is>
          <t>科创成长ETF南方</t>
        </is>
      </c>
      <c r="I39" s="29" t="n">
        <v>-0.1567321903465967</v>
      </c>
    </row>
    <row r="40">
      <c r="A40" s="27" t="inlineStr">
        <is>
          <t>159895</t>
        </is>
      </c>
      <c r="B40" s="28" t="inlineStr">
        <is>
          <t>物联网ETF易方达</t>
        </is>
      </c>
      <c r="C40" s="29" t="n">
        <v>-0.1412305436095439</v>
      </c>
      <c r="D40" s="27" t="inlineStr">
        <is>
          <t>588200</t>
        </is>
      </c>
      <c r="E40" s="28" t="inlineStr">
        <is>
          <t>科创芯片ETF嘉实</t>
        </is>
      </c>
      <c r="F40" s="30" t="n">
        <v>-30.295827</v>
      </c>
      <c r="G40" s="27" t="inlineStr">
        <is>
          <t>510910</t>
        </is>
      </c>
      <c r="H40" s="28" t="inlineStr">
        <is>
          <t>上证指数ETF南方</t>
        </is>
      </c>
      <c r="I40" s="29" t="n">
        <v>-0.1444328188894116</v>
      </c>
    </row>
    <row r="41">
      <c r="A41" s="27" t="inlineStr">
        <is>
          <t>159633</t>
        </is>
      </c>
      <c r="B41" s="28" t="inlineStr">
        <is>
          <t>中证1000ETF易方达</t>
        </is>
      </c>
      <c r="C41" s="29" t="n">
        <v>-0.1263835541630776</v>
      </c>
      <c r="D41" s="27" t="inlineStr">
        <is>
          <t>588170</t>
        </is>
      </c>
      <c r="E41" s="28" t="inlineStr">
        <is>
          <t>科创半导体ETF华夏</t>
        </is>
      </c>
      <c r="F41" s="30" t="n">
        <v>-25.402791</v>
      </c>
      <c r="G41" s="27" t="inlineStr">
        <is>
          <t>589270</t>
        </is>
      </c>
      <c r="H41" s="28" t="inlineStr">
        <is>
          <t>科创100ETF前海开源</t>
        </is>
      </c>
      <c r="I41" s="29" t="n">
        <v>-0.130802839978154</v>
      </c>
    </row>
    <row r="42">
      <c r="A42" s="27" t="inlineStr">
        <is>
          <t>163003</t>
        </is>
      </c>
      <c r="B42" s="28" t="inlineStr">
        <is>
          <t>长信利鑫LOF</t>
        </is>
      </c>
      <c r="C42" s="29" t="n">
        <v>-0.1222279949492291</v>
      </c>
      <c r="D42" s="27" t="inlineStr">
        <is>
          <t>588080</t>
        </is>
      </c>
      <c r="E42" s="28" t="inlineStr">
        <is>
          <t>科创50ETF易方达</t>
        </is>
      </c>
      <c r="F42" s="30" t="n">
        <v>-21.893133</v>
      </c>
      <c r="G42" s="27" t="inlineStr">
        <is>
          <t>163003</t>
        </is>
      </c>
      <c r="H42" s="28" t="inlineStr">
        <is>
          <t>长信利鑫LOF</t>
        </is>
      </c>
      <c r="I42" s="29" t="n">
        <v>-0.1220945647370747</v>
      </c>
    </row>
    <row r="43">
      <c r="A43" s="27" t="inlineStr">
        <is>
          <t>560950</t>
        </is>
      </c>
      <c r="B43" s="28" t="inlineStr">
        <is>
          <t>中证500增强ETF汇添富</t>
        </is>
      </c>
      <c r="C43" s="29" t="n">
        <v>-0.1143968426471429</v>
      </c>
      <c r="D43" s="27" t="inlineStr">
        <is>
          <t>511380</t>
        </is>
      </c>
      <c r="E43" s="28" t="inlineStr">
        <is>
          <t>可转债ETF博时</t>
        </is>
      </c>
      <c r="F43" s="30" t="n">
        <v>-13.572647</v>
      </c>
      <c r="G43" s="27" t="inlineStr">
        <is>
          <t>589300</t>
        </is>
      </c>
      <c r="H43" s="28" t="inlineStr">
        <is>
          <t>科创综指ETF嘉实</t>
        </is>
      </c>
      <c r="I43" s="29" t="n">
        <v>-0.1185000992860297</v>
      </c>
    </row>
    <row r="44">
      <c r="A44" s="27" t="inlineStr">
        <is>
          <t>158078</t>
        </is>
      </c>
      <c r="B44" s="28" t="inlineStr">
        <is>
          <t>创业板电池ETF华宝</t>
        </is>
      </c>
      <c r="C44" s="29" t="n">
        <v>-0.1132345038185204</v>
      </c>
      <c r="D44" s="27" t="inlineStr">
        <is>
          <t>511360</t>
        </is>
      </c>
      <c r="E44" s="28" t="inlineStr">
        <is>
          <t>短融ETF海富通</t>
        </is>
      </c>
      <c r="F44" s="30" t="n">
        <v>-13.337073</v>
      </c>
      <c r="G44" s="27" t="inlineStr">
        <is>
          <t>588690</t>
        </is>
      </c>
      <c r="H44" s="28" t="inlineStr">
        <is>
          <t>科创增强ETF银华</t>
        </is>
      </c>
      <c r="I44" s="29" t="n">
        <v>-0.1173819086906732</v>
      </c>
    </row>
    <row r="45">
      <c r="A45" s="27" t="inlineStr">
        <is>
          <t>159197</t>
        </is>
      </c>
      <c r="B45" s="28" t="inlineStr">
        <is>
          <t>石油ETF招商</t>
        </is>
      </c>
      <c r="C45" s="29" t="n">
        <v>-0.09903860747756342</v>
      </c>
      <c r="D45" s="27" t="inlineStr">
        <is>
          <t>512480</t>
        </is>
      </c>
      <c r="E45" s="28" t="inlineStr">
        <is>
          <t>半导体ETF国联安</t>
        </is>
      </c>
      <c r="F45" s="30" t="n">
        <v>-11.621522</v>
      </c>
      <c r="G45" s="27" t="inlineStr">
        <is>
          <t>560300</t>
        </is>
      </c>
      <c r="H45" s="28" t="inlineStr">
        <is>
          <t>电信ETF汇添富</t>
        </is>
      </c>
      <c r="I45" s="29" t="n">
        <v>-0.1172006404314486</v>
      </c>
    </row>
    <row r="46">
      <c r="A46" s="27" t="inlineStr">
        <is>
          <t>159845</t>
        </is>
      </c>
      <c r="B46" s="28" t="inlineStr">
        <is>
          <t>中证1000ETF华夏</t>
        </is>
      </c>
      <c r="C46" s="29" t="n">
        <v>-0.0963102772236287</v>
      </c>
      <c r="D46" s="27" t="inlineStr">
        <is>
          <t>515050</t>
        </is>
      </c>
      <c r="E46" s="28" t="inlineStr">
        <is>
          <t>通信ETF华夏</t>
        </is>
      </c>
      <c r="F46" s="30" t="n">
        <v>-10.400991</v>
      </c>
      <c r="G46" s="27" t="inlineStr">
        <is>
          <t>159895</t>
        </is>
      </c>
      <c r="H46" s="28" t="inlineStr">
        <is>
          <t>物联网ETF易方达</t>
        </is>
      </c>
      <c r="I46" s="29" t="n">
        <v>-0.1128758516584391</v>
      </c>
    </row>
    <row r="47">
      <c r="A47" s="27" t="inlineStr">
        <is>
          <t>159289</t>
        </is>
      </c>
      <c r="B47" s="28" t="inlineStr">
        <is>
          <t>创业板综指ETF鹏华</t>
        </is>
      </c>
      <c r="C47" s="29" t="n">
        <v>-0.0927598351398002</v>
      </c>
      <c r="D47" s="27" t="inlineStr">
        <is>
          <t>512880</t>
        </is>
      </c>
      <c r="E47" s="28" t="inlineStr">
        <is>
          <t>证券ETF国泰</t>
        </is>
      </c>
      <c r="F47" s="30" t="n">
        <v>-9.634606</v>
      </c>
      <c r="G47" s="27" t="inlineStr">
        <is>
          <t>530580</t>
        </is>
      </c>
      <c r="H47" s="28" t="inlineStr">
        <is>
          <t>上证180ETF南方</t>
        </is>
      </c>
      <c r="I47" s="29" t="n">
        <v>-0.1120756668390412</v>
      </c>
    </row>
    <row r="48">
      <c r="A48" s="27" t="inlineStr">
        <is>
          <t>520650</t>
        </is>
      </c>
      <c r="B48" s="28" t="inlineStr">
        <is>
          <t>港股通互联网ETF南方</t>
        </is>
      </c>
      <c r="C48" s="29" t="n">
        <v>-0.08805847082462755</v>
      </c>
      <c r="D48" s="27" t="inlineStr">
        <is>
          <t>510300</t>
        </is>
      </c>
      <c r="E48" s="28" t="inlineStr">
        <is>
          <t>沪深300ETF华泰柏瑞</t>
        </is>
      </c>
      <c r="F48" s="30" t="n">
        <v>-9.122771</v>
      </c>
      <c r="G48" s="27" t="inlineStr">
        <is>
          <t>589050</t>
        </is>
      </c>
      <c r="H48" s="28" t="inlineStr">
        <is>
          <t>科创综指ETF兴业</t>
        </is>
      </c>
      <c r="I48" s="29" t="n">
        <v>-0.1104395576706316</v>
      </c>
    </row>
    <row r="49">
      <c r="A49" s="27" t="inlineStr">
        <is>
          <t>159629</t>
        </is>
      </c>
      <c r="B49" s="28" t="inlineStr">
        <is>
          <t>中证1000ETF富国</t>
        </is>
      </c>
      <c r="C49" s="29" t="n">
        <v>-0.0858924057613218</v>
      </c>
      <c r="D49" s="27" t="inlineStr">
        <is>
          <t>510500</t>
        </is>
      </c>
      <c r="E49" s="28" t="inlineStr">
        <is>
          <t>中证500ETF南方</t>
        </is>
      </c>
      <c r="F49" s="30" t="n">
        <v>-8.498403</v>
      </c>
      <c r="G49" s="27" t="inlineStr">
        <is>
          <t>159633</t>
        </is>
      </c>
      <c r="H49" s="28" t="inlineStr">
        <is>
          <t>中证1000ETF易方达</t>
        </is>
      </c>
      <c r="I49" s="29" t="n">
        <v>-0.1064142640812686</v>
      </c>
    </row>
    <row r="50">
      <c r="A50" s="27" t="inlineStr">
        <is>
          <t>517350</t>
        </is>
      </c>
      <c r="B50" s="28" t="inlineStr">
        <is>
          <t>沪港深科技ETF广发</t>
        </is>
      </c>
      <c r="C50" s="29" t="n">
        <v>-0.08566288798149682</v>
      </c>
      <c r="D50" s="27" t="inlineStr">
        <is>
          <t>513180</t>
        </is>
      </c>
      <c r="E50" s="28" t="inlineStr">
        <is>
          <t>恒生科技ETF华夏</t>
        </is>
      </c>
      <c r="F50" s="30" t="n">
        <v>-7.403076</v>
      </c>
      <c r="G50" s="27" t="inlineStr">
        <is>
          <t>158078</t>
        </is>
      </c>
      <c r="H50" s="28" t="inlineStr">
        <is>
          <t>创业板电池ETF华宝</t>
        </is>
      </c>
      <c r="I50" s="29" t="n">
        <v>-0.1038019388251417</v>
      </c>
    </row>
    <row r="51">
      <c r="A51" s="27" t="inlineStr">
        <is>
          <t>159291</t>
        </is>
      </c>
      <c r="B51" s="28" t="inlineStr">
        <is>
          <t>创业板综增强ETF招商</t>
        </is>
      </c>
      <c r="C51" s="29" t="n">
        <v>-0.08526098472685877</v>
      </c>
      <c r="D51" s="27" t="inlineStr">
        <is>
          <t>159845</t>
        </is>
      </c>
      <c r="E51" s="28" t="inlineStr">
        <is>
          <t>中证1000ETF华夏</t>
        </is>
      </c>
      <c r="F51" s="30" t="n">
        <v>-6.936756</v>
      </c>
      <c r="G51" s="27" t="inlineStr">
        <is>
          <t>516550</t>
        </is>
      </c>
      <c r="H51" s="28" t="inlineStr">
        <is>
          <t>农业ETF嘉实</t>
        </is>
      </c>
      <c r="I51" s="29" t="n">
        <v>-0.1012201162938268</v>
      </c>
    </row>
    <row r="52">
      <c r="A52" s="27" t="inlineStr">
        <is>
          <t>160622</t>
        </is>
      </c>
      <c r="B52" s="28" t="inlineStr">
        <is>
          <t>鹏华丰利LOF</t>
        </is>
      </c>
      <c r="C52" s="29" t="n">
        <v>-0.08380824401314953</v>
      </c>
      <c r="D52" s="27" t="inlineStr">
        <is>
          <t>588710</t>
        </is>
      </c>
      <c r="E52" s="28" t="inlineStr">
        <is>
          <t>科创半导体设备ETF华泰柏瑞</t>
        </is>
      </c>
      <c r="F52" s="30" t="n">
        <v>-6.916007</v>
      </c>
      <c r="G52" s="27" t="inlineStr">
        <is>
          <t>515880</t>
        </is>
      </c>
      <c r="H52" s="28" t="inlineStr">
        <is>
          <t>通信ETF国泰</t>
        </is>
      </c>
      <c r="I52" s="29" t="n">
        <v>-0.09711856223917711</v>
      </c>
    </row>
    <row r="53">
      <c r="A53" s="27" t="inlineStr">
        <is>
          <t>516260</t>
        </is>
      </c>
      <c r="B53" s="28" t="inlineStr">
        <is>
          <t>物联网ETF华夏</t>
        </is>
      </c>
      <c r="C53" s="29" t="n">
        <v>-0.07423546747929759</v>
      </c>
      <c r="D53" s="27" t="inlineStr">
        <is>
          <t>560780</t>
        </is>
      </c>
      <c r="E53" s="28" t="inlineStr">
        <is>
          <t>半导体设备ETF广发</t>
        </is>
      </c>
      <c r="F53" s="30" t="n">
        <v>-6.803305</v>
      </c>
      <c r="G53" s="27" t="inlineStr">
        <is>
          <t>563330</t>
        </is>
      </c>
      <c r="H53" s="28" t="inlineStr">
        <is>
          <t>A股ETF华泰柏瑞</t>
        </is>
      </c>
      <c r="I53" s="29" t="n">
        <v>-0.09492495104690474</v>
      </c>
    </row>
    <row r="54">
      <c r="A54" s="27" t="inlineStr">
        <is>
          <t>510770</t>
        </is>
      </c>
      <c r="B54" s="28" t="inlineStr">
        <is>
          <t>G60创新ETF申万菱信</t>
        </is>
      </c>
      <c r="C54" s="29" t="n">
        <v>-0.06941006075693995</v>
      </c>
      <c r="D54" s="27" t="inlineStr">
        <is>
          <t>513130</t>
        </is>
      </c>
      <c r="E54" s="28" t="inlineStr">
        <is>
          <t>恒生科技ETF华泰柏瑞</t>
        </is>
      </c>
      <c r="F54" s="30" t="n">
        <v>-6.294404</v>
      </c>
      <c r="G54" s="27" t="inlineStr">
        <is>
          <t>159197</t>
        </is>
      </c>
      <c r="H54" s="28" t="inlineStr">
        <is>
          <t>石油ETF招商</t>
        </is>
      </c>
      <c r="I54" s="29" t="n">
        <v>-0.09394798009605139</v>
      </c>
    </row>
    <row r="55">
      <c r="A55" s="27" t="inlineStr">
        <is>
          <t>159670</t>
        </is>
      </c>
      <c r="B55" s="28" t="inlineStr">
        <is>
          <t>消费50ETF国联安</t>
        </is>
      </c>
      <c r="C55" s="29" t="n">
        <v>-0.06699390846163378</v>
      </c>
      <c r="D55" s="27" t="inlineStr">
        <is>
          <t>512000</t>
        </is>
      </c>
      <c r="E55" s="28" t="inlineStr">
        <is>
          <t>券商ETF华宝</t>
        </is>
      </c>
      <c r="F55" s="30" t="n">
        <v>-6.117724</v>
      </c>
      <c r="G55" s="27" t="inlineStr">
        <is>
          <t>588710</t>
        </is>
      </c>
      <c r="H55" s="28" t="inlineStr">
        <is>
          <t>科创半导体设备ETF华泰柏瑞</t>
        </is>
      </c>
      <c r="I55" s="29" t="n">
        <v>-0.09277283448892361</v>
      </c>
    </row>
    <row r="56">
      <c r="A56" s="27" t="inlineStr">
        <is>
          <t>516180</t>
        </is>
      </c>
      <c r="B56" s="28" t="inlineStr">
        <is>
          <t>光伏ETF平安</t>
        </is>
      </c>
      <c r="C56" s="29" t="n">
        <v>-0.06410790642809977</v>
      </c>
      <c r="D56" s="27" t="inlineStr">
        <is>
          <t>510050</t>
        </is>
      </c>
      <c r="E56" s="28" t="inlineStr">
        <is>
          <t>上证50ETF华夏</t>
        </is>
      </c>
      <c r="F56" s="30" t="n">
        <v>-6.104405</v>
      </c>
      <c r="G56" s="27" t="inlineStr">
        <is>
          <t>589020</t>
        </is>
      </c>
      <c r="H56" s="28" t="inlineStr">
        <is>
          <t>科创半导体设备ETF鹏华</t>
        </is>
      </c>
      <c r="I56" s="29" t="n">
        <v>-0.09252910929017706</v>
      </c>
    </row>
    <row r="57">
      <c r="A57" s="27" t="inlineStr">
        <is>
          <t>562520</t>
        </is>
      </c>
      <c r="B57" s="28" t="inlineStr">
        <is>
          <t>中证1000成长ETF华夏</t>
        </is>
      </c>
      <c r="C57" s="29" t="n">
        <v>-0.06140997297961188</v>
      </c>
      <c r="D57" s="27" t="inlineStr">
        <is>
          <t>513050</t>
        </is>
      </c>
      <c r="E57" s="28" t="inlineStr">
        <is>
          <t>中概互联网ETF易方达</t>
        </is>
      </c>
      <c r="F57" s="30" t="n">
        <v>-6.063614</v>
      </c>
      <c r="G57" s="27" t="inlineStr">
        <is>
          <t>588110</t>
        </is>
      </c>
      <c r="H57" s="28" t="inlineStr">
        <is>
          <t>科创成长ETF广发</t>
        </is>
      </c>
      <c r="I57" s="29" t="n">
        <v>-0.08879250701299449</v>
      </c>
    </row>
    <row r="58">
      <c r="A58" s="27" t="inlineStr">
        <is>
          <t>159376</t>
        </is>
      </c>
      <c r="B58" s="28" t="inlineStr">
        <is>
          <t>A500ETF浦银</t>
        </is>
      </c>
      <c r="C58" s="29" t="n">
        <v>-0.06132170722821652</v>
      </c>
      <c r="D58" s="27" t="inlineStr">
        <is>
          <t>588060</t>
        </is>
      </c>
      <c r="E58" s="28" t="inlineStr">
        <is>
          <t>科创50ETF广发</t>
        </is>
      </c>
      <c r="F58" s="30" t="n">
        <v>-5.328722</v>
      </c>
      <c r="G58" s="27" t="inlineStr">
        <is>
          <t>560690</t>
        </is>
      </c>
      <c r="H58" s="28" t="inlineStr">
        <is>
          <t>电信ETF鹏华</t>
        </is>
      </c>
      <c r="I58" s="29" t="n">
        <v>-0.08807239003026986</v>
      </c>
    </row>
    <row r="59">
      <c r="A59" s="27" t="inlineStr">
        <is>
          <t>159701</t>
        </is>
      </c>
      <c r="B59" s="28" t="inlineStr">
        <is>
          <t>物联网ETF招商</t>
        </is>
      </c>
      <c r="C59" s="29" t="n">
        <v>-0.05986016306746462</v>
      </c>
      <c r="D59" s="27" t="inlineStr">
        <is>
          <t>513010</t>
        </is>
      </c>
      <c r="E59" s="28" t="inlineStr">
        <is>
          <t>恒生科技ETF易方达</t>
        </is>
      </c>
      <c r="F59" s="30" t="n">
        <v>-5.044524</v>
      </c>
      <c r="G59" s="27" t="inlineStr">
        <is>
          <t>160622</t>
        </is>
      </c>
      <c r="H59" s="28" t="inlineStr">
        <is>
          <t>鹏华丰利LOF</t>
        </is>
      </c>
      <c r="I59" s="29" t="n">
        <v>-0.08332802468873649</v>
      </c>
    </row>
    <row r="60">
      <c r="A60" s="27" t="inlineStr">
        <is>
          <t>563890</t>
        </is>
      </c>
      <c r="B60" s="28" t="inlineStr">
        <is>
          <t>国企红利ETF创金合信</t>
        </is>
      </c>
      <c r="C60" s="29" t="n">
        <v>-0.05308982798895732</v>
      </c>
      <c r="D60" s="27" t="inlineStr">
        <is>
          <t>562500</t>
        </is>
      </c>
      <c r="E60" s="28" t="inlineStr">
        <is>
          <t>机器人ETF华夏</t>
        </is>
      </c>
      <c r="F60" s="30" t="n">
        <v>-5.019843</v>
      </c>
      <c r="G60" s="27" t="inlineStr">
        <is>
          <t>588020</t>
        </is>
      </c>
      <c r="H60" s="28" t="inlineStr">
        <is>
          <t>科创成长ETF易方达</t>
        </is>
      </c>
      <c r="I60" s="29" t="n">
        <v>-0.08116441033016508</v>
      </c>
    </row>
    <row r="61">
      <c r="A61" s="27" t="inlineStr">
        <is>
          <t>159192</t>
        </is>
      </c>
      <c r="B61" s="28" t="inlineStr">
        <is>
          <t>家电ETF汇添富</t>
        </is>
      </c>
      <c r="C61" s="29" t="n">
        <v>-0.05266743438230185</v>
      </c>
      <c r="D61" s="27" t="inlineStr">
        <is>
          <t>513330</t>
        </is>
      </c>
      <c r="E61" s="28" t="inlineStr">
        <is>
          <t>恒生互联网ETF华夏</t>
        </is>
      </c>
      <c r="F61" s="30" t="n">
        <v>-4.780569</v>
      </c>
      <c r="G61" s="27" t="inlineStr">
        <is>
          <t>588820</t>
        </is>
      </c>
      <c r="H61" s="28" t="inlineStr">
        <is>
          <t>科创200ETF华夏</t>
        </is>
      </c>
      <c r="I61" s="29" t="n">
        <v>-0.08096213778742782</v>
      </c>
    </row>
    <row r="62">
      <c r="A62" s="27" t="inlineStr">
        <is>
          <t>526010</t>
        </is>
      </c>
      <c r="B62" s="28" t="inlineStr">
        <is>
          <t>港股通医疗ETF汇添富</t>
        </is>
      </c>
      <c r="C62" s="29" t="n">
        <v>-0.04943398091848336</v>
      </c>
      <c r="D62" s="27" t="inlineStr">
        <is>
          <t>562590</t>
        </is>
      </c>
      <c r="E62" s="28" t="inlineStr">
        <is>
          <t>半导体设备ETF华夏</t>
        </is>
      </c>
      <c r="F62" s="30" t="n">
        <v>-4.613356</v>
      </c>
      <c r="G62" s="27" t="inlineStr">
        <is>
          <t>588040</t>
        </is>
      </c>
      <c r="H62" s="28" t="inlineStr">
        <is>
          <t>科创50ETF鹏华</t>
        </is>
      </c>
      <c r="I62" s="29" t="n">
        <v>-0.07796175869045534</v>
      </c>
    </row>
    <row r="63">
      <c r="A63" s="27" t="inlineStr">
        <is>
          <t>513620</t>
        </is>
      </c>
      <c r="B63" s="28" t="inlineStr">
        <is>
          <t>港股医疗ETF银华</t>
        </is>
      </c>
      <c r="C63" s="29" t="n">
        <v>-0.04745634016704631</v>
      </c>
      <c r="D63" s="27" t="inlineStr">
        <is>
          <t>588050</t>
        </is>
      </c>
      <c r="E63" s="28" t="inlineStr">
        <is>
          <t>科创50ETF工银</t>
        </is>
      </c>
      <c r="F63" s="30" t="n">
        <v>-4.465398</v>
      </c>
      <c r="G63" s="27" t="inlineStr">
        <is>
          <t>588200</t>
        </is>
      </c>
      <c r="H63" s="28" t="inlineStr">
        <is>
          <t>科创芯片ETF嘉实</t>
        </is>
      </c>
      <c r="I63" s="29" t="n">
        <v>-0.07769913044005024</v>
      </c>
    </row>
    <row r="64">
      <c r="A64" s="27" t="inlineStr">
        <is>
          <t>510500</t>
        </is>
      </c>
      <c r="B64" s="28" t="inlineStr">
        <is>
          <t>中证500ETF南方</t>
        </is>
      </c>
      <c r="C64" s="29" t="n">
        <v>-0.04367349010404701</v>
      </c>
      <c r="D64" s="27" t="inlineStr">
        <is>
          <t>512400</t>
        </is>
      </c>
      <c r="E64" s="28" t="inlineStr">
        <is>
          <t>有色金属ETF南方</t>
        </is>
      </c>
      <c r="F64" s="30" t="n">
        <v>-4.413127</v>
      </c>
      <c r="G64" s="27" t="inlineStr">
        <is>
          <t>560780</t>
        </is>
      </c>
      <c r="H64" s="28" t="inlineStr">
        <is>
          <t>半导体设备ETF广发</t>
        </is>
      </c>
      <c r="I64" s="29" t="n">
        <v>-0.0775795539066607</v>
      </c>
    </row>
    <row r="65">
      <c r="A65" s="27" t="inlineStr">
        <is>
          <t>560100</t>
        </is>
      </c>
      <c r="B65" s="28" t="inlineStr">
        <is>
          <t>中证500增强ETF南方</t>
        </is>
      </c>
      <c r="C65" s="29" t="n">
        <v>-0.04105073460289572</v>
      </c>
      <c r="D65" s="27" t="inlineStr">
        <is>
          <t>513090</t>
        </is>
      </c>
      <c r="E65" s="28" t="inlineStr">
        <is>
          <t>香港证券ETF易方达</t>
        </is>
      </c>
      <c r="F65" s="30" t="n">
        <v>-3.86857</v>
      </c>
      <c r="G65" s="27" t="inlineStr">
        <is>
          <t>588170</t>
        </is>
      </c>
      <c r="H65" s="28" t="inlineStr">
        <is>
          <t>科创半导体ETF华夏</t>
        </is>
      </c>
      <c r="I65" s="29" t="n">
        <v>-0.07756459032725968</v>
      </c>
    </row>
    <row r="66">
      <c r="A66" s="27" t="inlineStr">
        <is>
          <t>159261</t>
        </is>
      </c>
      <c r="B66" s="28" t="inlineStr">
        <is>
          <t>创业板新能源ETF鹏华</t>
        </is>
      </c>
      <c r="C66" s="29" t="n">
        <v>-0.0401486270052834</v>
      </c>
      <c r="D66" s="27" t="inlineStr">
        <is>
          <t>159633</t>
        </is>
      </c>
      <c r="E66" s="28" t="inlineStr">
        <is>
          <t>中证1000ETF易方达</t>
        </is>
      </c>
      <c r="F66" s="30" t="n">
        <v>-3.672435</v>
      </c>
      <c r="G66" s="27" t="inlineStr">
        <is>
          <t>588990</t>
        </is>
      </c>
      <c r="H66" s="28" t="inlineStr">
        <is>
          <t>科创芯片ETF博时</t>
        </is>
      </c>
      <c r="I66" s="29" t="n">
        <v>-0.07704778287290089</v>
      </c>
    </row>
    <row r="67">
      <c r="A67" s="27" t="inlineStr">
        <is>
          <t>159025</t>
        </is>
      </c>
      <c r="B67" s="28" t="inlineStr">
        <is>
          <t>家电ETF华安</t>
        </is>
      </c>
      <c r="C67" s="29" t="n">
        <v>-0.04005203079216148</v>
      </c>
      <c r="D67" s="27" t="inlineStr">
        <is>
          <t>589020</t>
        </is>
      </c>
      <c r="E67" s="28" t="inlineStr">
        <is>
          <t>科创半导体设备ETF鹏华</t>
        </is>
      </c>
      <c r="F67" s="30" t="n">
        <v>-3.448041</v>
      </c>
      <c r="G67" s="27" t="inlineStr">
        <is>
          <t>562820</t>
        </is>
      </c>
      <c r="H67" s="28" t="inlineStr">
        <is>
          <t>集成电路ETF嘉实</t>
        </is>
      </c>
      <c r="I67" s="29" t="n">
        <v>-0.07605470653715543</v>
      </c>
    </row>
  </sheetData>
  <mergeCells count="11">
    <mergeCell ref="D2:F2"/>
    <mergeCell ref="G2:I2"/>
    <mergeCell ref="A36:C36"/>
    <mergeCell ref="G36:I36"/>
    <mergeCell ref="J36:M36"/>
    <mergeCell ref="D40:F40"/>
    <mergeCell ref="A40:C40"/>
    <mergeCell ref="D36:F36"/>
    <mergeCell ref="G40:I40"/>
    <mergeCell ref="J2:M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topLeftCell="A13" workbookViewId="0">
      <selection activeCell="A28" sqref="A28:I48"/>
    </sheetView>
  </sheetViews>
  <sheetFormatPr baseColWidth="8" defaultColWidth="9" defaultRowHeight="13.5"/>
  <cols>
    <col width="10" customWidth="1" style="2" min="1" max="1"/>
    <col width="22" customWidth="1" style="2" min="2" max="2"/>
    <col width="14" customWidth="1" style="2" min="3" max="3"/>
    <col width="10" customWidth="1" min="4" max="4"/>
    <col width="22" customWidth="1" min="5" max="5"/>
    <col width="14" customWidth="1" min="6" max="6"/>
    <col width="10" customWidth="1" style="2" min="7" max="7"/>
    <col width="22" customWidth="1" style="2" min="8" max="8"/>
    <col width="14" customWidth="1" style="3" min="9" max="9"/>
    <col width="20.625" customWidth="1" min="10" max="12"/>
    <col width="20.625" customWidth="1" style="4" min="13" max="13"/>
  </cols>
  <sheetData>
    <row r="1" ht="22" customHeight="1">
      <c r="A1" s="20" t="inlineStr">
        <is>
          <t>2026-10-30</t>
        </is>
      </c>
    </row>
    <row r="2" ht="12" customFormat="1" customHeight="1" s="1">
      <c r="A2" s="21" t="inlineStr">
        <is>
          <t>份额变化百分比排名（增加前20）</t>
        </is>
      </c>
      <c r="D2" s="21" t="inlineStr">
        <is>
          <t>市值增长最多排名（前20）</t>
        </is>
      </c>
      <c r="G2" s="21" t="inlineStr">
        <is>
          <t>市值增长百分比排名（前20）</t>
        </is>
      </c>
    </row>
    <row r="3">
      <c r="A3" s="22" t="inlineStr">
        <is>
          <t>代码</t>
        </is>
      </c>
      <c r="B3" s="22" t="inlineStr">
        <is>
          <t>名称</t>
        </is>
      </c>
      <c r="C3" s="22" t="inlineStr">
        <is>
          <t>份额变化百分比</t>
        </is>
      </c>
      <c r="D3" s="22" t="inlineStr">
        <is>
          <t>代码</t>
        </is>
      </c>
      <c r="E3" s="22" t="inlineStr">
        <is>
          <t>名称</t>
        </is>
      </c>
      <c r="F3" s="22" t="inlineStr">
        <is>
          <t>增长值（亿）</t>
        </is>
      </c>
      <c r="G3" s="22" t="inlineStr">
        <is>
          <t>代码</t>
        </is>
      </c>
      <c r="H3" s="22" t="inlineStr">
        <is>
          <t>名称</t>
        </is>
      </c>
      <c r="I3" s="22" t="inlineStr">
        <is>
          <t>百分比</t>
        </is>
      </c>
    </row>
    <row r="4">
      <c r="A4" s="23" t="inlineStr">
        <is>
          <t>159919</t>
        </is>
      </c>
      <c r="B4" s="24" t="inlineStr">
        <is>
          <t>沪深300ETF嘉实</t>
        </is>
      </c>
      <c r="C4" s="25" t="n">
        <v>0.07135543091021621</v>
      </c>
      <c r="D4" s="23" t="inlineStr">
        <is>
          <t>159915</t>
        </is>
      </c>
      <c r="E4" s="24" t="inlineStr">
        <is>
          <t>创业板ETF易方达</t>
        </is>
      </c>
      <c r="F4" s="26" t="n">
        <v>69.713413</v>
      </c>
      <c r="G4" s="23" t="inlineStr">
        <is>
          <t>159952</t>
        </is>
      </c>
      <c r="H4" s="24" t="inlineStr">
        <is>
          <t>创业板ETF广发</t>
        </is>
      </c>
      <c r="I4" s="25" t="n">
        <v>0.08528349376082907</v>
      </c>
    </row>
    <row r="5">
      <c r="A5" s="23" t="inlineStr">
        <is>
          <t>159952</t>
        </is>
      </c>
      <c r="B5" s="24" t="inlineStr">
        <is>
          <t>创业板ETF广发</t>
        </is>
      </c>
      <c r="C5" s="25" t="n">
        <v>0.04969822119444569</v>
      </c>
      <c r="D5" s="23" t="inlineStr">
        <is>
          <t>159919</t>
        </is>
      </c>
      <c r="E5" s="24" t="inlineStr">
        <is>
          <t>沪深300ETF嘉实</t>
        </is>
      </c>
      <c r="F5" s="26" t="n">
        <v>37.219759</v>
      </c>
      <c r="G5" s="23" t="inlineStr">
        <is>
          <t>159919</t>
        </is>
      </c>
      <c r="H5" s="24" t="inlineStr">
        <is>
          <t>沪深300ETF嘉实</t>
        </is>
      </c>
      <c r="I5" s="25" t="n">
        <v>0.08030888550900843</v>
      </c>
    </row>
    <row r="6">
      <c r="A6" s="23" t="inlineStr">
        <is>
          <t>159915</t>
        </is>
      </c>
      <c r="B6" s="24" t="inlineStr">
        <is>
          <t>创业板ETF易方达</t>
        </is>
      </c>
      <c r="C6" s="25" t="n">
        <v>0.04243132958372187</v>
      </c>
      <c r="D6" s="23" t="inlineStr">
        <is>
          <t>159949</t>
        </is>
      </c>
      <c r="E6" s="24" t="inlineStr">
        <is>
          <t>创业板50ETF华安</t>
        </is>
      </c>
      <c r="F6" s="26" t="n">
        <v>16.785591</v>
      </c>
      <c r="G6" s="23" t="inlineStr">
        <is>
          <t>159915</t>
        </is>
      </c>
      <c r="H6" s="24" t="inlineStr">
        <is>
          <t>创业板ETF易方达</t>
        </is>
      </c>
      <c r="I6" s="25" t="n">
        <v>0.07787131158880757</v>
      </c>
    </row>
    <row r="7">
      <c r="A7" s="23" t="inlineStr">
        <is>
          <t>159206</t>
        </is>
      </c>
      <c r="B7" s="24" t="inlineStr">
        <is>
          <t>卫星ETF永赢</t>
        </is>
      </c>
      <c r="C7" s="25" t="n">
        <v>0.03676322723117482</v>
      </c>
      <c r="D7" s="23" t="inlineStr">
        <is>
          <t>159530</t>
        </is>
      </c>
      <c r="E7" s="24" t="inlineStr">
        <is>
          <t>机器人ETF易方达</t>
        </is>
      </c>
      <c r="F7" s="26" t="n">
        <v>12.561118</v>
      </c>
      <c r="G7" s="23" t="inlineStr">
        <is>
          <t>159206</t>
        </is>
      </c>
      <c r="H7" s="24" t="inlineStr">
        <is>
          <t>卫星ETF永赢</t>
        </is>
      </c>
      <c r="I7" s="25" t="n">
        <v>0.07513118948347165</v>
      </c>
    </row>
    <row r="8">
      <c r="A8" s="23" t="inlineStr">
        <is>
          <t>515880</t>
        </is>
      </c>
      <c r="B8" s="24" t="inlineStr">
        <is>
          <t>通信ETF国泰</t>
        </is>
      </c>
      <c r="C8" s="25" t="n">
        <v>0.03210232587187728</v>
      </c>
      <c r="D8" s="23" t="inlineStr">
        <is>
          <t>159952</t>
        </is>
      </c>
      <c r="E8" s="24" t="inlineStr">
        <is>
          <t>创业板ETF广发</t>
        </is>
      </c>
      <c r="F8" s="26" t="n">
        <v>11.858824</v>
      </c>
      <c r="G8" s="23" t="inlineStr">
        <is>
          <t>159530</t>
        </is>
      </c>
      <c r="H8" s="24" t="inlineStr">
        <is>
          <t>机器人ETF易方达</t>
        </is>
      </c>
      <c r="I8" s="25" t="n">
        <v>0.07087911732295481</v>
      </c>
    </row>
    <row r="9">
      <c r="A9" s="23" t="inlineStr">
        <is>
          <t>588000</t>
        </is>
      </c>
      <c r="B9" s="24" t="inlineStr">
        <is>
          <t>科创50ETF华夏</t>
        </is>
      </c>
      <c r="C9" s="25" t="n">
        <v>0.03125562764270824</v>
      </c>
      <c r="D9" s="23" t="inlineStr">
        <is>
          <t>511070</t>
        </is>
      </c>
      <c r="E9" s="24" t="inlineStr">
        <is>
          <t>公司债ETF南方</t>
        </is>
      </c>
      <c r="F9" s="26" t="n">
        <v>10.736181</v>
      </c>
      <c r="G9" s="23" t="inlineStr">
        <is>
          <t>159949</t>
        </is>
      </c>
      <c r="H9" s="24" t="inlineStr">
        <is>
          <t>创业板50ETF华安</t>
        </is>
      </c>
      <c r="I9" s="25" t="n">
        <v>0.06571135674466354</v>
      </c>
    </row>
    <row r="10">
      <c r="A10" s="23" t="inlineStr">
        <is>
          <t>510300</t>
        </is>
      </c>
      <c r="B10" s="24" t="inlineStr">
        <is>
          <t>沪深300ETF华泰柏瑞</t>
        </is>
      </c>
      <c r="C10" s="25" t="n">
        <v>0.03018341977634762</v>
      </c>
      <c r="D10" s="23" t="inlineStr">
        <is>
          <t>159338</t>
        </is>
      </c>
      <c r="E10" s="24" t="inlineStr">
        <is>
          <t>中证A500ETF国泰</t>
        </is>
      </c>
      <c r="F10" s="26" t="n">
        <v>9.842549999999999</v>
      </c>
      <c r="G10" s="23" t="inlineStr">
        <is>
          <t>159781</t>
        </is>
      </c>
      <c r="H10" s="24" t="inlineStr">
        <is>
          <t>科创创业ETF易方达</t>
        </is>
      </c>
      <c r="I10" s="25" t="n">
        <v>0.05520782136086622</v>
      </c>
    </row>
    <row r="11">
      <c r="A11" s="23" t="inlineStr">
        <is>
          <t>159949</t>
        </is>
      </c>
      <c r="B11" s="24" t="inlineStr">
        <is>
          <t>创业板50ETF华安</t>
        </is>
      </c>
      <c r="C11" s="25" t="n">
        <v>0.02846353676248799</v>
      </c>
      <c r="D11" s="23" t="inlineStr">
        <is>
          <t>159361</t>
        </is>
      </c>
      <c r="E11" s="24" t="inlineStr">
        <is>
          <t>A500ETF易方达</t>
        </is>
      </c>
      <c r="F11" s="26" t="n">
        <v>9.265126</v>
      </c>
      <c r="G11" s="23" t="inlineStr">
        <is>
          <t>512800</t>
        </is>
      </c>
      <c r="H11" s="24" t="inlineStr">
        <is>
          <t>银行ETF华宝</t>
        </is>
      </c>
      <c r="I11" s="25" t="n">
        <v>0.04579833912449421</v>
      </c>
    </row>
    <row r="12">
      <c r="A12" s="23" t="inlineStr">
        <is>
          <t>512800</t>
        </is>
      </c>
      <c r="B12" s="24" t="inlineStr">
        <is>
          <t>银行ETF华宝</t>
        </is>
      </c>
      <c r="C12" s="25" t="n">
        <v>0.02591575831763713</v>
      </c>
      <c r="D12" s="23" t="inlineStr">
        <is>
          <t>159995</t>
        </is>
      </c>
      <c r="E12" s="24" t="inlineStr">
        <is>
          <t>芯片ETF华夏</t>
        </is>
      </c>
      <c r="F12" s="26" t="n">
        <v>9.217131999999999</v>
      </c>
      <c r="G12" s="23" t="inlineStr">
        <is>
          <t>159995</t>
        </is>
      </c>
      <c r="H12" s="24" t="inlineStr">
        <is>
          <t>芯片ETF华夏</t>
        </is>
      </c>
      <c r="I12" s="25" t="n">
        <v>0.04330654110915912</v>
      </c>
    </row>
    <row r="13">
      <c r="A13" s="23" t="inlineStr">
        <is>
          <t>159338</t>
        </is>
      </c>
      <c r="B13" s="24" t="inlineStr">
        <is>
          <t>中证A500ETF国泰</t>
        </is>
      </c>
      <c r="C13" s="25" t="n">
        <v>0.02417003932787356</v>
      </c>
      <c r="D13" s="23" t="inlineStr">
        <is>
          <t>159781</t>
        </is>
      </c>
      <c r="E13" s="24" t="inlineStr">
        <is>
          <t>科创创业ETF易方达</t>
        </is>
      </c>
      <c r="F13" s="26" t="n">
        <v>8.408322999999999</v>
      </c>
      <c r="G13" s="23" t="inlineStr">
        <is>
          <t>159338</t>
        </is>
      </c>
      <c r="H13" s="24" t="inlineStr">
        <is>
          <t>中证A500ETF国泰</t>
        </is>
      </c>
      <c r="I13" s="25" t="n">
        <v>0.03624315040617438</v>
      </c>
    </row>
    <row r="14">
      <c r="A14" s="23" t="inlineStr">
        <is>
          <t>159361</t>
        </is>
      </c>
      <c r="B14" s="24" t="inlineStr">
        <is>
          <t>A500ETF易方达</t>
        </is>
      </c>
      <c r="C14" s="25" t="n">
        <v>0.02110557029871671</v>
      </c>
      <c r="D14" s="23" t="inlineStr">
        <is>
          <t>159352</t>
        </is>
      </c>
      <c r="E14" s="24" t="inlineStr">
        <is>
          <t>A500ETF南方</t>
        </is>
      </c>
      <c r="F14" s="26" t="n">
        <v>7.933504</v>
      </c>
      <c r="G14" s="23" t="inlineStr">
        <is>
          <t>159819</t>
        </is>
      </c>
      <c r="H14" s="24" t="inlineStr">
        <is>
          <t>人工智能ETF易方达</t>
        </is>
      </c>
      <c r="I14" s="25" t="n">
        <v>0.03483684674727176</v>
      </c>
    </row>
    <row r="15">
      <c r="A15" s="23" t="inlineStr">
        <is>
          <t>159530</t>
        </is>
      </c>
      <c r="B15" s="24" t="inlineStr">
        <is>
          <t>机器人ETF易方达</t>
        </is>
      </c>
      <c r="C15" s="25" t="n">
        <v>0.01884151359417251</v>
      </c>
      <c r="D15" s="23" t="inlineStr">
        <is>
          <t>159206</t>
        </is>
      </c>
      <c r="E15" s="24" t="inlineStr">
        <is>
          <t>卫星ETF永赢</t>
        </is>
      </c>
      <c r="F15" s="26" t="n">
        <v>7.437997</v>
      </c>
      <c r="G15" s="23" t="inlineStr">
        <is>
          <t>159361</t>
        </is>
      </c>
      <c r="H15" s="24" t="inlineStr">
        <is>
          <t>A500ETF易方达</t>
        </is>
      </c>
      <c r="I15" s="25" t="n">
        <v>0.03318909521248063</v>
      </c>
    </row>
    <row r="16">
      <c r="A16" s="23" t="inlineStr">
        <is>
          <t>159781</t>
        </is>
      </c>
      <c r="B16" s="24" t="inlineStr">
        <is>
          <t>科创创业ETF易方达</t>
        </is>
      </c>
      <c r="C16" s="25" t="n">
        <v>0.0185759828826374</v>
      </c>
      <c r="D16" s="23" t="inlineStr">
        <is>
          <t>159516</t>
        </is>
      </c>
      <c r="E16" s="24" t="inlineStr">
        <is>
          <t>半导体设备ETF国泰</t>
        </is>
      </c>
      <c r="F16" s="26" t="n">
        <v>7.341539</v>
      </c>
      <c r="G16" s="23" t="inlineStr">
        <is>
          <t>510880</t>
        </is>
      </c>
      <c r="H16" s="24" t="inlineStr">
        <is>
          <t>红利ETF华泰柏瑞</t>
        </is>
      </c>
      <c r="I16" s="25" t="n">
        <v>0.03240434549822819</v>
      </c>
    </row>
    <row r="17">
      <c r="A17" s="23" t="inlineStr">
        <is>
          <t>551520</t>
        </is>
      </c>
      <c r="B17" s="24" t="inlineStr">
        <is>
          <t>科创债ETF汇添富</t>
        </is>
      </c>
      <c r="C17" s="25" t="n">
        <v>0.01730882650430085</v>
      </c>
      <c r="D17" s="23" t="inlineStr">
        <is>
          <t>510880</t>
        </is>
      </c>
      <c r="E17" s="24" t="inlineStr">
        <is>
          <t>红利ETF华泰柏瑞</t>
        </is>
      </c>
      <c r="F17" s="26" t="n">
        <v>6.55625</v>
      </c>
      <c r="G17" s="23" t="inlineStr">
        <is>
          <t>159516</t>
        </is>
      </c>
      <c r="H17" s="24" t="inlineStr">
        <is>
          <t>半导体设备ETF国泰</t>
        </is>
      </c>
      <c r="I17" s="25" t="n">
        <v>0.02741330721604403</v>
      </c>
    </row>
    <row r="18">
      <c r="A18" s="23" t="inlineStr">
        <is>
          <t>511130</t>
        </is>
      </c>
      <c r="B18" s="24" t="inlineStr">
        <is>
          <t>30年国债ETF博时</t>
        </is>
      </c>
      <c r="C18" s="25" t="n">
        <v>0.01721802822804143</v>
      </c>
      <c r="D18" s="23" t="inlineStr">
        <is>
          <t>511110</t>
        </is>
      </c>
      <c r="E18" s="24" t="inlineStr">
        <is>
          <t>公司债ETF易方达</t>
        </is>
      </c>
      <c r="F18" s="26" t="n">
        <v>6.423765</v>
      </c>
      <c r="G18" s="23" t="inlineStr">
        <is>
          <t>511070</t>
        </is>
      </c>
      <c r="H18" s="24" t="inlineStr">
        <is>
          <t>公司债ETF南方</t>
        </is>
      </c>
      <c r="I18" s="25" t="n">
        <v>0.02679247454601858</v>
      </c>
    </row>
    <row r="19">
      <c r="A19" s="23" t="inlineStr">
        <is>
          <t>563360</t>
        </is>
      </c>
      <c r="B19" s="24" t="inlineStr">
        <is>
          <t>A500ETF华泰柏瑞</t>
        </is>
      </c>
      <c r="C19" s="25" t="n">
        <v>0.01469434647115973</v>
      </c>
      <c r="D19" s="23" t="inlineStr">
        <is>
          <t>159819</t>
        </is>
      </c>
      <c r="E19" s="24" t="inlineStr">
        <is>
          <t>人工智能ETF易方达</t>
        </is>
      </c>
      <c r="F19" s="26" t="n">
        <v>6.001937</v>
      </c>
      <c r="G19" s="23" t="inlineStr">
        <is>
          <t>159558</t>
        </is>
      </c>
      <c r="H19" s="24" t="inlineStr">
        <is>
          <t>半导体设备ETF易方达</t>
        </is>
      </c>
      <c r="I19" s="25" t="n">
        <v>0.02534305501269201</v>
      </c>
    </row>
    <row r="20">
      <c r="A20" s="23" t="inlineStr">
        <is>
          <t>510210</t>
        </is>
      </c>
      <c r="B20" s="24" t="inlineStr">
        <is>
          <t>上证指数ETF富国</t>
        </is>
      </c>
      <c r="C20" s="25" t="n">
        <v>0.01444369971427185</v>
      </c>
      <c r="D20" s="23" t="inlineStr">
        <is>
          <t>512800</t>
        </is>
      </c>
      <c r="E20" s="24" t="inlineStr">
        <is>
          <t>银行ETF华宝</t>
        </is>
      </c>
      <c r="F20" s="26" t="n">
        <v>5.710662</v>
      </c>
      <c r="G20" s="23" t="inlineStr">
        <is>
          <t>159352</t>
        </is>
      </c>
      <c r="H20" s="24" t="inlineStr">
        <is>
          <t>A500ETF南方</t>
        </is>
      </c>
      <c r="I20" s="25" t="n">
        <v>0.02488567690162949</v>
      </c>
    </row>
    <row r="21">
      <c r="A21" s="23" t="inlineStr">
        <is>
          <t>588080</t>
        </is>
      </c>
      <c r="B21" s="24" t="inlineStr">
        <is>
          <t>科创50ETF易方达</t>
        </is>
      </c>
      <c r="C21" s="25" t="n">
        <v>0.01429329473249209</v>
      </c>
      <c r="D21" s="23" t="inlineStr">
        <is>
          <t>511190</t>
        </is>
      </c>
      <c r="E21" s="24" t="inlineStr">
        <is>
          <t>信用债ETF海富通</t>
        </is>
      </c>
      <c r="F21" s="26" t="n">
        <v>5.578769</v>
      </c>
      <c r="G21" s="23" t="inlineStr">
        <is>
          <t>159740</t>
        </is>
      </c>
      <c r="H21" s="24" t="inlineStr">
        <is>
          <t>恒生科技ETF大成</t>
        </is>
      </c>
      <c r="I21" s="25" t="n">
        <v>0.02045364984263814</v>
      </c>
    </row>
    <row r="22">
      <c r="A22" s="23" t="inlineStr">
        <is>
          <t>159352</t>
        </is>
      </c>
      <c r="B22" s="24" t="inlineStr">
        <is>
          <t>A500ETF南方</t>
        </is>
      </c>
      <c r="C22" s="25" t="n">
        <v>0.01351346623543307</v>
      </c>
      <c r="D22" s="23" t="inlineStr">
        <is>
          <t>159941</t>
        </is>
      </c>
      <c r="E22" s="24" t="inlineStr">
        <is>
          <t>纳指ETF广发</t>
        </is>
      </c>
      <c r="F22" s="26" t="n">
        <v>4.381367</v>
      </c>
      <c r="G22" s="23" t="inlineStr">
        <is>
          <t>511270</t>
        </is>
      </c>
      <c r="H22" s="24" t="inlineStr">
        <is>
          <t>10年地方债ETF海富通</t>
        </is>
      </c>
      <c r="I22" s="25" t="n">
        <v>0.01966758615032467</v>
      </c>
    </row>
    <row r="23">
      <c r="A23" s="23" t="inlineStr">
        <is>
          <t>511150</t>
        </is>
      </c>
      <c r="B23" s="24" t="inlineStr">
        <is>
          <t>科创债ETF永赢</t>
        </is>
      </c>
      <c r="C23" s="25" t="n">
        <v>0.01322526262919707</v>
      </c>
      <c r="D23" s="23" t="inlineStr">
        <is>
          <t>512890</t>
        </is>
      </c>
      <c r="E23" s="24" t="inlineStr">
        <is>
          <t>红利低波ETF华泰柏瑞</t>
        </is>
      </c>
      <c r="F23" s="26" t="n">
        <v>4.277137</v>
      </c>
      <c r="G23" s="23" t="inlineStr">
        <is>
          <t>511190</t>
        </is>
      </c>
      <c r="H23" s="24" t="inlineStr">
        <is>
          <t>信用债ETF海富通</t>
        </is>
      </c>
      <c r="I23" s="25" t="n">
        <v>0.01856211621385373</v>
      </c>
    </row>
    <row r="26" ht="15" customHeight="1">
      <c r="A26" s="21" t="inlineStr">
        <is>
          <t>份额变化百分比排名（减少前20）</t>
        </is>
      </c>
      <c r="D26" s="21" t="inlineStr">
        <is>
          <t>市值减少最多排名（前20）</t>
        </is>
      </c>
      <c r="G26" s="21" t="inlineStr">
        <is>
          <t>市值减少百分比排名（前20）</t>
        </is>
      </c>
    </row>
    <row r="27">
      <c r="A27" s="22" t="inlineStr">
        <is>
          <t>代码</t>
        </is>
      </c>
      <c r="B27" s="22" t="inlineStr">
        <is>
          <t>名称</t>
        </is>
      </c>
      <c r="C27" s="22" t="inlineStr">
        <is>
          <t>份额变化百分比</t>
        </is>
      </c>
      <c r="D27" s="22" t="inlineStr">
        <is>
          <t>代码</t>
        </is>
      </c>
      <c r="E27" s="22" t="inlineStr">
        <is>
          <t>名称</t>
        </is>
      </c>
      <c r="F27" s="22" t="inlineStr">
        <is>
          <t>减少值（亿）</t>
        </is>
      </c>
      <c r="G27" s="22" t="inlineStr">
        <is>
          <t>代码</t>
        </is>
      </c>
      <c r="H27" s="22" t="inlineStr">
        <is>
          <t>名称</t>
        </is>
      </c>
      <c r="I27" s="22" t="inlineStr">
        <is>
          <t>百分比</t>
        </is>
      </c>
    </row>
    <row r="28">
      <c r="A28" s="27" t="inlineStr">
        <is>
          <t>510500</t>
        </is>
      </c>
      <c r="B28" s="28" t="inlineStr">
        <is>
          <t>中证500ETF南方</t>
        </is>
      </c>
      <c r="C28" s="29" t="n">
        <v>-0.04367349010404701</v>
      </c>
      <c r="D28" s="27" t="inlineStr">
        <is>
          <t>588000</t>
        </is>
      </c>
      <c r="E28" s="28" t="inlineStr">
        <is>
          <t>科创50ETF华夏</t>
        </is>
      </c>
      <c r="F28" s="30" t="n">
        <v>-60.626047</v>
      </c>
      <c r="G28" s="27" t="inlineStr">
        <is>
          <t>515880</t>
        </is>
      </c>
      <c r="H28" s="28" t="inlineStr">
        <is>
          <t>通信ETF国泰</t>
        </is>
      </c>
      <c r="I28" s="29" t="n">
        <v>-0.09711856223917711</v>
      </c>
    </row>
    <row r="29">
      <c r="A29" s="27" t="inlineStr">
        <is>
          <t>512100</t>
        </is>
      </c>
      <c r="B29" s="28" t="inlineStr">
        <is>
          <t>中证1000ETF南方</t>
        </is>
      </c>
      <c r="C29" s="29" t="n">
        <v>-0.03907047367534301</v>
      </c>
      <c r="D29" s="27" t="inlineStr">
        <is>
          <t>515880</t>
        </is>
      </c>
      <c r="E29" s="28" t="inlineStr">
        <is>
          <t>通信ETF国泰</t>
        </is>
      </c>
      <c r="F29" s="30" t="n">
        <v>-30.71717</v>
      </c>
      <c r="G29" s="27" t="inlineStr">
        <is>
          <t>588200</t>
        </is>
      </c>
      <c r="H29" s="28" t="inlineStr">
        <is>
          <t>科创芯片ETF嘉实</t>
        </is>
      </c>
      <c r="I29" s="29" t="n">
        <v>-0.07769913044005024</v>
      </c>
    </row>
    <row r="30">
      <c r="A30" s="27" t="inlineStr">
        <is>
          <t>588170</t>
        </is>
      </c>
      <c r="B30" s="28" t="inlineStr">
        <is>
          <t>科创半导体ETF华夏</t>
        </is>
      </c>
      <c r="C30" s="29" t="n">
        <v>-0.02195177606394552</v>
      </c>
      <c r="D30" s="27" t="inlineStr">
        <is>
          <t>588200</t>
        </is>
      </c>
      <c r="E30" s="28" t="inlineStr">
        <is>
          <t>科创芯片ETF嘉实</t>
        </is>
      </c>
      <c r="F30" s="30" t="n">
        <v>-30.295827</v>
      </c>
      <c r="G30" s="27" t="inlineStr">
        <is>
          <t>588170</t>
        </is>
      </c>
      <c r="H30" s="28" t="inlineStr">
        <is>
          <t>科创半导体ETF华夏</t>
        </is>
      </c>
      <c r="I30" s="29" t="n">
        <v>-0.07756459032725968</v>
      </c>
    </row>
    <row r="31">
      <c r="A31" s="27" t="inlineStr">
        <is>
          <t>510050</t>
        </is>
      </c>
      <c r="B31" s="28" t="inlineStr">
        <is>
          <t>上证50ETF华夏</t>
        </is>
      </c>
      <c r="C31" s="29" t="n">
        <v>-0.0188506941244481</v>
      </c>
      <c r="D31" s="27" t="inlineStr">
        <is>
          <t>588170</t>
        </is>
      </c>
      <c r="E31" s="28" t="inlineStr">
        <is>
          <t>科创半导体ETF华夏</t>
        </is>
      </c>
      <c r="F31" s="30" t="n">
        <v>-25.402791</v>
      </c>
      <c r="G31" s="27" t="inlineStr">
        <is>
          <t>515050</t>
        </is>
      </c>
      <c r="H31" s="28" t="inlineStr">
        <is>
          <t>通信ETF华夏</t>
        </is>
      </c>
      <c r="I31" s="29" t="n">
        <v>-0.07460667272156898</v>
      </c>
    </row>
    <row r="32">
      <c r="A32" s="27" t="inlineStr">
        <is>
          <t>159570</t>
        </is>
      </c>
      <c r="B32" s="28" t="inlineStr">
        <is>
          <t>港股通创新药ETF汇添富</t>
        </is>
      </c>
      <c r="C32" s="29" t="n">
        <v>-0.01591827022664836</v>
      </c>
      <c r="D32" s="27" t="inlineStr">
        <is>
          <t>588080</t>
        </is>
      </c>
      <c r="E32" s="28" t="inlineStr">
        <is>
          <t>科创50ETF易方达</t>
        </is>
      </c>
      <c r="F32" s="30" t="n">
        <v>-21.893133</v>
      </c>
      <c r="G32" s="27" t="inlineStr">
        <is>
          <t>512480</t>
        </is>
      </c>
      <c r="H32" s="28" t="inlineStr">
        <is>
          <t>半导体ETF国联安</t>
        </is>
      </c>
      <c r="I32" s="29" t="n">
        <v>-0.06646721982075224</v>
      </c>
    </row>
    <row r="33">
      <c r="A33" s="27" t="inlineStr">
        <is>
          <t>513120</t>
        </is>
      </c>
      <c r="B33" s="28" t="inlineStr">
        <is>
          <t>港股创新药ETF广发</t>
        </is>
      </c>
      <c r="C33" s="29" t="n">
        <v>-0.01477729198661813</v>
      </c>
      <c r="D33" s="27" t="inlineStr">
        <is>
          <t>511380</t>
        </is>
      </c>
      <c r="E33" s="28" t="inlineStr">
        <is>
          <t>可转债ETF博时</t>
        </is>
      </c>
      <c r="F33" s="30" t="n">
        <v>-13.572647</v>
      </c>
      <c r="G33" s="27" t="inlineStr">
        <is>
          <t>588080</t>
        </is>
      </c>
      <c r="H33" s="28" t="inlineStr">
        <is>
          <t>科创50ETF易方达</t>
        </is>
      </c>
      <c r="I33" s="29" t="n">
        <v>-0.05363590358371723</v>
      </c>
    </row>
    <row r="34">
      <c r="A34" s="27" t="inlineStr">
        <is>
          <t>159558</t>
        </is>
      </c>
      <c r="B34" s="28" t="inlineStr">
        <is>
          <t>半导体设备ETF易方达</t>
        </is>
      </c>
      <c r="C34" s="29" t="n">
        <v>-0.01275869744694803</v>
      </c>
      <c r="D34" s="27" t="inlineStr">
        <is>
          <t>511360</t>
        </is>
      </c>
      <c r="E34" s="28" t="inlineStr">
        <is>
          <t>短融ETF海富通</t>
        </is>
      </c>
      <c r="F34" s="30" t="n">
        <v>-13.337073</v>
      </c>
      <c r="G34" s="27" t="inlineStr">
        <is>
          <t>588000</t>
        </is>
      </c>
      <c r="H34" s="28" t="inlineStr">
        <is>
          <t>科创50ETF华夏</t>
        </is>
      </c>
      <c r="I34" s="29" t="n">
        <v>-0.05219889248356136</v>
      </c>
    </row>
    <row r="35">
      <c r="A35" s="27" t="inlineStr">
        <is>
          <t>159792</t>
        </is>
      </c>
      <c r="B35" s="28" t="inlineStr">
        <is>
          <t>港股通互联网ETF富国</t>
        </is>
      </c>
      <c r="C35" s="29" t="n">
        <v>-0.01086903649865127</v>
      </c>
      <c r="D35" s="27" t="inlineStr">
        <is>
          <t>512480</t>
        </is>
      </c>
      <c r="E35" s="28" t="inlineStr">
        <is>
          <t>半导体ETF国联安</t>
        </is>
      </c>
      <c r="F35" s="30" t="n">
        <v>-11.621522</v>
      </c>
      <c r="G35" s="27" t="inlineStr">
        <is>
          <t>562500</t>
        </is>
      </c>
      <c r="H35" s="28" t="inlineStr">
        <is>
          <t>机器人ETF华夏</t>
        </is>
      </c>
      <c r="I35" s="29" t="n">
        <v>-0.03029035900670993</v>
      </c>
    </row>
    <row r="36">
      <c r="A36" s="27" t="inlineStr">
        <is>
          <t>159516</t>
        </is>
      </c>
      <c r="B36" s="28" t="inlineStr">
        <is>
          <t>半导体设备ETF国泰</t>
        </is>
      </c>
      <c r="C36" s="29" t="n">
        <v>-0.01066190698614335</v>
      </c>
      <c r="D36" s="27" t="inlineStr">
        <is>
          <t>515050</t>
        </is>
      </c>
      <c r="E36" s="28" t="inlineStr">
        <is>
          <t>通信ETF华夏</t>
        </is>
      </c>
      <c r="F36" s="30" t="n">
        <v>-10.400991</v>
      </c>
      <c r="G36" s="27" t="inlineStr">
        <is>
          <t>517520</t>
        </is>
      </c>
      <c r="H36" s="28" t="inlineStr">
        <is>
          <t>黄金股ETF永赢</t>
        </is>
      </c>
      <c r="I36" s="29" t="n">
        <v>-0.02502757058925782</v>
      </c>
    </row>
    <row r="37">
      <c r="A37" s="27" t="inlineStr">
        <is>
          <t>512400</t>
        </is>
      </c>
      <c r="B37" s="28" t="inlineStr">
        <is>
          <t>有色金属ETF南方</t>
        </is>
      </c>
      <c r="C37" s="29" t="n">
        <v>-0.008541882715996426</v>
      </c>
      <c r="D37" s="27" t="inlineStr">
        <is>
          <t>512880</t>
        </is>
      </c>
      <c r="E37" s="28" t="inlineStr">
        <is>
          <t>证券ETF国泰</t>
        </is>
      </c>
      <c r="F37" s="30" t="n">
        <v>-9.634606</v>
      </c>
      <c r="G37" s="27" t="inlineStr">
        <is>
          <t>513090</t>
        </is>
      </c>
      <c r="H37" s="28" t="inlineStr">
        <is>
          <t>香港证券ETF易方达</t>
        </is>
      </c>
      <c r="I37" s="29" t="n">
        <v>-0.02444435900148891</v>
      </c>
    </row>
    <row r="38">
      <c r="A38" s="27" t="inlineStr">
        <is>
          <t>511200</t>
        </is>
      </c>
      <c r="B38" s="28" t="inlineStr">
        <is>
          <t>信用债ETF华夏</t>
        </is>
      </c>
      <c r="C38" s="29" t="n">
        <v>-0.008305926010275234</v>
      </c>
      <c r="D38" s="27" t="inlineStr">
        <is>
          <t>510300</t>
        </is>
      </c>
      <c r="E38" s="28" t="inlineStr">
        <is>
          <t>沪深300ETF华泰柏瑞</t>
        </is>
      </c>
      <c r="F38" s="30" t="n">
        <v>-9.122771</v>
      </c>
      <c r="G38" s="27" t="inlineStr">
        <is>
          <t>512400</t>
        </is>
      </c>
      <c r="H38" s="28" t="inlineStr">
        <is>
          <t>有色金属ETF南方</t>
        </is>
      </c>
      <c r="I38" s="29" t="n">
        <v>-0.02261289915684803</v>
      </c>
    </row>
    <row r="39">
      <c r="A39" s="27" t="inlineStr">
        <is>
          <t>511180</t>
        </is>
      </c>
      <c r="B39" s="28" t="inlineStr">
        <is>
          <t>可转债ETF海富通</t>
        </is>
      </c>
      <c r="C39" s="29" t="n">
        <v>-0.007378898563777166</v>
      </c>
      <c r="D39" s="27" t="inlineStr">
        <is>
          <t>510500</t>
        </is>
      </c>
      <c r="E39" s="28" t="inlineStr">
        <is>
          <t>中证500ETF南方</t>
        </is>
      </c>
      <c r="F39" s="30" t="n">
        <v>-8.498403</v>
      </c>
      <c r="G39" s="27" t="inlineStr">
        <is>
          <t>511380</t>
        </is>
      </c>
      <c r="H39" s="28" t="inlineStr">
        <is>
          <t>可转债ETF博时</t>
        </is>
      </c>
      <c r="I39" s="29" t="n">
        <v>-0.02258755621644436</v>
      </c>
    </row>
    <row r="40">
      <c r="A40" s="27" t="inlineStr">
        <is>
          <t>563020</t>
        </is>
      </c>
      <c r="B40" s="28" t="inlineStr">
        <is>
          <t>红利低波ETF易方达</t>
        </is>
      </c>
      <c r="C40" s="29" t="n">
        <v>-0.006657285441931411</v>
      </c>
      <c r="D40" s="27" t="inlineStr">
        <is>
          <t>513180</t>
        </is>
      </c>
      <c r="E40" s="28" t="inlineStr">
        <is>
          <t>恒生科技ETF华夏</t>
        </is>
      </c>
      <c r="F40" s="30" t="n">
        <v>-7.403076</v>
      </c>
      <c r="G40" s="27" t="inlineStr">
        <is>
          <t>513010</t>
        </is>
      </c>
      <c r="H40" s="28" t="inlineStr">
        <is>
          <t>恒生科技ETF易方达</t>
        </is>
      </c>
      <c r="I40" s="29" t="n">
        <v>-0.02222222320115935</v>
      </c>
    </row>
    <row r="41">
      <c r="A41" s="27" t="inlineStr">
        <is>
          <t>512890</t>
        </is>
      </c>
      <c r="B41" s="28" t="inlineStr">
        <is>
          <t>红利低波ETF华泰柏瑞</t>
        </is>
      </c>
      <c r="C41" s="29" t="n">
        <v>-0.006470627882636341</v>
      </c>
      <c r="D41" s="27" t="inlineStr">
        <is>
          <t>513130</t>
        </is>
      </c>
      <c r="E41" s="28" t="inlineStr">
        <is>
          <t>恒生科技ETF华泰柏瑞</t>
        </is>
      </c>
      <c r="F41" s="30" t="n">
        <v>-6.294404</v>
      </c>
      <c r="G41" s="27" t="inlineStr">
        <is>
          <t>513130</t>
        </is>
      </c>
      <c r="H41" s="28" t="inlineStr">
        <is>
          <t>恒生科技ETF华泰柏瑞</t>
        </is>
      </c>
      <c r="I41" s="29" t="n">
        <v>-0.02112610690598752</v>
      </c>
    </row>
    <row r="42">
      <c r="A42" s="27" t="inlineStr">
        <is>
          <t>159928</t>
        </is>
      </c>
      <c r="B42" s="28" t="inlineStr">
        <is>
          <t>消费ETF汇添富</t>
        </is>
      </c>
      <c r="C42" s="29" t="n">
        <v>-0.005902035724428664</v>
      </c>
      <c r="D42" s="27" t="inlineStr">
        <is>
          <t>512000</t>
        </is>
      </c>
      <c r="E42" s="28" t="inlineStr">
        <is>
          <t>券商ETF华宝</t>
        </is>
      </c>
      <c r="F42" s="30" t="n">
        <v>-6.117724</v>
      </c>
      <c r="G42" s="27" t="inlineStr">
        <is>
          <t>513180</t>
        </is>
      </c>
      <c r="H42" s="28" t="inlineStr">
        <is>
          <t>恒生科技ETF华夏</t>
        </is>
      </c>
      <c r="I42" s="29" t="n">
        <v>-0.02082011535817293</v>
      </c>
    </row>
    <row r="43">
      <c r="A43" s="27" t="inlineStr">
        <is>
          <t>588200</t>
        </is>
      </c>
      <c r="B43" s="28" t="inlineStr">
        <is>
          <t>科创芯片ETF嘉实</t>
        </is>
      </c>
      <c r="C43" s="29" t="n">
        <v>-0.005636633974090929</v>
      </c>
      <c r="D43" s="27" t="inlineStr">
        <is>
          <t>510050</t>
        </is>
      </c>
      <c r="E43" s="28" t="inlineStr">
        <is>
          <t>上证50ETF华夏</t>
        </is>
      </c>
      <c r="F43" s="30" t="n">
        <v>-6.104405</v>
      </c>
      <c r="G43" s="27" t="inlineStr">
        <is>
          <t>159928</t>
        </is>
      </c>
      <c r="H43" s="28" t="inlineStr">
        <is>
          <t>消费ETF汇添富</t>
        </is>
      </c>
      <c r="I43" s="29" t="n">
        <v>-0.02026371942573567</v>
      </c>
    </row>
    <row r="44">
      <c r="A44" s="27" t="inlineStr">
        <is>
          <t>159326</t>
        </is>
      </c>
      <c r="B44" s="28" t="inlineStr">
        <is>
          <t>电网设备ETF华夏</t>
        </is>
      </c>
      <c r="C44" s="29" t="n">
        <v>-0.005187297899845859</v>
      </c>
      <c r="D44" s="27" t="inlineStr">
        <is>
          <t>513050</t>
        </is>
      </c>
      <c r="E44" s="28" t="inlineStr">
        <is>
          <t>中概互联网ETF易方达</t>
        </is>
      </c>
      <c r="F44" s="30" t="n">
        <v>-6.063614</v>
      </c>
      <c r="G44" s="27" t="inlineStr">
        <is>
          <t>520920</t>
        </is>
      </c>
      <c r="H44" s="28" t="inlineStr">
        <is>
          <t>恒生科技ETF天弘</t>
        </is>
      </c>
      <c r="I44" s="29" t="n">
        <v>-0.01987247205613399</v>
      </c>
    </row>
    <row r="45">
      <c r="A45" s="27" t="inlineStr">
        <is>
          <t>512050</t>
        </is>
      </c>
      <c r="B45" s="28" t="inlineStr">
        <is>
          <t>A500ETF华夏</t>
        </is>
      </c>
      <c r="C45" s="29" t="n">
        <v>-0.004938123423603165</v>
      </c>
      <c r="D45" s="27" t="inlineStr">
        <is>
          <t>513010</t>
        </is>
      </c>
      <c r="E45" s="28" t="inlineStr">
        <is>
          <t>恒生科技ETF易方达</t>
        </is>
      </c>
      <c r="F45" s="30" t="n">
        <v>-5.044524</v>
      </c>
      <c r="G45" s="27" t="inlineStr">
        <is>
          <t>513330</t>
        </is>
      </c>
      <c r="H45" s="28" t="inlineStr">
        <is>
          <t>恒生互联网ETF华夏</t>
        </is>
      </c>
      <c r="I45" s="29" t="n">
        <v>-0.01903672063708464</v>
      </c>
    </row>
    <row r="46">
      <c r="A46" s="27" t="inlineStr">
        <is>
          <t>515080</t>
        </is>
      </c>
      <c r="B46" s="28" t="inlineStr">
        <is>
          <t>中证红利ETF招商</t>
        </is>
      </c>
      <c r="C46" s="29" t="n">
        <v>-0.003135964073559316</v>
      </c>
      <c r="D46" s="27" t="inlineStr">
        <is>
          <t>562500</t>
        </is>
      </c>
      <c r="E46" s="28" t="inlineStr">
        <is>
          <t>机器人ETF华夏</t>
        </is>
      </c>
      <c r="F46" s="30" t="n">
        <v>-5.019843</v>
      </c>
      <c r="G46" s="27" t="inlineStr">
        <is>
          <t>510500</t>
        </is>
      </c>
      <c r="H46" s="28" t="inlineStr">
        <is>
          <t>中证500ETF南方</t>
        </is>
      </c>
      <c r="I46" s="29" t="n">
        <v>-0.01813679551542407</v>
      </c>
    </row>
    <row r="47">
      <c r="A47" s="27" t="inlineStr">
        <is>
          <t>515180</t>
        </is>
      </c>
      <c r="B47" s="28" t="inlineStr">
        <is>
          <t>红利ETF易方达</t>
        </is>
      </c>
      <c r="C47" s="29" t="n">
        <v>-0.00289044451389158</v>
      </c>
      <c r="D47" s="27" t="inlineStr">
        <is>
          <t>513330</t>
        </is>
      </c>
      <c r="E47" s="28" t="inlineStr">
        <is>
          <t>恒生互联网ETF华夏</t>
        </is>
      </c>
      <c r="F47" s="30" t="n">
        <v>-4.780569</v>
      </c>
      <c r="G47" s="27" t="inlineStr">
        <is>
          <t>513050</t>
        </is>
      </c>
      <c r="H47" s="28" t="inlineStr">
        <is>
          <t>中概互联网ETF易方达</t>
        </is>
      </c>
      <c r="I47" s="29" t="n">
        <v>-0.01811552516430974</v>
      </c>
    </row>
  </sheetData>
  <mergeCells count="11">
    <mergeCell ref="D2:F2"/>
    <mergeCell ref="G2:I2"/>
    <mergeCell ref="J26:M26"/>
    <mergeCell ref="D26:F26"/>
    <mergeCell ref="G26:I26"/>
    <mergeCell ref="J2:M2"/>
    <mergeCell ref="A30:C30"/>
    <mergeCell ref="D30:F30"/>
    <mergeCell ref="G30:I30"/>
    <mergeCell ref="A26:C2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28" sqref="A28:I48"/>
    </sheetView>
  </sheetViews>
  <sheetFormatPr baseColWidth="8" defaultColWidth="9" defaultRowHeight="13.5"/>
  <cols>
    <col width="10" customWidth="1" style="2" min="1" max="1"/>
    <col width="22" customWidth="1" style="2" min="2" max="2"/>
    <col width="14" customWidth="1" style="2" min="3" max="3"/>
    <col width="10" customWidth="1" min="4" max="4"/>
    <col width="22" customWidth="1" min="5" max="5"/>
    <col width="14" customWidth="1" min="6" max="6"/>
    <col width="10" customWidth="1" style="2" min="7" max="7"/>
    <col width="22" customWidth="1" style="2" min="8" max="8"/>
    <col width="14" customWidth="1" style="3" min="9" max="9"/>
    <col width="20.625" customWidth="1" min="10" max="12"/>
    <col width="20.625" customWidth="1" style="4" min="13" max="13"/>
  </cols>
  <sheetData>
    <row r="1" ht="22" customHeight="1">
      <c r="A1" s="20" t="inlineStr">
        <is>
          <t>2026-10-30</t>
        </is>
      </c>
    </row>
    <row r="2" ht="12" customFormat="1" customHeight="1" s="1">
      <c r="A2" s="21" t="inlineStr">
        <is>
          <t>份额变化百分比排名（增加前20）</t>
        </is>
      </c>
      <c r="D2" s="21" t="inlineStr">
        <is>
          <t>市值增长最多排名（前20）</t>
        </is>
      </c>
      <c r="G2" s="21" t="inlineStr">
        <is>
          <t>市值增长百分比排名（前20）</t>
        </is>
      </c>
    </row>
    <row r="3">
      <c r="A3" s="22" t="inlineStr">
        <is>
          <t>代码</t>
        </is>
      </c>
      <c r="B3" s="22" t="inlineStr">
        <is>
          <t>名称</t>
        </is>
      </c>
      <c r="C3" s="22" t="inlineStr">
        <is>
          <t>份额变化百分比</t>
        </is>
      </c>
      <c r="D3" s="22" t="inlineStr">
        <is>
          <t>代码</t>
        </is>
      </c>
      <c r="E3" s="22" t="inlineStr">
        <is>
          <t>名称</t>
        </is>
      </c>
      <c r="F3" s="22" t="inlineStr">
        <is>
          <t>增长值（亿）</t>
        </is>
      </c>
      <c r="G3" s="22" t="inlineStr">
        <is>
          <t>代码</t>
        </is>
      </c>
      <c r="H3" s="22" t="inlineStr">
        <is>
          <t>名称</t>
        </is>
      </c>
      <c r="I3" s="22" t="inlineStr">
        <is>
          <t>百分比</t>
        </is>
      </c>
    </row>
    <row r="4">
      <c r="A4" s="23" t="inlineStr">
        <is>
          <t>159219</t>
        </is>
      </c>
      <c r="B4" s="24" t="inlineStr">
        <is>
          <t>深证100ETF融通</t>
        </is>
      </c>
      <c r="C4" s="25" t="n">
        <v>3.850590170328931</v>
      </c>
      <c r="D4" s="23" t="inlineStr">
        <is>
          <t>159259</t>
        </is>
      </c>
      <c r="E4" s="24" t="inlineStr">
        <is>
          <t>成长ETF易方达</t>
        </is>
      </c>
      <c r="F4" s="26" t="n">
        <v>4.247725</v>
      </c>
      <c r="G4" s="23" t="inlineStr">
        <is>
          <t>159219</t>
        </is>
      </c>
      <c r="H4" s="24" t="inlineStr">
        <is>
          <t>深证100ETF融通</t>
        </is>
      </c>
      <c r="I4" s="25" t="n">
        <v>3.940587579814988</v>
      </c>
    </row>
    <row r="5">
      <c r="A5" s="23" t="inlineStr">
        <is>
          <t>159216</t>
        </is>
      </c>
      <c r="B5" s="24" t="inlineStr">
        <is>
          <t>深证100ETF大成</t>
        </is>
      </c>
      <c r="C5" s="25" t="n">
        <v>0.4270994607869307</v>
      </c>
      <c r="D5" s="23" t="inlineStr">
        <is>
          <t>515660</t>
        </is>
      </c>
      <c r="E5" s="24" t="inlineStr">
        <is>
          <t>沪深300ETF国联安</t>
        </is>
      </c>
      <c r="F5" s="26" t="n">
        <v>4.170309</v>
      </c>
      <c r="G5" s="23" t="inlineStr">
        <is>
          <t>512970</t>
        </is>
      </c>
      <c r="H5" s="24" t="inlineStr">
        <is>
          <t>大湾区ETF平安</t>
        </is>
      </c>
      <c r="I5" s="25" t="n">
        <v>0.6221771415448213</v>
      </c>
    </row>
    <row r="6">
      <c r="A6" s="23" t="inlineStr">
        <is>
          <t>159517</t>
        </is>
      </c>
      <c r="B6" s="24" t="inlineStr">
        <is>
          <t>中证800增强ETF银华</t>
        </is>
      </c>
      <c r="C6" s="25" t="n">
        <v>0.3431464054727735</v>
      </c>
      <c r="D6" s="23" t="inlineStr">
        <is>
          <t>159583</t>
        </is>
      </c>
      <c r="E6" s="24" t="inlineStr">
        <is>
          <t>通信ETF富国</t>
        </is>
      </c>
      <c r="F6" s="26" t="n">
        <v>3.880016</v>
      </c>
      <c r="G6" s="23" t="inlineStr">
        <is>
          <t>159216</t>
        </is>
      </c>
      <c r="H6" s="24" t="inlineStr">
        <is>
          <t>深证100ETF大成</t>
        </is>
      </c>
      <c r="I6" s="25" t="n">
        <v>0.4535410010649628</v>
      </c>
    </row>
    <row r="7">
      <c r="A7" s="23" t="inlineStr">
        <is>
          <t>562010</t>
        </is>
      </c>
      <c r="B7" s="24" t="inlineStr">
        <is>
          <t>绿色能源ETF华宝</t>
        </is>
      </c>
      <c r="C7" s="25" t="n">
        <v>0.3278921453436583</v>
      </c>
      <c r="D7" s="23" t="inlineStr">
        <is>
          <t>159977</t>
        </is>
      </c>
      <c r="E7" s="24" t="inlineStr">
        <is>
          <t>创业板ETF天弘</t>
        </is>
      </c>
      <c r="F7" s="26" t="n">
        <v>3.848397</v>
      </c>
      <c r="G7" s="23" t="inlineStr">
        <is>
          <t>517350</t>
        </is>
      </c>
      <c r="H7" s="24" t="inlineStr">
        <is>
          <t>沪港深科技ETF广发</t>
        </is>
      </c>
      <c r="I7" s="25" t="n">
        <v>0.4249955202690596</v>
      </c>
    </row>
    <row r="8">
      <c r="A8" s="23" t="inlineStr">
        <is>
          <t>588270</t>
        </is>
      </c>
      <c r="B8" s="24" t="inlineStr">
        <is>
          <t>科创200ETF易方达</t>
        </is>
      </c>
      <c r="C8" s="25" t="n">
        <v>0.1739634676717889</v>
      </c>
      <c r="D8" s="23" t="inlineStr">
        <is>
          <t>159967</t>
        </is>
      </c>
      <c r="E8" s="24" t="inlineStr">
        <is>
          <t>创业板成长ETF华夏</t>
        </is>
      </c>
      <c r="F8" s="26" t="n">
        <v>3.677688</v>
      </c>
      <c r="G8" s="23" t="inlineStr">
        <is>
          <t>159517</t>
        </is>
      </c>
      <c r="H8" s="24" t="inlineStr">
        <is>
          <t>中证800增强ETF银华</t>
        </is>
      </c>
      <c r="I8" s="25" t="n">
        <v>0.3634762359684739</v>
      </c>
    </row>
    <row r="9">
      <c r="A9" s="23" t="inlineStr">
        <is>
          <t>159521</t>
        </is>
      </c>
      <c r="B9" s="24" t="inlineStr">
        <is>
          <t>国证2000ETF平安</t>
        </is>
      </c>
      <c r="C9" s="25" t="n">
        <v>0.1641637621081034</v>
      </c>
      <c r="D9" s="23" t="inlineStr">
        <is>
          <t>516310</t>
        </is>
      </c>
      <c r="E9" s="24" t="inlineStr">
        <is>
          <t>银行ETF易方达</t>
        </is>
      </c>
      <c r="F9" s="26" t="n">
        <v>3.048085</v>
      </c>
      <c r="G9" s="23" t="inlineStr">
        <is>
          <t>515020</t>
        </is>
      </c>
      <c r="H9" s="24" t="inlineStr">
        <is>
          <t>银行ETF华夏</t>
        </is>
      </c>
      <c r="I9" s="25" t="n">
        <v>0.2776017551502158</v>
      </c>
    </row>
    <row r="10">
      <c r="A10" s="23" t="inlineStr">
        <is>
          <t>588680</t>
        </is>
      </c>
      <c r="B10" s="24" t="inlineStr">
        <is>
          <t>科创100增强ETF广发</t>
        </is>
      </c>
      <c r="C10" s="25" t="n">
        <v>0.1564088527410653</v>
      </c>
      <c r="D10" s="23" t="inlineStr">
        <is>
          <t>159813</t>
        </is>
      </c>
      <c r="E10" s="24" t="inlineStr">
        <is>
          <t>半导体ETF鹏华</t>
        </is>
      </c>
      <c r="F10" s="26" t="n">
        <v>2.766947</v>
      </c>
      <c r="G10" s="23" t="inlineStr">
        <is>
          <t>159521</t>
        </is>
      </c>
      <c r="H10" s="24" t="inlineStr">
        <is>
          <t>国证2000ETF平安</t>
        </is>
      </c>
      <c r="I10" s="25" t="n">
        <v>0.2006474411248672</v>
      </c>
    </row>
    <row r="11">
      <c r="A11" s="23" t="inlineStr">
        <is>
          <t>159366</t>
        </is>
      </c>
      <c r="B11" s="24" t="inlineStr">
        <is>
          <t>港股医疗ETF永赢</t>
        </is>
      </c>
      <c r="C11" s="25" t="n">
        <v>0.1554318227624227</v>
      </c>
      <c r="D11" s="23" t="inlineStr">
        <is>
          <t>159783</t>
        </is>
      </c>
      <c r="E11" s="24" t="inlineStr">
        <is>
          <t>科创创业50ETF华夏</t>
        </is>
      </c>
      <c r="F11" s="26" t="n">
        <v>2.662261</v>
      </c>
      <c r="G11" s="23" t="inlineStr">
        <is>
          <t>159366</t>
        </is>
      </c>
      <c r="H11" s="24" t="inlineStr">
        <is>
          <t>港股医疗ETF永赢</t>
        </is>
      </c>
      <c r="I11" s="25" t="n">
        <v>0.1796033242700728</v>
      </c>
    </row>
    <row r="12">
      <c r="A12" s="23" t="inlineStr">
        <is>
          <t>589700</t>
        </is>
      </c>
      <c r="B12" s="24" t="inlineStr">
        <is>
          <t>科创成长ETF南方</t>
        </is>
      </c>
      <c r="C12" s="25" t="n">
        <v>0.1220864575596952</v>
      </c>
      <c r="D12" s="23" t="inlineStr">
        <is>
          <t>159363</t>
        </is>
      </c>
      <c r="E12" s="24" t="inlineStr">
        <is>
          <t>创业板人工智能ETF华宝</t>
        </is>
      </c>
      <c r="F12" s="26" t="n">
        <v>2.595371</v>
      </c>
      <c r="G12" s="23" t="inlineStr">
        <is>
          <t>515660</t>
        </is>
      </c>
      <c r="H12" s="24" t="inlineStr">
        <is>
          <t>沪深300ETF国联安</t>
        </is>
      </c>
      <c r="I12" s="25" t="n">
        <v>0.1594427502624111</v>
      </c>
    </row>
    <row r="13">
      <c r="A13" s="23" t="inlineStr">
        <is>
          <t>530580</t>
        </is>
      </c>
      <c r="B13" s="24" t="inlineStr">
        <is>
          <t>上证180ETF南方</t>
        </is>
      </c>
      <c r="C13" s="25" t="n">
        <v>0.122077763535372</v>
      </c>
      <c r="D13" s="23" t="inlineStr">
        <is>
          <t>159770</t>
        </is>
      </c>
      <c r="E13" s="24" t="inlineStr">
        <is>
          <t>机器人ETF天弘</t>
        </is>
      </c>
      <c r="F13" s="26" t="n">
        <v>2.33839</v>
      </c>
      <c r="G13" s="23" t="inlineStr">
        <is>
          <t>159372</t>
        </is>
      </c>
      <c r="H13" s="24" t="inlineStr">
        <is>
          <t>创业板50ETF万家</t>
        </is>
      </c>
      <c r="I13" s="25" t="n">
        <v>0.1535670436778443</v>
      </c>
    </row>
    <row r="14">
      <c r="A14" s="23" t="inlineStr">
        <is>
          <t>159372</t>
        </is>
      </c>
      <c r="B14" s="24" t="inlineStr">
        <is>
          <t>创业板50ETF万家</t>
        </is>
      </c>
      <c r="C14" s="25" t="n">
        <v>0.1135531536918657</v>
      </c>
      <c r="D14" s="23" t="inlineStr">
        <is>
          <t>159682</t>
        </is>
      </c>
      <c r="E14" s="24" t="inlineStr">
        <is>
          <t>创业板50ETF景顺</t>
        </is>
      </c>
      <c r="F14" s="26" t="n">
        <v>2.328589</v>
      </c>
      <c r="G14" s="23" t="inlineStr">
        <is>
          <t>159279</t>
        </is>
      </c>
      <c r="H14" s="24" t="inlineStr">
        <is>
          <t>创业板人工智能ETF华安</t>
        </is>
      </c>
      <c r="I14" s="25" t="n">
        <v>0.1449309031395686</v>
      </c>
    </row>
    <row r="15">
      <c r="A15" s="23" t="inlineStr">
        <is>
          <t>589800</t>
        </is>
      </c>
      <c r="B15" s="24" t="inlineStr">
        <is>
          <t>科创综指ETF易方达</t>
        </is>
      </c>
      <c r="C15" s="25" t="n">
        <v>0.1081090658310637</v>
      </c>
      <c r="D15" s="23" t="inlineStr">
        <is>
          <t>159948</t>
        </is>
      </c>
      <c r="E15" s="24" t="inlineStr">
        <is>
          <t>创业板ETF南方</t>
        </is>
      </c>
      <c r="F15" s="26" t="n">
        <v>2.233603</v>
      </c>
      <c r="G15" s="23" t="inlineStr">
        <is>
          <t>159675</t>
        </is>
      </c>
      <c r="H15" s="24" t="inlineStr">
        <is>
          <t>创业板增强ETF嘉实</t>
        </is>
      </c>
      <c r="I15" s="25" t="n">
        <v>0.1312419054577996</v>
      </c>
    </row>
    <row r="16">
      <c r="A16" s="23" t="inlineStr">
        <is>
          <t>561300</t>
        </is>
      </c>
      <c r="B16" s="24" t="inlineStr">
        <is>
          <t>沪深300增强ETF国泰</t>
        </is>
      </c>
      <c r="C16" s="25" t="n">
        <v>0.1054103910320083</v>
      </c>
      <c r="D16" s="23" t="inlineStr">
        <is>
          <t>515020</t>
        </is>
      </c>
      <c r="E16" s="24" t="inlineStr">
        <is>
          <t>银行ETF华夏</t>
        </is>
      </c>
      <c r="F16" s="26" t="n">
        <v>2.210628</v>
      </c>
      <c r="G16" s="23" t="inlineStr">
        <is>
          <t>159243</t>
        </is>
      </c>
      <c r="H16" s="24" t="inlineStr">
        <is>
          <t>创业板人工智能ETF招商</t>
        </is>
      </c>
      <c r="I16" s="25" t="n">
        <v>0.1240120669915666</v>
      </c>
    </row>
    <row r="17">
      <c r="A17" s="23" t="inlineStr">
        <is>
          <t>159675</t>
        </is>
      </c>
      <c r="B17" s="24" t="inlineStr">
        <is>
          <t>创业板增强ETF嘉实</t>
        </is>
      </c>
      <c r="C17" s="25" t="n">
        <v>0.09906800017625299</v>
      </c>
      <c r="D17" s="23" t="inlineStr">
        <is>
          <t>159971</t>
        </is>
      </c>
      <c r="E17" s="24" t="inlineStr">
        <is>
          <t>创业板ETF富国</t>
        </is>
      </c>
      <c r="F17" s="26" t="n">
        <v>2.1896</v>
      </c>
      <c r="G17" s="23" t="inlineStr">
        <is>
          <t>159293</t>
        </is>
      </c>
      <c r="H17" s="24" t="inlineStr">
        <is>
          <t>创业板综增强ETF建信</t>
        </is>
      </c>
      <c r="I17" s="25" t="n">
        <v>0.1222544972736075</v>
      </c>
    </row>
    <row r="18">
      <c r="A18" s="23" t="inlineStr">
        <is>
          <t>159279</t>
        </is>
      </c>
      <c r="B18" s="24" t="inlineStr">
        <is>
          <t>创业板人工智能ETF华安</t>
        </is>
      </c>
      <c r="C18" s="25" t="n">
        <v>0.09294398165845956</v>
      </c>
      <c r="D18" s="23" t="inlineStr">
        <is>
          <t>159272</t>
        </is>
      </c>
      <c r="E18" s="24" t="inlineStr">
        <is>
          <t>机器人ETF富国</t>
        </is>
      </c>
      <c r="F18" s="26" t="n">
        <v>2.138846</v>
      </c>
      <c r="G18" s="23" t="inlineStr">
        <is>
          <t>159583</t>
        </is>
      </c>
      <c r="H18" s="24" t="inlineStr">
        <is>
          <t>通信ETF富国</t>
        </is>
      </c>
      <c r="I18" s="25" t="n">
        <v>0.1202871465560459</v>
      </c>
    </row>
    <row r="19">
      <c r="A19" s="23" t="inlineStr">
        <is>
          <t>159293</t>
        </is>
      </c>
      <c r="B19" s="24" t="inlineStr">
        <is>
          <t>创业板综增强ETF建信</t>
        </is>
      </c>
      <c r="C19" s="25" t="n">
        <v>0.08635803427869905</v>
      </c>
      <c r="D19" s="23" t="inlineStr">
        <is>
          <t>159994</t>
        </is>
      </c>
      <c r="E19" s="24" t="inlineStr">
        <is>
          <t>通信ETF银华</t>
        </is>
      </c>
      <c r="F19" s="26" t="n">
        <v>2.089735</v>
      </c>
      <c r="G19" s="23" t="inlineStr">
        <is>
          <t>159295</t>
        </is>
      </c>
      <c r="H19" s="24" t="inlineStr">
        <is>
          <t>创业综指ETF西部利得</t>
        </is>
      </c>
      <c r="I19" s="25" t="n">
        <v>0.1176444625892374</v>
      </c>
    </row>
    <row r="20">
      <c r="A20" s="23" t="inlineStr">
        <is>
          <t>588070</t>
        </is>
      </c>
      <c r="B20" s="24" t="inlineStr">
        <is>
          <t>科创成长ETF万家</t>
        </is>
      </c>
      <c r="C20" s="25" t="n">
        <v>0.08258149761545926</v>
      </c>
      <c r="D20" s="23" t="inlineStr">
        <is>
          <t>515290</t>
        </is>
      </c>
      <c r="E20" s="24" t="inlineStr">
        <is>
          <t>银行ETF天弘</t>
        </is>
      </c>
      <c r="F20" s="26" t="n">
        <v>1.884733</v>
      </c>
      <c r="G20" s="23" t="inlineStr">
        <is>
          <t>159778</t>
        </is>
      </c>
      <c r="H20" s="24" t="inlineStr">
        <is>
          <t>工业互联网ETF鹏华</t>
        </is>
      </c>
      <c r="I20" s="25" t="n">
        <v>0.1083928681833396</v>
      </c>
    </row>
    <row r="21">
      <c r="A21" s="23" t="inlineStr">
        <is>
          <t>560690</t>
        </is>
      </c>
      <c r="B21" s="24" t="inlineStr">
        <is>
          <t>电信ETF鹏华</t>
        </is>
      </c>
      <c r="C21" s="25" t="n">
        <v>0.07941129758060246</v>
      </c>
      <c r="D21" s="23" t="inlineStr">
        <is>
          <t>159205</t>
        </is>
      </c>
      <c r="E21" s="24" t="inlineStr">
        <is>
          <t>创业板ETF东财</t>
        </is>
      </c>
      <c r="F21" s="26" t="n">
        <v>1.842718</v>
      </c>
      <c r="G21" s="23" t="inlineStr">
        <is>
          <t>159383</t>
        </is>
      </c>
      <c r="H21" s="24" t="inlineStr">
        <is>
          <t>创业板50ETF华泰柏瑞</t>
        </is>
      </c>
      <c r="I21" s="25" t="n">
        <v>0.1072530968354459</v>
      </c>
    </row>
    <row r="22">
      <c r="A22" s="23" t="inlineStr">
        <is>
          <t>159778</t>
        </is>
      </c>
      <c r="B22" s="24" t="inlineStr">
        <is>
          <t>工业互联网ETF鹏华</t>
        </is>
      </c>
      <c r="C22" s="25" t="n">
        <v>0.07852518068015873</v>
      </c>
      <c r="D22" s="23" t="inlineStr">
        <is>
          <t>159801</t>
        </is>
      </c>
      <c r="E22" s="24" t="inlineStr">
        <is>
          <t>芯片ETF广发</t>
        </is>
      </c>
      <c r="F22" s="26" t="n">
        <v>1.808324</v>
      </c>
      <c r="G22" s="23" t="inlineStr">
        <is>
          <t>159382</t>
        </is>
      </c>
      <c r="H22" s="24" t="inlineStr">
        <is>
          <t>创业板人工智能ETF南方</t>
        </is>
      </c>
      <c r="I22" s="25" t="n">
        <v>0.1036681007722717</v>
      </c>
    </row>
    <row r="23">
      <c r="A23" s="23" t="inlineStr">
        <is>
          <t>159243</t>
        </is>
      </c>
      <c r="B23" s="24" t="inlineStr">
        <is>
          <t>创业板人工智能ETF招商</t>
        </is>
      </c>
      <c r="C23" s="25" t="n">
        <v>0.07315724936155668</v>
      </c>
      <c r="D23" s="23" t="inlineStr">
        <is>
          <t>512710</t>
        </is>
      </c>
      <c r="E23" s="24" t="inlineStr">
        <is>
          <t>军工龙头ETF富国</t>
        </is>
      </c>
      <c r="F23" s="26" t="n">
        <v>1.807046</v>
      </c>
      <c r="G23" s="23" t="inlineStr">
        <is>
          <t>560670</t>
        </is>
      </c>
      <c r="H23" s="24" t="inlineStr">
        <is>
          <t>银行ETF华泰柏瑞</t>
        </is>
      </c>
      <c r="I23" s="25" t="n">
        <v>0.1026573564203388</v>
      </c>
    </row>
    <row r="26" ht="15" customHeight="1">
      <c r="A26" s="21" t="inlineStr">
        <is>
          <t>份额变化百分比排名（减少前20）</t>
        </is>
      </c>
      <c r="D26" s="21" t="inlineStr">
        <is>
          <t>市值减少最多排名（前20）</t>
        </is>
      </c>
      <c r="G26" s="21" t="inlineStr">
        <is>
          <t>市值减少百分比排名（前20）</t>
        </is>
      </c>
    </row>
    <row r="27">
      <c r="A27" s="22" t="inlineStr">
        <is>
          <t>代码</t>
        </is>
      </c>
      <c r="B27" s="22" t="inlineStr">
        <is>
          <t>名称</t>
        </is>
      </c>
      <c r="C27" s="22" t="inlineStr">
        <is>
          <t>份额变化百分比</t>
        </is>
      </c>
      <c r="D27" s="22" t="inlineStr">
        <is>
          <t>代码</t>
        </is>
      </c>
      <c r="E27" s="22" t="inlineStr">
        <is>
          <t>名称</t>
        </is>
      </c>
      <c r="F27" s="22" t="inlineStr">
        <is>
          <t>减少值（亿）</t>
        </is>
      </c>
      <c r="G27" s="22" t="inlineStr">
        <is>
          <t>代码</t>
        </is>
      </c>
      <c r="H27" s="22" t="inlineStr">
        <is>
          <t>名称</t>
        </is>
      </c>
      <c r="I27" s="22" t="inlineStr">
        <is>
          <t>百分比</t>
        </is>
      </c>
    </row>
    <row r="28">
      <c r="A28" s="27" t="inlineStr">
        <is>
          <t>163821</t>
        </is>
      </c>
      <c r="B28" s="28" t="inlineStr">
        <is>
          <t>沪深300等权LOF</t>
        </is>
      </c>
      <c r="C28" s="29" t="n">
        <v>-0.1958203440711234</v>
      </c>
      <c r="D28" s="27" t="inlineStr">
        <is>
          <t>159845</t>
        </is>
      </c>
      <c r="E28" s="28" t="inlineStr">
        <is>
          <t>中证1000ETF华夏</t>
        </is>
      </c>
      <c r="F28" s="30" t="n">
        <v>-6.936756</v>
      </c>
      <c r="G28" s="27" t="inlineStr">
        <is>
          <t>163821</t>
        </is>
      </c>
      <c r="H28" s="28" t="inlineStr">
        <is>
          <t>沪深300等权LOF</t>
        </is>
      </c>
      <c r="I28" s="29" t="n">
        <v>-0.1943750503666694</v>
      </c>
    </row>
    <row r="29">
      <c r="A29" s="27" t="inlineStr">
        <is>
          <t>530080</t>
        </is>
      </c>
      <c r="B29" s="28" t="inlineStr">
        <is>
          <t>上证180ETF天弘</t>
        </is>
      </c>
      <c r="C29" s="29" t="n">
        <v>-0.1822766351733147</v>
      </c>
      <c r="D29" s="27" t="inlineStr">
        <is>
          <t>588710</t>
        </is>
      </c>
      <c r="E29" s="28" t="inlineStr">
        <is>
          <t>科创半导体设备ETF华泰柏瑞</t>
        </is>
      </c>
      <c r="F29" s="30" t="n">
        <v>-6.916007</v>
      </c>
      <c r="G29" s="27" t="inlineStr">
        <is>
          <t>589700</t>
        </is>
      </c>
      <c r="H29" s="28" t="inlineStr">
        <is>
          <t>科创成长ETF南方</t>
        </is>
      </c>
      <c r="I29" s="29" t="n">
        <v>-0.1567321903465967</v>
      </c>
    </row>
    <row r="30">
      <c r="A30" s="27" t="inlineStr">
        <is>
          <t>159895</t>
        </is>
      </c>
      <c r="B30" s="28" t="inlineStr">
        <is>
          <t>物联网ETF易方达</t>
        </is>
      </c>
      <c r="C30" s="29" t="n">
        <v>-0.1412305436095439</v>
      </c>
      <c r="D30" s="27" t="inlineStr">
        <is>
          <t>560780</t>
        </is>
      </c>
      <c r="E30" s="28" t="inlineStr">
        <is>
          <t>半导体设备ETF广发</t>
        </is>
      </c>
      <c r="F30" s="30" t="n">
        <v>-6.803305</v>
      </c>
      <c r="G30" s="27" t="inlineStr">
        <is>
          <t>510910</t>
        </is>
      </c>
      <c r="H30" s="28" t="inlineStr">
        <is>
          <t>上证指数ETF南方</t>
        </is>
      </c>
      <c r="I30" s="29" t="n">
        <v>-0.1444328188894116</v>
      </c>
    </row>
    <row r="31">
      <c r="A31" s="27" t="inlineStr">
        <is>
          <t>159633</t>
        </is>
      </c>
      <c r="B31" s="28" t="inlineStr">
        <is>
          <t>中证1000ETF易方达</t>
        </is>
      </c>
      <c r="C31" s="29" t="n">
        <v>-0.1263835541630776</v>
      </c>
      <c r="D31" s="27" t="inlineStr">
        <is>
          <t>588060</t>
        </is>
      </c>
      <c r="E31" s="28" t="inlineStr">
        <is>
          <t>科创50ETF广发</t>
        </is>
      </c>
      <c r="F31" s="30" t="n">
        <v>-5.328722</v>
      </c>
      <c r="G31" s="27" t="inlineStr">
        <is>
          <t>589270</t>
        </is>
      </c>
      <c r="H31" s="28" t="inlineStr">
        <is>
          <t>科创100ETF前海开源</t>
        </is>
      </c>
      <c r="I31" s="29" t="n">
        <v>-0.130802839978154</v>
      </c>
    </row>
    <row r="32">
      <c r="A32" s="27" t="inlineStr">
        <is>
          <t>163003</t>
        </is>
      </c>
      <c r="B32" s="28" t="inlineStr">
        <is>
          <t>长信利鑫LOF</t>
        </is>
      </c>
      <c r="C32" s="29" t="n">
        <v>-0.1222279949492291</v>
      </c>
      <c r="D32" s="27" t="inlineStr">
        <is>
          <t>562590</t>
        </is>
      </c>
      <c r="E32" s="28" t="inlineStr">
        <is>
          <t>半导体设备ETF华夏</t>
        </is>
      </c>
      <c r="F32" s="30" t="n">
        <v>-4.613356</v>
      </c>
      <c r="G32" s="27" t="inlineStr">
        <is>
          <t>163003</t>
        </is>
      </c>
      <c r="H32" s="28" t="inlineStr">
        <is>
          <t>长信利鑫LOF</t>
        </is>
      </c>
      <c r="I32" s="29" t="n">
        <v>-0.1220945647370747</v>
      </c>
    </row>
    <row r="33">
      <c r="A33" s="27" t="inlineStr">
        <is>
          <t>560950</t>
        </is>
      </c>
      <c r="B33" s="28" t="inlineStr">
        <is>
          <t>中证500增强ETF汇添富</t>
        </is>
      </c>
      <c r="C33" s="29" t="n">
        <v>-0.1143968426471429</v>
      </c>
      <c r="D33" s="27" t="inlineStr">
        <is>
          <t>588050</t>
        </is>
      </c>
      <c r="E33" s="28" t="inlineStr">
        <is>
          <t>科创50ETF工银</t>
        </is>
      </c>
      <c r="F33" s="30" t="n">
        <v>-4.465398</v>
      </c>
      <c r="G33" s="27" t="inlineStr">
        <is>
          <t>589300</t>
        </is>
      </c>
      <c r="H33" s="28" t="inlineStr">
        <is>
          <t>科创综指ETF嘉实</t>
        </is>
      </c>
      <c r="I33" s="29" t="n">
        <v>-0.1185000992860297</v>
      </c>
    </row>
    <row r="34">
      <c r="A34" s="27" t="inlineStr">
        <is>
          <t>158078</t>
        </is>
      </c>
      <c r="B34" s="28" t="inlineStr">
        <is>
          <t>创业板电池ETF华宝</t>
        </is>
      </c>
      <c r="C34" s="29" t="n">
        <v>-0.1132345038185204</v>
      </c>
      <c r="D34" s="27" t="inlineStr">
        <is>
          <t>159633</t>
        </is>
      </c>
      <c r="E34" s="28" t="inlineStr">
        <is>
          <t>中证1000ETF易方达</t>
        </is>
      </c>
      <c r="F34" s="30" t="n">
        <v>-3.672435</v>
      </c>
      <c r="G34" s="27" t="inlineStr">
        <is>
          <t>588690</t>
        </is>
      </c>
      <c r="H34" s="28" t="inlineStr">
        <is>
          <t>科创增强ETF银华</t>
        </is>
      </c>
      <c r="I34" s="29" t="n">
        <v>-0.1173819086906732</v>
      </c>
    </row>
    <row r="35">
      <c r="A35" s="27" t="inlineStr">
        <is>
          <t>159197</t>
        </is>
      </c>
      <c r="B35" s="28" t="inlineStr">
        <is>
          <t>石油ETF招商</t>
        </is>
      </c>
      <c r="C35" s="29" t="n">
        <v>-0.09903860747756342</v>
      </c>
      <c r="D35" s="27" t="inlineStr">
        <is>
          <t>589020</t>
        </is>
      </c>
      <c r="E35" s="28" t="inlineStr">
        <is>
          <t>科创半导体设备ETF鹏华</t>
        </is>
      </c>
      <c r="F35" s="30" t="n">
        <v>-3.448041</v>
      </c>
      <c r="G35" s="27" t="inlineStr">
        <is>
          <t>560300</t>
        </is>
      </c>
      <c r="H35" s="28" t="inlineStr">
        <is>
          <t>电信ETF汇添富</t>
        </is>
      </c>
      <c r="I35" s="29" t="n">
        <v>-0.1172006404314486</v>
      </c>
    </row>
    <row r="36">
      <c r="A36" s="27" t="inlineStr">
        <is>
          <t>159845</t>
        </is>
      </c>
      <c r="B36" s="28" t="inlineStr">
        <is>
          <t>中证1000ETF华夏</t>
        </is>
      </c>
      <c r="C36" s="29" t="n">
        <v>-0.0963102772236287</v>
      </c>
      <c r="D36" s="27" t="inlineStr">
        <is>
          <t>515070</t>
        </is>
      </c>
      <c r="E36" s="28" t="inlineStr">
        <is>
          <t>人工智能ETF华夏</t>
        </is>
      </c>
      <c r="F36" s="30" t="n">
        <v>-3.442386</v>
      </c>
      <c r="G36" s="27" t="inlineStr">
        <is>
          <t>159895</t>
        </is>
      </c>
      <c r="H36" s="28" t="inlineStr">
        <is>
          <t>物联网ETF易方达</t>
        </is>
      </c>
      <c r="I36" s="29" t="n">
        <v>-0.1128758516584391</v>
      </c>
    </row>
    <row r="37">
      <c r="A37" s="27" t="inlineStr">
        <is>
          <t>159289</t>
        </is>
      </c>
      <c r="B37" s="28" t="inlineStr">
        <is>
          <t>创业板综指ETF鹏华</t>
        </is>
      </c>
      <c r="C37" s="29" t="n">
        <v>-0.0927598351398002</v>
      </c>
      <c r="D37" s="27" t="inlineStr">
        <is>
          <t>588750</t>
        </is>
      </c>
      <c r="E37" s="28" t="inlineStr">
        <is>
          <t>科创芯片ETF汇添富</t>
        </is>
      </c>
      <c r="F37" s="30" t="n">
        <v>-3.085078</v>
      </c>
      <c r="G37" s="27" t="inlineStr">
        <is>
          <t>530580</t>
        </is>
      </c>
      <c r="H37" s="28" t="inlineStr">
        <is>
          <t>上证180ETF南方</t>
        </is>
      </c>
      <c r="I37" s="29" t="n">
        <v>-0.1120756668390412</v>
      </c>
    </row>
    <row r="38">
      <c r="A38" s="27" t="inlineStr">
        <is>
          <t>520650</t>
        </is>
      </c>
      <c r="B38" s="28" t="inlineStr">
        <is>
          <t>港股通互联网ETF南方</t>
        </is>
      </c>
      <c r="C38" s="29" t="n">
        <v>-0.08805847082462755</v>
      </c>
      <c r="D38" s="27" t="inlineStr">
        <is>
          <t>511100</t>
        </is>
      </c>
      <c r="E38" s="28" t="inlineStr">
        <is>
          <t>国债ETF华夏</t>
        </is>
      </c>
      <c r="F38" s="30" t="n">
        <v>-2.9387</v>
      </c>
      <c r="G38" s="27" t="inlineStr">
        <is>
          <t>589050</t>
        </is>
      </c>
      <c r="H38" s="28" t="inlineStr">
        <is>
          <t>科创综指ETF兴业</t>
        </is>
      </c>
      <c r="I38" s="29" t="n">
        <v>-0.1104395576706316</v>
      </c>
    </row>
    <row r="39">
      <c r="A39" s="27" t="inlineStr">
        <is>
          <t>159629</t>
        </is>
      </c>
      <c r="B39" s="28" t="inlineStr">
        <is>
          <t>中证1000ETF富国</t>
        </is>
      </c>
      <c r="C39" s="29" t="n">
        <v>-0.0858924057613218</v>
      </c>
      <c r="D39" s="27" t="inlineStr">
        <is>
          <t>561980</t>
        </is>
      </c>
      <c r="E39" s="28" t="inlineStr">
        <is>
          <t>半导体设备ETF招商</t>
        </is>
      </c>
      <c r="F39" s="30" t="n">
        <v>-2.890343</v>
      </c>
      <c r="G39" s="27" t="inlineStr">
        <is>
          <t>159633</t>
        </is>
      </c>
      <c r="H39" s="28" t="inlineStr">
        <is>
          <t>中证1000ETF易方达</t>
        </is>
      </c>
      <c r="I39" s="29" t="n">
        <v>-0.1064142640812686</v>
      </c>
    </row>
    <row r="40">
      <c r="A40" s="27" t="inlineStr">
        <is>
          <t>517350</t>
        </is>
      </c>
      <c r="B40" s="28" t="inlineStr">
        <is>
          <t>沪港深科技ETF广发</t>
        </is>
      </c>
      <c r="C40" s="29" t="n">
        <v>-0.08566288798149682</v>
      </c>
      <c r="D40" s="27" t="inlineStr">
        <is>
          <t>513980</t>
        </is>
      </c>
      <c r="E40" s="28" t="inlineStr">
        <is>
          <t>港股科技ETF景顺</t>
        </is>
      </c>
      <c r="F40" s="30" t="n">
        <v>-2.761642</v>
      </c>
      <c r="G40" s="27" t="inlineStr">
        <is>
          <t>158078</t>
        </is>
      </c>
      <c r="H40" s="28" t="inlineStr">
        <is>
          <t>创业板电池ETF华宝</t>
        </is>
      </c>
      <c r="I40" s="29" t="n">
        <v>-0.1038019388251417</v>
      </c>
    </row>
    <row r="41">
      <c r="A41" s="27" t="inlineStr">
        <is>
          <t>159291</t>
        </is>
      </c>
      <c r="B41" s="28" t="inlineStr">
        <is>
          <t>创业板综增强ETF招商</t>
        </is>
      </c>
      <c r="C41" s="29" t="n">
        <v>-0.08526098472685877</v>
      </c>
      <c r="D41" s="27" t="inlineStr">
        <is>
          <t>513310</t>
        </is>
      </c>
      <c r="E41" s="28" t="inlineStr">
        <is>
          <t>中韩半导体ETF华泰柏瑞</t>
        </is>
      </c>
      <c r="F41" s="30" t="n">
        <v>-2.653235</v>
      </c>
      <c r="G41" s="27" t="inlineStr">
        <is>
          <t>516550</t>
        </is>
      </c>
      <c r="H41" s="28" t="inlineStr">
        <is>
          <t>农业ETF嘉实</t>
        </is>
      </c>
      <c r="I41" s="29" t="n">
        <v>-0.1012201162938268</v>
      </c>
    </row>
    <row r="42">
      <c r="A42" s="27" t="inlineStr">
        <is>
          <t>160622</t>
        </is>
      </c>
      <c r="B42" s="28" t="inlineStr">
        <is>
          <t>鹏华丰利LOF</t>
        </is>
      </c>
      <c r="C42" s="29" t="n">
        <v>-0.08380824401314953</v>
      </c>
      <c r="D42" s="27" t="inlineStr">
        <is>
          <t>513040</t>
        </is>
      </c>
      <c r="E42" s="28" t="inlineStr">
        <is>
          <t>港股通互联网ETF易方达</t>
        </is>
      </c>
      <c r="F42" s="30" t="n">
        <v>-2.453788</v>
      </c>
      <c r="G42" s="27" t="inlineStr">
        <is>
          <t>563330</t>
        </is>
      </c>
      <c r="H42" s="28" t="inlineStr">
        <is>
          <t>A股ETF华泰柏瑞</t>
        </is>
      </c>
      <c r="I42" s="29" t="n">
        <v>-0.09492495104690474</v>
      </c>
    </row>
    <row r="43">
      <c r="A43" s="27" t="inlineStr">
        <is>
          <t>516260</t>
        </is>
      </c>
      <c r="B43" s="28" t="inlineStr">
        <is>
          <t>物联网ETF华夏</t>
        </is>
      </c>
      <c r="C43" s="29" t="n">
        <v>-0.07423546747929759</v>
      </c>
      <c r="D43" s="27" t="inlineStr">
        <is>
          <t>589130</t>
        </is>
      </c>
      <c r="E43" s="28" t="inlineStr">
        <is>
          <t>科创芯片ETF易方达</t>
        </is>
      </c>
      <c r="F43" s="30" t="n">
        <v>-2.264868</v>
      </c>
      <c r="G43" s="27" t="inlineStr">
        <is>
          <t>159197</t>
        </is>
      </c>
      <c r="H43" s="28" t="inlineStr">
        <is>
          <t>石油ETF招商</t>
        </is>
      </c>
      <c r="I43" s="29" t="n">
        <v>-0.09394798009605139</v>
      </c>
    </row>
    <row r="44">
      <c r="A44" s="27" t="inlineStr">
        <is>
          <t>510770</t>
        </is>
      </c>
      <c r="B44" s="28" t="inlineStr">
        <is>
          <t>G60创新ETF申万菱信</t>
        </is>
      </c>
      <c r="C44" s="29" t="n">
        <v>-0.06941006075693995</v>
      </c>
      <c r="D44" s="27" t="inlineStr">
        <is>
          <t>515980</t>
        </is>
      </c>
      <c r="E44" s="28" t="inlineStr">
        <is>
          <t>人工智能ETF华富</t>
        </is>
      </c>
      <c r="F44" s="30" t="n">
        <v>-2.189189</v>
      </c>
      <c r="G44" s="27" t="inlineStr">
        <is>
          <t>588710</t>
        </is>
      </c>
      <c r="H44" s="28" t="inlineStr">
        <is>
          <t>科创半导体设备ETF华泰柏瑞</t>
        </is>
      </c>
      <c r="I44" s="29" t="n">
        <v>-0.09277283448892361</v>
      </c>
    </row>
    <row r="45">
      <c r="A45" s="27" t="inlineStr">
        <is>
          <t>159670</t>
        </is>
      </c>
      <c r="B45" s="28" t="inlineStr">
        <is>
          <t>消费50ETF国联安</t>
        </is>
      </c>
      <c r="C45" s="29" t="n">
        <v>-0.06699390846163378</v>
      </c>
      <c r="D45" s="27" t="inlineStr">
        <is>
          <t>560860</t>
        </is>
      </c>
      <c r="E45" s="28" t="inlineStr">
        <is>
          <t>工业有色ETF万家</t>
        </is>
      </c>
      <c r="F45" s="30" t="n">
        <v>-2.123298</v>
      </c>
      <c r="G45" s="27" t="inlineStr">
        <is>
          <t>589020</t>
        </is>
      </c>
      <c r="H45" s="28" t="inlineStr">
        <is>
          <t>科创半导体设备ETF鹏华</t>
        </is>
      </c>
      <c r="I45" s="29" t="n">
        <v>-0.09252910929017706</v>
      </c>
    </row>
    <row r="46">
      <c r="A46" s="27" t="inlineStr">
        <is>
          <t>516180</t>
        </is>
      </c>
      <c r="B46" s="28" t="inlineStr">
        <is>
          <t>光伏ETF平安</t>
        </is>
      </c>
      <c r="C46" s="29" t="n">
        <v>-0.06410790642809977</v>
      </c>
      <c r="D46" s="27" t="inlineStr">
        <is>
          <t>588090</t>
        </is>
      </c>
      <c r="E46" s="28" t="inlineStr">
        <is>
          <t>科创50ETF华泰柏瑞</t>
        </is>
      </c>
      <c r="F46" s="30" t="n">
        <v>-2.108083</v>
      </c>
      <c r="G46" s="27" t="inlineStr">
        <is>
          <t>588110</t>
        </is>
      </c>
      <c r="H46" s="28" t="inlineStr">
        <is>
          <t>科创成长ETF广发</t>
        </is>
      </c>
      <c r="I46" s="29" t="n">
        <v>-0.08879250701299449</v>
      </c>
    </row>
    <row r="47">
      <c r="A47" s="27" t="inlineStr">
        <is>
          <t>562520</t>
        </is>
      </c>
      <c r="B47" s="28" t="inlineStr">
        <is>
          <t>中证1000成长ETF华夏</t>
        </is>
      </c>
      <c r="C47" s="29" t="n">
        <v>-0.06140997297961188</v>
      </c>
      <c r="D47" s="27" t="inlineStr">
        <is>
          <t>588290</t>
        </is>
      </c>
      <c r="E47" s="28" t="inlineStr">
        <is>
          <t>科创芯片ETF华安</t>
        </is>
      </c>
      <c r="F47" s="30" t="n">
        <v>-2.089033</v>
      </c>
      <c r="G47" s="27" t="inlineStr">
        <is>
          <t>560690</t>
        </is>
      </c>
      <c r="H47" s="28" t="inlineStr">
        <is>
          <t>电信ETF鹏华</t>
        </is>
      </c>
      <c r="I47" s="29" t="n">
        <v>-0.08807239003026986</v>
      </c>
    </row>
  </sheetData>
  <mergeCells count="11">
    <mergeCell ref="D2:F2"/>
    <mergeCell ref="G2:I2"/>
    <mergeCell ref="J26:M26"/>
    <mergeCell ref="D26:F26"/>
    <mergeCell ref="G26:I26"/>
    <mergeCell ref="J2:M2"/>
    <mergeCell ref="A30:C30"/>
    <mergeCell ref="D30:F30"/>
    <mergeCell ref="G30:I30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2026-06-16T02:20:00Z</dcterms:created>
  <dcterms:modified xsi:type="dcterms:W3CDTF">2026-10-29T22:38:48Z</dcterms:modified>
  <cp:lastModifiedBy>一二（71cm）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E35CB70D384D45AFB82964DF5A21ED04_13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
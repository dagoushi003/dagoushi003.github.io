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全市场ETF数据" sheetId="1" r:id="rId1"/>
    <sheet name="全部排行榜" sheetId="2" r:id="rId2"/>
    <sheet name="大市值排行榜" sheetId="3" r:id="rId3"/>
    <sheet name="小市值排行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<sst xmlns="http://schemas.openxmlformats.org/spreadsheetml/2006/main" count="6484" uniqueCount="3697">
  <si>
    <t>日期</t>
  </si>
  <si>
    <t>代码</t>
  </si>
  <si>
    <t>名称</t>
  </si>
  <si>
    <t>当日份额(万份)</t>
  </si>
  <si>
    <t>昨日份额(万份)</t>
  </si>
  <si>
    <t>当日净值</t>
  </si>
  <si>
    <t>当日净份额(万份)</t>
  </si>
  <si>
    <t>当日市值(亿)</t>
  </si>
  <si>
    <t>昨日市值（亿）</t>
  </si>
  <si>
    <t>当日市值变化(亿)</t>
  </si>
  <si>
    <t>市值变化百分比</t>
  </si>
  <si>
    <t>份额变化百分比</t>
  </si>
  <si>
    <t>今日净流入资金（亿）</t>
  </si>
  <si>
    <t>2026-06-19</t>
  </si>
  <si>
    <t>159001</t>
  </si>
  <si>
    <t>货币ETF易方达</t>
  </si>
  <si>
    <t>159003</t>
  </si>
  <si>
    <t>招商快线ETF</t>
  </si>
  <si>
    <t>159005</t>
  </si>
  <si>
    <t>快钱ETF汇添富</t>
  </si>
  <si>
    <t>159007</t>
  </si>
  <si>
    <t>养殖ETF华泰柏瑞</t>
  </si>
  <si>
    <t>159008</t>
  </si>
  <si>
    <t>证券ETF景顺</t>
  </si>
  <si>
    <t>159009</t>
  </si>
  <si>
    <t>创业板新能源ETF易方达</t>
  </si>
  <si>
    <t>159010</t>
  </si>
  <si>
    <t>港股通科技ETF博时</t>
  </si>
  <si>
    <t>159011</t>
  </si>
  <si>
    <t>养殖ETF华安</t>
  </si>
  <si>
    <t>159012</t>
  </si>
  <si>
    <t>科创创业50ETF鹏华</t>
  </si>
  <si>
    <t>159013</t>
  </si>
  <si>
    <t>工业互联网ETF大成</t>
  </si>
  <si>
    <t>159015</t>
  </si>
  <si>
    <t>恒生港股通科技ETF国联</t>
  </si>
  <si>
    <t>159016</t>
  </si>
  <si>
    <t>证券ETF广发</t>
  </si>
  <si>
    <t>159017</t>
  </si>
  <si>
    <t>石油ETF工银</t>
  </si>
  <si>
    <t>159018</t>
  </si>
  <si>
    <t>石油ETF广发</t>
  </si>
  <si>
    <t>159019</t>
  </si>
  <si>
    <t>石油ETF华宝</t>
  </si>
  <si>
    <t>159020</t>
  </si>
  <si>
    <t>养殖ETF易方达</t>
  </si>
  <si>
    <t>159021</t>
  </si>
  <si>
    <t>大盘价值ETF华夏</t>
  </si>
  <si>
    <t>159022</t>
  </si>
  <si>
    <t>科创创业人工智能ETF富国</t>
  </si>
  <si>
    <t>159023</t>
  </si>
  <si>
    <t>养殖ETF万家</t>
  </si>
  <si>
    <t>159026</t>
  </si>
  <si>
    <t>石油ETF南方</t>
  </si>
  <si>
    <t>159027</t>
  </si>
  <si>
    <t>畜牧养殖ETF大成</t>
  </si>
  <si>
    <t>159028</t>
  </si>
  <si>
    <t>港股汽车ETF天弘</t>
  </si>
  <si>
    <t>159029</t>
  </si>
  <si>
    <t>有色ETF广发</t>
  </si>
  <si>
    <t>159030</t>
  </si>
  <si>
    <t>粮食ETF华夏</t>
  </si>
  <si>
    <t>159031</t>
  </si>
  <si>
    <t>粮食ETF博时</t>
  </si>
  <si>
    <t>159032</t>
  </si>
  <si>
    <t>工业有色ETF易方达</t>
  </si>
  <si>
    <t>159033</t>
  </si>
  <si>
    <t>粮食ETF国泰</t>
  </si>
  <si>
    <t>159035</t>
  </si>
  <si>
    <t>软件ETF天弘</t>
  </si>
  <si>
    <t>159036</t>
  </si>
  <si>
    <t>软件开发ETF华宝</t>
  </si>
  <si>
    <t>159037</t>
  </si>
  <si>
    <t>价值ETF鹏华</t>
  </si>
  <si>
    <t>159038</t>
  </si>
  <si>
    <t>粮食ETF易方达</t>
  </si>
  <si>
    <t>159041</t>
  </si>
  <si>
    <t>农业ETF鹏华</t>
  </si>
  <si>
    <t>159042</t>
  </si>
  <si>
    <t>价值ETF汇添富</t>
  </si>
  <si>
    <t>159046</t>
  </si>
  <si>
    <t>绿电ETF天弘</t>
  </si>
  <si>
    <t>159048</t>
  </si>
  <si>
    <t>机器人ETF大成</t>
  </si>
  <si>
    <t>159050</t>
  </si>
  <si>
    <t>机器人ETF广发</t>
  </si>
  <si>
    <t>159051</t>
  </si>
  <si>
    <t>医疗器械ETF易方达</t>
  </si>
  <si>
    <t>159052</t>
  </si>
  <si>
    <t>新能源电池ETF嘉实</t>
  </si>
  <si>
    <t>159053</t>
  </si>
  <si>
    <t>稀有金属ETF华夏</t>
  </si>
  <si>
    <t>159055</t>
  </si>
  <si>
    <t>稀有金属ETF富国</t>
  </si>
  <si>
    <t>159056</t>
  </si>
  <si>
    <t>医疗器械ETF富国</t>
  </si>
  <si>
    <t>159057</t>
  </si>
  <si>
    <t>医疗器械ETF鹏华</t>
  </si>
  <si>
    <t>159060</t>
  </si>
  <si>
    <t>粮食ETF浦银</t>
  </si>
  <si>
    <t>159063</t>
  </si>
  <si>
    <t>粮食ETF南方</t>
  </si>
  <si>
    <t>159100</t>
  </si>
  <si>
    <t>巴西ETF华夏</t>
  </si>
  <si>
    <t>159101</t>
  </si>
  <si>
    <t>港股通科技ETF华夏</t>
  </si>
  <si>
    <t>159102</t>
  </si>
  <si>
    <t>港股通生物科技ETF华安</t>
  </si>
  <si>
    <t>159103</t>
  </si>
  <si>
    <t>金融科技ETF汇添富</t>
  </si>
  <si>
    <t>159105</t>
  </si>
  <si>
    <t>恒生生物科技ETF易方达</t>
  </si>
  <si>
    <t>159106</t>
  </si>
  <si>
    <t>民企300ETF前海开源</t>
  </si>
  <si>
    <t>159107</t>
  </si>
  <si>
    <t>创业板软件ETF富国</t>
  </si>
  <si>
    <t>159108</t>
  </si>
  <si>
    <t>工业软件ETF博时</t>
  </si>
  <si>
    <t>159109</t>
  </si>
  <si>
    <t>恒生50ETF景顺</t>
  </si>
  <si>
    <t>159110</t>
  </si>
  <si>
    <t>科创债ETF万家</t>
  </si>
  <si>
    <t>159111</t>
  </si>
  <si>
    <t>科创债ETF天弘</t>
  </si>
  <si>
    <t>159112</t>
  </si>
  <si>
    <t>科创债ETF银华</t>
  </si>
  <si>
    <t>159113</t>
  </si>
  <si>
    <t>科创债ETF大成</t>
  </si>
  <si>
    <t>159115</t>
  </si>
  <si>
    <t>科创债ETF华安</t>
  </si>
  <si>
    <t>159116</t>
  </si>
  <si>
    <t>科创债ETF工银</t>
  </si>
  <si>
    <t>159117</t>
  </si>
  <si>
    <t>港股通红利低波ETF鹏华</t>
  </si>
  <si>
    <t>159118</t>
  </si>
  <si>
    <t>港股通红利低波ETF华夏</t>
  </si>
  <si>
    <t>159119</t>
  </si>
  <si>
    <t>800现金流ETF招商</t>
  </si>
  <si>
    <t>159120</t>
  </si>
  <si>
    <t>港股通科技ETF国联安</t>
  </si>
  <si>
    <t>159121</t>
  </si>
  <si>
    <t>港股通汽车ETF易方达</t>
  </si>
  <si>
    <t>159122</t>
  </si>
  <si>
    <t>创业板新能源ETF富国</t>
  </si>
  <si>
    <t>159123</t>
  </si>
  <si>
    <t>光伏ETF嘉实</t>
  </si>
  <si>
    <t>159125</t>
  </si>
  <si>
    <t>港股通科技ETF招商</t>
  </si>
  <si>
    <t>159126</t>
  </si>
  <si>
    <t>港股通50ETF南方</t>
  </si>
  <si>
    <t>159127</t>
  </si>
  <si>
    <t>港股通红利ETF南方</t>
  </si>
  <si>
    <t>159128</t>
  </si>
  <si>
    <t>港股科技ETF天弘</t>
  </si>
  <si>
    <t>159129</t>
  </si>
  <si>
    <t>化工ETF嘉实</t>
  </si>
  <si>
    <t>159130</t>
  </si>
  <si>
    <t>恒生生物科技ETF鹏华</t>
  </si>
  <si>
    <t>159131</t>
  </si>
  <si>
    <t>港股通信息技术ETF华宝</t>
  </si>
  <si>
    <t>159132</t>
  </si>
  <si>
    <t>恒生生物科技ETF富国</t>
  </si>
  <si>
    <t>159133</t>
  </si>
  <si>
    <t>化工ETF天弘</t>
  </si>
  <si>
    <t>159135</t>
  </si>
  <si>
    <t>港股通科技ETF前海开源</t>
  </si>
  <si>
    <t>159136</t>
  </si>
  <si>
    <t>A50ETF广发</t>
  </si>
  <si>
    <t>159137</t>
  </si>
  <si>
    <t>港股通医疗ETF华宝</t>
  </si>
  <si>
    <t>159138</t>
  </si>
  <si>
    <t>工程机械ETF易方达</t>
  </si>
  <si>
    <t>159139</t>
  </si>
  <si>
    <t>科创创业人工智能ETF华泰柏瑞</t>
  </si>
  <si>
    <t>159140</t>
  </si>
  <si>
    <t>科创创业人工智能ETF易方达</t>
  </si>
  <si>
    <t>159141</t>
  </si>
  <si>
    <t>科创创业人工智能ETF永赢</t>
  </si>
  <si>
    <t>159142</t>
  </si>
  <si>
    <t>科创创业人工智能ETF景顺</t>
  </si>
  <si>
    <t>159143</t>
  </si>
  <si>
    <t>港股通央企红利ETF平安</t>
  </si>
  <si>
    <t>159145</t>
  </si>
  <si>
    <t>工业软件ETF广发</t>
  </si>
  <si>
    <t>159146</t>
  </si>
  <si>
    <t>电力ETF华宝</t>
  </si>
  <si>
    <t>159147</t>
  </si>
  <si>
    <t>电池ETF南方</t>
  </si>
  <si>
    <t>159148</t>
  </si>
  <si>
    <t>石油ETF富国</t>
  </si>
  <si>
    <t>159149</t>
  </si>
  <si>
    <t>创业板新能源ETF工银</t>
  </si>
  <si>
    <t>159150</t>
  </si>
  <si>
    <t>深证50ETF易方达</t>
  </si>
  <si>
    <t>159151</t>
  </si>
  <si>
    <t>食品ETF华夏</t>
  </si>
  <si>
    <t>159152</t>
  </si>
  <si>
    <t>港股通科技ETF平安</t>
  </si>
  <si>
    <t>159153</t>
  </si>
  <si>
    <t>消费电子ETF鹏华</t>
  </si>
  <si>
    <t>159155</t>
  </si>
  <si>
    <t>电池ETF大成</t>
  </si>
  <si>
    <t>159156</t>
  </si>
  <si>
    <t>电池ETF万家</t>
  </si>
  <si>
    <t>159157</t>
  </si>
  <si>
    <t>有色金属ETF天弘</t>
  </si>
  <si>
    <t>159158</t>
  </si>
  <si>
    <t>电力ETF景顺</t>
  </si>
  <si>
    <t>159159</t>
  </si>
  <si>
    <t>公用事业ETF国投瑞银</t>
  </si>
  <si>
    <t>159160</t>
  </si>
  <si>
    <t>电池ETF东财</t>
  </si>
  <si>
    <t>159162</t>
  </si>
  <si>
    <t>工业有色ETF鹏华</t>
  </si>
  <si>
    <t>159163</t>
  </si>
  <si>
    <t>有色ETF泰康</t>
  </si>
  <si>
    <t>159165</t>
  </si>
  <si>
    <t>养殖ETF永赢</t>
  </si>
  <si>
    <t>159166</t>
  </si>
  <si>
    <t>现金流ETF长城</t>
  </si>
  <si>
    <t>159167</t>
  </si>
  <si>
    <t>港股通医疗ETF工银</t>
  </si>
  <si>
    <t>159168</t>
  </si>
  <si>
    <t>有色ETF富国</t>
  </si>
  <si>
    <t>159169</t>
  </si>
  <si>
    <t>恒生生物科技ETF广发</t>
  </si>
  <si>
    <t>159170</t>
  </si>
  <si>
    <t>港股通互联网ETF永赢</t>
  </si>
  <si>
    <t>159171</t>
  </si>
  <si>
    <t>工业有色ETF博时</t>
  </si>
  <si>
    <t>159172</t>
  </si>
  <si>
    <t>养殖ETF汇添富</t>
  </si>
  <si>
    <t>159173</t>
  </si>
  <si>
    <t>农牧ETF南方</t>
  </si>
  <si>
    <t>159175</t>
  </si>
  <si>
    <t>电池ETF易方达</t>
  </si>
  <si>
    <t>159176</t>
  </si>
  <si>
    <t>家电ETF华宝</t>
  </si>
  <si>
    <t>159177</t>
  </si>
  <si>
    <t>工程机械ETF鹏华</t>
  </si>
  <si>
    <t>159178</t>
  </si>
  <si>
    <t>消费电子ETF汇添富</t>
  </si>
  <si>
    <t>159179</t>
  </si>
  <si>
    <t>港股通互联网ETF工银</t>
  </si>
  <si>
    <t>159180</t>
  </si>
  <si>
    <t>软件ETF银华</t>
  </si>
  <si>
    <t>159181</t>
  </si>
  <si>
    <t>石油ETF易方达</t>
  </si>
  <si>
    <t>159182</t>
  </si>
  <si>
    <t>家电ETF南方</t>
  </si>
  <si>
    <t>159183</t>
  </si>
  <si>
    <t>新能源车ETF招商</t>
  </si>
  <si>
    <t>159185</t>
  </si>
  <si>
    <t>港股通信息技术ETF鹏华</t>
  </si>
  <si>
    <t>159186</t>
  </si>
  <si>
    <t>港股通汽车ETF鹏华</t>
  </si>
  <si>
    <t>159187</t>
  </si>
  <si>
    <t>创业板新能源ETF景顺</t>
  </si>
  <si>
    <t>159188</t>
  </si>
  <si>
    <t>红利100ETF景顺</t>
  </si>
  <si>
    <t>159189</t>
  </si>
  <si>
    <t>石油ETF华夏</t>
  </si>
  <si>
    <t>159190</t>
  </si>
  <si>
    <t>创业板新能源ETF天弘</t>
  </si>
  <si>
    <t>159191</t>
  </si>
  <si>
    <t>港股通科技ETF易方达</t>
  </si>
  <si>
    <t>159192</t>
  </si>
  <si>
    <t>家电ETF汇添富</t>
  </si>
  <si>
    <t>159193</t>
  </si>
  <si>
    <t>新能源电池ETF银华</t>
  </si>
  <si>
    <t>159195</t>
  </si>
  <si>
    <t>石油ETF华安</t>
  </si>
  <si>
    <t>159196</t>
  </si>
  <si>
    <t>港股通信息技术ETF易方达</t>
  </si>
  <si>
    <t>159197</t>
  </si>
  <si>
    <t>石油ETF招商</t>
  </si>
  <si>
    <t>159198</t>
  </si>
  <si>
    <t>港股通信息技术ETF富国</t>
  </si>
  <si>
    <t>159199</t>
  </si>
  <si>
    <t>石油ETF平安</t>
  </si>
  <si>
    <t>159200</t>
  </si>
  <si>
    <t>科创债ETF富国</t>
  </si>
  <si>
    <t>159201</t>
  </si>
  <si>
    <t>自由现金流ETF华夏</t>
  </si>
  <si>
    <t>159202</t>
  </si>
  <si>
    <t>恒生互联网ETF万家</t>
  </si>
  <si>
    <t>159203</t>
  </si>
  <si>
    <t>大盘成长ETF博时</t>
  </si>
  <si>
    <t>159205</t>
  </si>
  <si>
    <t>创业板ETF东财</t>
  </si>
  <si>
    <t>159206</t>
  </si>
  <si>
    <t>卫星ETF永赢</t>
  </si>
  <si>
    <t>159207</t>
  </si>
  <si>
    <t>高股息ETF广发</t>
  </si>
  <si>
    <t>159208</t>
  </si>
  <si>
    <t>航空航天ETF万家</t>
  </si>
  <si>
    <t>159209</t>
  </si>
  <si>
    <t>红利质量ETF招商</t>
  </si>
  <si>
    <t>159210</t>
  </si>
  <si>
    <t>港股通汽车ETF汇添富</t>
  </si>
  <si>
    <t>159211</t>
  </si>
  <si>
    <t>深证100ETF富国</t>
  </si>
  <si>
    <t>159212</t>
  </si>
  <si>
    <t>深100ETF南方</t>
  </si>
  <si>
    <t>159213</t>
  </si>
  <si>
    <t>机器人ETF汇添富</t>
  </si>
  <si>
    <t>159215</t>
  </si>
  <si>
    <t>A500ETF平安</t>
  </si>
  <si>
    <t>159216</t>
  </si>
  <si>
    <t>深证100ETF大成</t>
  </si>
  <si>
    <t>159217</t>
  </si>
  <si>
    <t>港股通创新药ETF工银</t>
  </si>
  <si>
    <t>159218</t>
  </si>
  <si>
    <t>卫星ETF招商</t>
  </si>
  <si>
    <t>159219</t>
  </si>
  <si>
    <t>深证100ETF融通</t>
  </si>
  <si>
    <t>159220</t>
  </si>
  <si>
    <t>港股通红利低波ETF华宝</t>
  </si>
  <si>
    <t>159221</t>
  </si>
  <si>
    <t>现金流ETF嘉实</t>
  </si>
  <si>
    <t>159222</t>
  </si>
  <si>
    <t>自由现金流ETF易方达</t>
  </si>
  <si>
    <t>159223</t>
  </si>
  <si>
    <t>现金流ETF永赢</t>
  </si>
  <si>
    <t>159225</t>
  </si>
  <si>
    <t>现金流ETF银华</t>
  </si>
  <si>
    <t>159226</t>
  </si>
  <si>
    <t>中证A500增强ETF国泰</t>
  </si>
  <si>
    <t>159227</t>
  </si>
  <si>
    <t>航空航天ETF华夏</t>
  </si>
  <si>
    <t>159228</t>
  </si>
  <si>
    <t>红利低波ETF长城</t>
  </si>
  <si>
    <t>159229</t>
  </si>
  <si>
    <t>自由现金流ETF广发</t>
  </si>
  <si>
    <t>159230</t>
  </si>
  <si>
    <t>通用航空ETF华夏</t>
  </si>
  <si>
    <t>159231</t>
  </si>
  <si>
    <t>通用航空ETF华宝</t>
  </si>
  <si>
    <t>159232</t>
  </si>
  <si>
    <t>自由现金流ETF南方</t>
  </si>
  <si>
    <t>159233</t>
  </si>
  <si>
    <t>自由现金流ETF平安</t>
  </si>
  <si>
    <t>159235</t>
  </si>
  <si>
    <t>中证现金流ETF大成</t>
  </si>
  <si>
    <t>159236</t>
  </si>
  <si>
    <t>自由现金流ETF工银</t>
  </si>
  <si>
    <t>159237</t>
  </si>
  <si>
    <t>港股汽车ETF工银</t>
  </si>
  <si>
    <t>159238</t>
  </si>
  <si>
    <t>沪深300增强ETF景顺</t>
  </si>
  <si>
    <t>159239</t>
  </si>
  <si>
    <t>港股通汽车ETF富国</t>
  </si>
  <si>
    <t>159240</t>
  </si>
  <si>
    <t>A500增强ETF天弘</t>
  </si>
  <si>
    <t>159241</t>
  </si>
  <si>
    <t>航空航天ETF天弘</t>
  </si>
  <si>
    <t>159242</t>
  </si>
  <si>
    <t>创业板人工智能ETF大成</t>
  </si>
  <si>
    <t>159243</t>
  </si>
  <si>
    <t>创业板人工智能ETF招商</t>
  </si>
  <si>
    <t>159245</t>
  </si>
  <si>
    <t>港股通消费ETF富国</t>
  </si>
  <si>
    <t>159246</t>
  </si>
  <si>
    <t>创业板人工智能ETF富国</t>
  </si>
  <si>
    <t>159247</t>
  </si>
  <si>
    <t>创业板ETF汇添富</t>
  </si>
  <si>
    <t>159248</t>
  </si>
  <si>
    <t>人工智能ETF万家</t>
  </si>
  <si>
    <t>159249</t>
  </si>
  <si>
    <t>A500增强ETF工银</t>
  </si>
  <si>
    <t>159251</t>
  </si>
  <si>
    <t>港股通科技ETF万家</t>
  </si>
  <si>
    <t>159253</t>
  </si>
  <si>
    <t>银行ETF博时</t>
  </si>
  <si>
    <t>159255</t>
  </si>
  <si>
    <t>通用航空ETF易方达</t>
  </si>
  <si>
    <t>159256</t>
  </si>
  <si>
    <t>创业板软件ETF华夏</t>
  </si>
  <si>
    <t>159257</t>
  </si>
  <si>
    <t>航空ETF汇添富</t>
  </si>
  <si>
    <t>159258</t>
  </si>
  <si>
    <t>机器人ETF南方</t>
  </si>
  <si>
    <t>159259</t>
  </si>
  <si>
    <t>成长ETF易方达</t>
  </si>
  <si>
    <t>159260</t>
  </si>
  <si>
    <t>证券ETF博时</t>
  </si>
  <si>
    <t>159261</t>
  </si>
  <si>
    <t>创业板新能源ETF鹏华</t>
  </si>
  <si>
    <t>159262</t>
  </si>
  <si>
    <t>港股通科技ETF广发</t>
  </si>
  <si>
    <t>159263</t>
  </si>
  <si>
    <t>价值ETF易方达</t>
  </si>
  <si>
    <t>159265</t>
  </si>
  <si>
    <t>港股消费ETF鹏华</t>
  </si>
  <si>
    <t>159266</t>
  </si>
  <si>
    <t>港股央企红利ETF永赢</t>
  </si>
  <si>
    <t>159267</t>
  </si>
  <si>
    <t>航天ETF华安</t>
  </si>
  <si>
    <t>159268</t>
  </si>
  <si>
    <t>港股通消费ETF汇添富</t>
  </si>
  <si>
    <t>159269</t>
  </si>
  <si>
    <t>港股通科技ETF南方</t>
  </si>
  <si>
    <t>159270</t>
  </si>
  <si>
    <t>创业板200ETF南方</t>
  </si>
  <si>
    <t>159271</t>
  </si>
  <si>
    <t>恒生ETF鹏华</t>
  </si>
  <si>
    <t>159272</t>
  </si>
  <si>
    <t>机器人ETF富国</t>
  </si>
  <si>
    <t>159273</t>
  </si>
  <si>
    <t>云计算ETF汇添富</t>
  </si>
  <si>
    <t>159275</t>
  </si>
  <si>
    <t>农牧渔ETF华宝</t>
  </si>
  <si>
    <t>159276</t>
  </si>
  <si>
    <t>现金流ETF汇添富</t>
  </si>
  <si>
    <t>159277</t>
  </si>
  <si>
    <t>港股通红利ETF富国</t>
  </si>
  <si>
    <t>159278</t>
  </si>
  <si>
    <t>机器人ETF鹏华</t>
  </si>
  <si>
    <t>159279</t>
  </si>
  <si>
    <t>创业板人工智能ETF华安</t>
  </si>
  <si>
    <t>159280</t>
  </si>
  <si>
    <t>港股通互联网ETF汇添富</t>
  </si>
  <si>
    <t>159281</t>
  </si>
  <si>
    <t>港股央企红利ETF天弘</t>
  </si>
  <si>
    <t>159283</t>
  </si>
  <si>
    <t>通用航空ETF南方</t>
  </si>
  <si>
    <t>159285</t>
  </si>
  <si>
    <t>港股通消费ETF华安</t>
  </si>
  <si>
    <t>159286</t>
  </si>
  <si>
    <t>港股通创新药ETF鹏华</t>
  </si>
  <si>
    <t>159287</t>
  </si>
  <si>
    <t>创业板综ETF博时</t>
  </si>
  <si>
    <t>159288</t>
  </si>
  <si>
    <t>创业板综ETF银华</t>
  </si>
  <si>
    <t>159289</t>
  </si>
  <si>
    <t>创业板综指ETF鹏华</t>
  </si>
  <si>
    <t>159290</t>
  </si>
  <si>
    <t>创业板综指增强ETF东财</t>
  </si>
  <si>
    <t>159291</t>
  </si>
  <si>
    <t>创业板综增强ETF招商</t>
  </si>
  <si>
    <t>159292</t>
  </si>
  <si>
    <t>创业板综增强ETF华宝</t>
  </si>
  <si>
    <t>159293</t>
  </si>
  <si>
    <t>创业板综增强ETF建信</t>
  </si>
  <si>
    <t>159295</t>
  </si>
  <si>
    <t>创业综指ETF西部利得</t>
  </si>
  <si>
    <t>159296</t>
  </si>
  <si>
    <t>A500红利低波ETF华宝</t>
  </si>
  <si>
    <t>159297</t>
  </si>
  <si>
    <t>港股通创新药ETF南方</t>
  </si>
  <si>
    <t>159298</t>
  </si>
  <si>
    <t>创业板50ETF大成</t>
  </si>
  <si>
    <t>159299</t>
  </si>
  <si>
    <t>金融科技ETF易方达</t>
  </si>
  <si>
    <t>159300</t>
  </si>
  <si>
    <t>沪深300ETF富国</t>
  </si>
  <si>
    <t>159301</t>
  </si>
  <si>
    <t>公用事业ETF华夏</t>
  </si>
  <si>
    <t>159302</t>
  </si>
  <si>
    <t>港股高股息ETF银华</t>
  </si>
  <si>
    <t>159303</t>
  </si>
  <si>
    <t>恒生医疗ETF大成</t>
  </si>
  <si>
    <t>159305</t>
  </si>
  <si>
    <t>储能电池ETF广发</t>
  </si>
  <si>
    <t>159306</t>
  </si>
  <si>
    <t>汽车零部件ETF平安</t>
  </si>
  <si>
    <t>159307</t>
  </si>
  <si>
    <t>红利低波100ETF博时</t>
  </si>
  <si>
    <t>159309</t>
  </si>
  <si>
    <t>油气ETF汇添富</t>
  </si>
  <si>
    <t>159310</t>
  </si>
  <si>
    <t>芯片ETF天弘</t>
  </si>
  <si>
    <t>159311</t>
  </si>
  <si>
    <t>数字经济ETF易方达</t>
  </si>
  <si>
    <t>159312</t>
  </si>
  <si>
    <t>恒指港股通ETF广发</t>
  </si>
  <si>
    <t>159315</t>
  </si>
  <si>
    <t>黄金股ETF工银</t>
  </si>
  <si>
    <t>159316</t>
  </si>
  <si>
    <t>港股通创新药ETF易方达</t>
  </si>
  <si>
    <t>159318</t>
  </si>
  <si>
    <t>恒指港股通ETF银华</t>
  </si>
  <si>
    <t>159320</t>
  </si>
  <si>
    <t>电网设备ETF广发</t>
  </si>
  <si>
    <t>159321</t>
  </si>
  <si>
    <t>黄金股ETF华安</t>
  </si>
  <si>
    <t>159322</t>
  </si>
  <si>
    <t>黄金股ETF平安</t>
  </si>
  <si>
    <t>159323</t>
  </si>
  <si>
    <t>港股通汽车ETF华夏</t>
  </si>
  <si>
    <t>159325</t>
  </si>
  <si>
    <t>半导体ETF南方</t>
  </si>
  <si>
    <t>159326</t>
  </si>
  <si>
    <t>电网设备ETF华夏</t>
  </si>
  <si>
    <t>159327</t>
  </si>
  <si>
    <t>半导体设备ETF万家</t>
  </si>
  <si>
    <t>159328</t>
  </si>
  <si>
    <t>家电ETF易方达</t>
  </si>
  <si>
    <t>159329</t>
  </si>
  <si>
    <t>沙特ETF南方</t>
  </si>
  <si>
    <t>159330</t>
  </si>
  <si>
    <t>沪深300ETF东财</t>
  </si>
  <si>
    <t>159331</t>
  </si>
  <si>
    <t>红利港股ETF国泰</t>
  </si>
  <si>
    <t>159332</t>
  </si>
  <si>
    <t>央企红利ETF富国</t>
  </si>
  <si>
    <t>159333</t>
  </si>
  <si>
    <t>港股央企红利ETF万家</t>
  </si>
  <si>
    <t>159335</t>
  </si>
  <si>
    <t>央企科创ETF融通</t>
  </si>
  <si>
    <t>159336</t>
  </si>
  <si>
    <t>央企红利ETF融通</t>
  </si>
  <si>
    <t>159337</t>
  </si>
  <si>
    <t>中证500ETF东财</t>
  </si>
  <si>
    <t>159338</t>
  </si>
  <si>
    <t>中证A500ETF国泰</t>
  </si>
  <si>
    <t>159339</t>
  </si>
  <si>
    <t>A500ETF银华</t>
  </si>
  <si>
    <t>159350</t>
  </si>
  <si>
    <t>深证50ETF富国</t>
  </si>
  <si>
    <t>159351</t>
  </si>
  <si>
    <t>A500ETF嘉实</t>
  </si>
  <si>
    <t>159352</t>
  </si>
  <si>
    <t>A500ETF南方</t>
  </si>
  <si>
    <t>159353</t>
  </si>
  <si>
    <t>中证A500ETF景顺</t>
  </si>
  <si>
    <t>159355</t>
  </si>
  <si>
    <t>800红利低波ETF华宝</t>
  </si>
  <si>
    <t>159356</t>
  </si>
  <si>
    <t>A500ETF万家</t>
  </si>
  <si>
    <t>159357</t>
  </si>
  <si>
    <t>A500ETF博时</t>
  </si>
  <si>
    <t>159358</t>
  </si>
  <si>
    <t>中证A500ETF大成</t>
  </si>
  <si>
    <t>159359</t>
  </si>
  <si>
    <t>A500ETF华安</t>
  </si>
  <si>
    <t>159360</t>
  </si>
  <si>
    <t>A500ETF天弘</t>
  </si>
  <si>
    <t>159361</t>
  </si>
  <si>
    <t>A500ETF易方达</t>
  </si>
  <si>
    <t>159362</t>
  </si>
  <si>
    <t>A500ETF工银</t>
  </si>
  <si>
    <t>159363</t>
  </si>
  <si>
    <t>创业板人工智能ETF华宝</t>
  </si>
  <si>
    <t>159365</t>
  </si>
  <si>
    <t>恒指港股通ETF富国</t>
  </si>
  <si>
    <t>159366</t>
  </si>
  <si>
    <t>港股医疗ETF永赢</t>
  </si>
  <si>
    <t>159367</t>
  </si>
  <si>
    <t>创业板50ETF华夏</t>
  </si>
  <si>
    <t>159368</t>
  </si>
  <si>
    <t>创业板新能源ETF华夏</t>
  </si>
  <si>
    <t>159369</t>
  </si>
  <si>
    <t>创业板50ETF易方达</t>
  </si>
  <si>
    <t>159370</t>
  </si>
  <si>
    <t>创50ETF工银</t>
  </si>
  <si>
    <t>159371</t>
  </si>
  <si>
    <t>创业板50ETF富国</t>
  </si>
  <si>
    <t>159372</t>
  </si>
  <si>
    <t>创业板50ETF万家</t>
  </si>
  <si>
    <t>159373</t>
  </si>
  <si>
    <t>创业板50ETF嘉实</t>
  </si>
  <si>
    <t>159375</t>
  </si>
  <si>
    <t>创业板50ETF国泰</t>
  </si>
  <si>
    <t>159376</t>
  </si>
  <si>
    <t>A500ETF浦银</t>
  </si>
  <si>
    <t>159377</t>
  </si>
  <si>
    <t>创业板医药ETF国泰</t>
  </si>
  <si>
    <t>159378</t>
  </si>
  <si>
    <t>通用航空ETF永赢</t>
  </si>
  <si>
    <t>159379</t>
  </si>
  <si>
    <t>A500ETF融通</t>
  </si>
  <si>
    <t>159380</t>
  </si>
  <si>
    <t>A500ETF东财</t>
  </si>
  <si>
    <t>159381</t>
  </si>
  <si>
    <t>创业板人工智能ETF华夏</t>
  </si>
  <si>
    <t>159382</t>
  </si>
  <si>
    <t>创业板人工智能ETF南方</t>
  </si>
  <si>
    <t>159383</t>
  </si>
  <si>
    <t>创业板50ETF华泰柏瑞</t>
  </si>
  <si>
    <t>159385</t>
  </si>
  <si>
    <t>数字经济ETF富国</t>
  </si>
  <si>
    <t>159386</t>
  </si>
  <si>
    <t>A500ETF永赢</t>
  </si>
  <si>
    <t>159387</t>
  </si>
  <si>
    <t>创业板新能源ETF国泰</t>
  </si>
  <si>
    <t>159388</t>
  </si>
  <si>
    <t>创业板人工智能ETF国泰</t>
  </si>
  <si>
    <t>159389</t>
  </si>
  <si>
    <t>数字经济ETF嘉实</t>
  </si>
  <si>
    <t>159390</t>
  </si>
  <si>
    <t>中证A50ETF国联</t>
  </si>
  <si>
    <t>159391</t>
  </si>
  <si>
    <t>大盘价值ETF博时</t>
  </si>
  <si>
    <t>159392</t>
  </si>
  <si>
    <t>航空ETF富国</t>
  </si>
  <si>
    <t>159393</t>
  </si>
  <si>
    <t>沪深300ETF万家</t>
  </si>
  <si>
    <t>159395</t>
  </si>
  <si>
    <t>信用债ETF大成</t>
  </si>
  <si>
    <t>159396</t>
  </si>
  <si>
    <t>信用债ETF博时</t>
  </si>
  <si>
    <t>159397</t>
  </si>
  <si>
    <t>信用债ETF广发</t>
  </si>
  <si>
    <t>159398</t>
  </si>
  <si>
    <t>信用债ETF天弘</t>
  </si>
  <si>
    <t>159399</t>
  </si>
  <si>
    <t>现金流ETF国泰</t>
  </si>
  <si>
    <t>159400</t>
  </si>
  <si>
    <t>科创债ETF景顺</t>
  </si>
  <si>
    <t>159500</t>
  </si>
  <si>
    <t>中证500ETF富国</t>
  </si>
  <si>
    <t>159501</t>
  </si>
  <si>
    <t>纳指ETF嘉实</t>
  </si>
  <si>
    <t>159502</t>
  </si>
  <si>
    <t>标普生物科技ETF嘉实</t>
  </si>
  <si>
    <t>159505</t>
  </si>
  <si>
    <t>国证2000ETF博时</t>
  </si>
  <si>
    <t>159506</t>
  </si>
  <si>
    <t>港股通创新药医疗ETF富国</t>
  </si>
  <si>
    <t>159507</t>
  </si>
  <si>
    <t>通信ETF广发</t>
  </si>
  <si>
    <t>159508</t>
  </si>
  <si>
    <t>生物医药ETF华安</t>
  </si>
  <si>
    <t>159509</t>
  </si>
  <si>
    <t>纳指科技ETF景顺</t>
  </si>
  <si>
    <t>159510</t>
  </si>
  <si>
    <t>沪深300价值ETF华夏</t>
  </si>
  <si>
    <t>159511</t>
  </si>
  <si>
    <t>通信ETF南方</t>
  </si>
  <si>
    <t>159512</t>
  </si>
  <si>
    <t>汽车ETF广发</t>
  </si>
  <si>
    <t>159513</t>
  </si>
  <si>
    <t>纳斯达克100ETF大成</t>
  </si>
  <si>
    <t>159515</t>
  </si>
  <si>
    <t>国企红利ETF鹏扬</t>
  </si>
  <si>
    <t>159516</t>
  </si>
  <si>
    <t>半导体设备ETF国泰</t>
  </si>
  <si>
    <t>159517</t>
  </si>
  <si>
    <t>中证800增强ETF银华</t>
  </si>
  <si>
    <t>159518</t>
  </si>
  <si>
    <t>标普油气ETF嘉实</t>
  </si>
  <si>
    <t>159519</t>
  </si>
  <si>
    <t>港股国企ETF国泰</t>
  </si>
  <si>
    <t>159520</t>
  </si>
  <si>
    <t>消费龙头ETF工银</t>
  </si>
  <si>
    <t>159521</t>
  </si>
  <si>
    <t>国证2000ETF平安</t>
  </si>
  <si>
    <t>159523</t>
  </si>
  <si>
    <t>沪深300成长ETF华夏</t>
  </si>
  <si>
    <t>159525</t>
  </si>
  <si>
    <t>红利低波ETF富国</t>
  </si>
  <si>
    <t>159526</t>
  </si>
  <si>
    <t>机器人ETF嘉实</t>
  </si>
  <si>
    <t>159527</t>
  </si>
  <si>
    <t>云计算ETF广发</t>
  </si>
  <si>
    <t>159528</t>
  </si>
  <si>
    <t>国企改革ETF富国</t>
  </si>
  <si>
    <t>159529</t>
  </si>
  <si>
    <t>标普消费ETF景顺</t>
  </si>
  <si>
    <t>159530</t>
  </si>
  <si>
    <t>机器人ETF易方达</t>
  </si>
  <si>
    <t>159531</t>
  </si>
  <si>
    <t>中证2000ETF南方</t>
  </si>
  <si>
    <t>159532</t>
  </si>
  <si>
    <t>中证2000ETF易方达</t>
  </si>
  <si>
    <t>159533</t>
  </si>
  <si>
    <t>中证2000ETF博时</t>
  </si>
  <si>
    <t>159535</t>
  </si>
  <si>
    <t>中证2000ETF嘉实</t>
  </si>
  <si>
    <t>159536</t>
  </si>
  <si>
    <t>中证2000ETF汇添富</t>
  </si>
  <si>
    <t>159537</t>
  </si>
  <si>
    <t>信创ETF国泰</t>
  </si>
  <si>
    <t>159538</t>
  </si>
  <si>
    <t>信创ETF富国</t>
  </si>
  <si>
    <t>159539</t>
  </si>
  <si>
    <t>信创ETF广发</t>
  </si>
  <si>
    <t>159540</t>
  </si>
  <si>
    <t>信创ETF易方达</t>
  </si>
  <si>
    <t>159541</t>
  </si>
  <si>
    <t>创业板综ETF万家</t>
  </si>
  <si>
    <t>159542</t>
  </si>
  <si>
    <t>工程机械ETF大成</t>
  </si>
  <si>
    <t>159543</t>
  </si>
  <si>
    <t>国证2000ETF工银</t>
  </si>
  <si>
    <t>159545</t>
  </si>
  <si>
    <t>恒生红利低波ETF易方达</t>
  </si>
  <si>
    <t>159546</t>
  </si>
  <si>
    <t>集成电路ETF国泰</t>
  </si>
  <si>
    <t>159547</t>
  </si>
  <si>
    <t>红利低波ETF华夏</t>
  </si>
  <si>
    <t>159549</t>
  </si>
  <si>
    <t>红利低波ETF天弘</t>
  </si>
  <si>
    <t>159550</t>
  </si>
  <si>
    <t>互联网ETF东财</t>
  </si>
  <si>
    <t>159551</t>
  </si>
  <si>
    <t>机器人ETF国泰</t>
  </si>
  <si>
    <t>159552</t>
  </si>
  <si>
    <t>中证2000增强ETF招商</t>
  </si>
  <si>
    <t>159553</t>
  </si>
  <si>
    <t>中证2000增强ETF海富通</t>
  </si>
  <si>
    <t>159555</t>
  </si>
  <si>
    <t>中证2000增强ETF银华</t>
  </si>
  <si>
    <t>159556</t>
  </si>
  <si>
    <t>中证2000增强ETF平安</t>
  </si>
  <si>
    <t>159557</t>
  </si>
  <si>
    <t>恒生医疗ETF嘉实</t>
  </si>
  <si>
    <t>159558</t>
  </si>
  <si>
    <t>半导体设备ETF易方达</t>
  </si>
  <si>
    <t>159559</t>
  </si>
  <si>
    <t>机器人ETF景顺</t>
  </si>
  <si>
    <t>159560</t>
  </si>
  <si>
    <t>芯片ETF景顺</t>
  </si>
  <si>
    <t>159561</t>
  </si>
  <si>
    <t>德国ETF嘉实</t>
  </si>
  <si>
    <t>159562</t>
  </si>
  <si>
    <t>黄金股ETF华夏</t>
  </si>
  <si>
    <t>159563</t>
  </si>
  <si>
    <t>创业板综ETF华夏</t>
  </si>
  <si>
    <t>159565</t>
  </si>
  <si>
    <t>汽车零部件ETF易方达</t>
  </si>
  <si>
    <t>159566</t>
  </si>
  <si>
    <t>储能电池ETF易方达</t>
  </si>
  <si>
    <t>159567</t>
  </si>
  <si>
    <t>港股创新药ETF银华</t>
  </si>
  <si>
    <t>159568</t>
  </si>
  <si>
    <t>港股互联网ETF博时</t>
  </si>
  <si>
    <t>159569</t>
  </si>
  <si>
    <t>港股红利低波ETF景顺</t>
  </si>
  <si>
    <t>159570</t>
  </si>
  <si>
    <t>港股通创新药ETF汇添富</t>
  </si>
  <si>
    <t>159571</t>
  </si>
  <si>
    <t>创业板200ETF富国</t>
  </si>
  <si>
    <t>159572</t>
  </si>
  <si>
    <t>创业板200ETF易方达</t>
  </si>
  <si>
    <t>159573</t>
  </si>
  <si>
    <t>创业板200ETF华夏</t>
  </si>
  <si>
    <t>159575</t>
  </si>
  <si>
    <t>创业板200ETF银华</t>
  </si>
  <si>
    <t>159576</t>
  </si>
  <si>
    <t>深证100ETF广发</t>
  </si>
  <si>
    <t>159577</t>
  </si>
  <si>
    <t>美国50ETF汇添富</t>
  </si>
  <si>
    <t>159578</t>
  </si>
  <si>
    <t>深证主板50ETF南方</t>
  </si>
  <si>
    <t>159581</t>
  </si>
  <si>
    <t>红利ETF万家</t>
  </si>
  <si>
    <t>159582</t>
  </si>
  <si>
    <t>半导体ETF博时</t>
  </si>
  <si>
    <t>159583</t>
  </si>
  <si>
    <t>通信ETF富国</t>
  </si>
  <si>
    <t>159586</t>
  </si>
  <si>
    <t>计算机ETF南方</t>
  </si>
  <si>
    <t>159587</t>
  </si>
  <si>
    <t>粮食ETF广发</t>
  </si>
  <si>
    <t>159588</t>
  </si>
  <si>
    <t>石油ETF景顺</t>
  </si>
  <si>
    <t>159589</t>
  </si>
  <si>
    <t>红利ETF广发</t>
  </si>
  <si>
    <t>159590</t>
  </si>
  <si>
    <t>软件ETF汇添富</t>
  </si>
  <si>
    <t>159591</t>
  </si>
  <si>
    <t>A50ETF富国</t>
  </si>
  <si>
    <t>159592</t>
  </si>
  <si>
    <t>A50ETF银华</t>
  </si>
  <si>
    <t>159593</t>
  </si>
  <si>
    <t>中证A50ETF平安</t>
  </si>
  <si>
    <t>159595</t>
  </si>
  <si>
    <t>中证A50ETF大成</t>
  </si>
  <si>
    <t>159596</t>
  </si>
  <si>
    <t>A50ETF华宝</t>
  </si>
  <si>
    <t>159597</t>
  </si>
  <si>
    <t>创业板成长ETF易方达</t>
  </si>
  <si>
    <t>159599</t>
  </si>
  <si>
    <t>芯片ETF东财</t>
  </si>
  <si>
    <t>159600</t>
  </si>
  <si>
    <t>科创债ETF嘉实</t>
  </si>
  <si>
    <t>159601</t>
  </si>
  <si>
    <t>A50ETF华夏</t>
  </si>
  <si>
    <t>159602</t>
  </si>
  <si>
    <t>中国A50ETF南方</t>
  </si>
  <si>
    <t>159603</t>
  </si>
  <si>
    <t>科创创业ETF天弘</t>
  </si>
  <si>
    <t>159605</t>
  </si>
  <si>
    <t>中概互联ETF广发</t>
  </si>
  <si>
    <t>159606</t>
  </si>
  <si>
    <t>中证500成长ETF易方达</t>
  </si>
  <si>
    <t>159607</t>
  </si>
  <si>
    <t>中概互联网ETF嘉实</t>
  </si>
  <si>
    <t>159608</t>
  </si>
  <si>
    <t>稀有金属ETF广发</t>
  </si>
  <si>
    <t>159609</t>
  </si>
  <si>
    <t>光伏ETF浦银</t>
  </si>
  <si>
    <t>159610</t>
  </si>
  <si>
    <t>中证500增强ETF景顺</t>
  </si>
  <si>
    <t>159611</t>
  </si>
  <si>
    <t>电力ETF广发</t>
  </si>
  <si>
    <t>159612</t>
  </si>
  <si>
    <t>标普500ETF国泰</t>
  </si>
  <si>
    <t>159613</t>
  </si>
  <si>
    <t>信息安全ETF嘉实</t>
  </si>
  <si>
    <t>159615</t>
  </si>
  <si>
    <t>恒生生物科技ETF南方</t>
  </si>
  <si>
    <t>159616</t>
  </si>
  <si>
    <t>农牧ETF建信</t>
  </si>
  <si>
    <t>159617</t>
  </si>
  <si>
    <t>中证500价值ETF华夏</t>
  </si>
  <si>
    <t>159618</t>
  </si>
  <si>
    <t>光伏ETF华安</t>
  </si>
  <si>
    <t>159619</t>
  </si>
  <si>
    <t>基建ETF国泰</t>
  </si>
  <si>
    <t>159620</t>
  </si>
  <si>
    <t>中证500成长ETF华夏</t>
  </si>
  <si>
    <t>159621</t>
  </si>
  <si>
    <t>ESGETF国泰</t>
  </si>
  <si>
    <t>159622</t>
  </si>
  <si>
    <t>创新药ETF东财</t>
  </si>
  <si>
    <t>159623</t>
  </si>
  <si>
    <t>成渝经济圈ETF博时</t>
  </si>
  <si>
    <t>159625</t>
  </si>
  <si>
    <t>绿色电力ETF嘉实</t>
  </si>
  <si>
    <t>159627</t>
  </si>
  <si>
    <t>A100ETF华夏</t>
  </si>
  <si>
    <t>159628</t>
  </si>
  <si>
    <t>国证2000ETF万家</t>
  </si>
  <si>
    <t>159629</t>
  </si>
  <si>
    <t>中证1000ETF富国</t>
  </si>
  <si>
    <t>159630</t>
  </si>
  <si>
    <t>A100ETF汇添富</t>
  </si>
  <si>
    <t>159631</t>
  </si>
  <si>
    <t>A100ETF招商</t>
  </si>
  <si>
    <t>159632</t>
  </si>
  <si>
    <t>纳斯达克ETF华安</t>
  </si>
  <si>
    <t>159633</t>
  </si>
  <si>
    <t>中证1000ETF易方达</t>
  </si>
  <si>
    <t>159635</t>
  </si>
  <si>
    <t>基建ETF华夏</t>
  </si>
  <si>
    <t>159636</t>
  </si>
  <si>
    <t>港股通科技30ETF工银</t>
  </si>
  <si>
    <t>159637</t>
  </si>
  <si>
    <t>新能源车ETF东财</t>
  </si>
  <si>
    <t>159638</t>
  </si>
  <si>
    <t>高端装备ETF嘉实</t>
  </si>
  <si>
    <t>159639</t>
  </si>
  <si>
    <t>碳中和ETF南方</t>
  </si>
  <si>
    <t>159640</t>
  </si>
  <si>
    <t>碳中和龙头ETF工银</t>
  </si>
  <si>
    <t>159641</t>
  </si>
  <si>
    <t>碳中和ETF招商</t>
  </si>
  <si>
    <t>159642</t>
  </si>
  <si>
    <t>碳中和ETF大成</t>
  </si>
  <si>
    <t>159643</t>
  </si>
  <si>
    <t>疫苗ETF国泰</t>
  </si>
  <si>
    <t>159645</t>
  </si>
  <si>
    <t>疫苗ETF富国</t>
  </si>
  <si>
    <t>159647</t>
  </si>
  <si>
    <t>中药ETF鹏华</t>
  </si>
  <si>
    <t>159649</t>
  </si>
  <si>
    <t>国开债ETF华安</t>
  </si>
  <si>
    <t>159650</t>
  </si>
  <si>
    <t>国开债ETF博时</t>
  </si>
  <si>
    <t>159651</t>
  </si>
  <si>
    <t>国开债ETF平安</t>
  </si>
  <si>
    <t>159652</t>
  </si>
  <si>
    <t>有色ETF汇添富</t>
  </si>
  <si>
    <t>159653</t>
  </si>
  <si>
    <t>ESG300ETF国联安</t>
  </si>
  <si>
    <t>159655</t>
  </si>
  <si>
    <t>标普500ETF华夏</t>
  </si>
  <si>
    <t>159656</t>
  </si>
  <si>
    <t>沪深300成长ETF万家</t>
  </si>
  <si>
    <t>159657</t>
  </si>
  <si>
    <t>疫苗ETF鹏华</t>
  </si>
  <si>
    <t>159658</t>
  </si>
  <si>
    <t>数字经济ETF华安</t>
  </si>
  <si>
    <t>159659</t>
  </si>
  <si>
    <t>纳斯达克100ETF招商</t>
  </si>
  <si>
    <t>159660</t>
  </si>
  <si>
    <t>纳指ETF汇添富</t>
  </si>
  <si>
    <t>159661</t>
  </si>
  <si>
    <t>A100ETF嘉实</t>
  </si>
  <si>
    <t>159662</t>
  </si>
  <si>
    <t>交运ETF南方</t>
  </si>
  <si>
    <t>159663</t>
  </si>
  <si>
    <t>机床ETF华夏</t>
  </si>
  <si>
    <t>159665</t>
  </si>
  <si>
    <t>半导体龙头ETF工银</t>
  </si>
  <si>
    <t>159666</t>
  </si>
  <si>
    <t>交通运输ETF华夏</t>
  </si>
  <si>
    <t>159667</t>
  </si>
  <si>
    <t>工业母机ETF国泰</t>
  </si>
  <si>
    <t>159669</t>
  </si>
  <si>
    <t>绿色电力ETF国泰</t>
  </si>
  <si>
    <t>159670</t>
  </si>
  <si>
    <t>消费50ETF国联安</t>
  </si>
  <si>
    <t>159671</t>
  </si>
  <si>
    <t>稀有金属ETF工银</t>
  </si>
  <si>
    <t>159672</t>
  </si>
  <si>
    <t>消费ETF博时</t>
  </si>
  <si>
    <t>159673</t>
  </si>
  <si>
    <t>沪深300ETF鹏华</t>
  </si>
  <si>
    <t>159675</t>
  </si>
  <si>
    <t>创业板增强ETF嘉实</t>
  </si>
  <si>
    <t>159676</t>
  </si>
  <si>
    <t>创业板增强ETF富国</t>
  </si>
  <si>
    <t>159677</t>
  </si>
  <si>
    <t>中证1000增强ETF银华</t>
  </si>
  <si>
    <t>159678</t>
  </si>
  <si>
    <t>500增强ETF博时</t>
  </si>
  <si>
    <t>159679</t>
  </si>
  <si>
    <t>中证1000增强ETF国泰</t>
  </si>
  <si>
    <t>159680</t>
  </si>
  <si>
    <t>中证1000增强ETF招商</t>
  </si>
  <si>
    <t>159681</t>
  </si>
  <si>
    <t>创业板50ETF鹏华</t>
  </si>
  <si>
    <t>159682</t>
  </si>
  <si>
    <t>创业板50ETF景顺</t>
  </si>
  <si>
    <t>159685</t>
  </si>
  <si>
    <t>1000增强ETF天弘</t>
  </si>
  <si>
    <t>159686</t>
  </si>
  <si>
    <t>A100ETF易方达</t>
  </si>
  <si>
    <t>159687</t>
  </si>
  <si>
    <t>亚太精选ETF南方</t>
  </si>
  <si>
    <t>159688</t>
  </si>
  <si>
    <t>恒生互联网ETF华安</t>
  </si>
  <si>
    <t>159689</t>
  </si>
  <si>
    <t>消费ETF南方</t>
  </si>
  <si>
    <t>159690</t>
  </si>
  <si>
    <t>有色矿业ETF招商</t>
  </si>
  <si>
    <t>159691</t>
  </si>
  <si>
    <t>港股红利ETF工银</t>
  </si>
  <si>
    <t>159692</t>
  </si>
  <si>
    <t>证券ETF东财</t>
  </si>
  <si>
    <t>159695</t>
  </si>
  <si>
    <t>通信ETF嘉实</t>
  </si>
  <si>
    <t>159696</t>
  </si>
  <si>
    <t>纳指ETF易方达</t>
  </si>
  <si>
    <t>159697</t>
  </si>
  <si>
    <t>石油ETF鹏华</t>
  </si>
  <si>
    <t>159698</t>
  </si>
  <si>
    <t>粮食ETF鹏华</t>
  </si>
  <si>
    <t>159699</t>
  </si>
  <si>
    <t>恒生消费ETF广发</t>
  </si>
  <si>
    <t>159700</t>
  </si>
  <si>
    <t>科创债ETF南方</t>
  </si>
  <si>
    <t>159701</t>
  </si>
  <si>
    <t>物联网ETF招商</t>
  </si>
  <si>
    <t>159703</t>
  </si>
  <si>
    <t>新材料ETF天弘</t>
  </si>
  <si>
    <t>159706</t>
  </si>
  <si>
    <t>深证100ETF华安</t>
  </si>
  <si>
    <t>159707</t>
  </si>
  <si>
    <t>地产ETF华宝</t>
  </si>
  <si>
    <t>159708</t>
  </si>
  <si>
    <t>红利ETF西部利得</t>
  </si>
  <si>
    <t>159709</t>
  </si>
  <si>
    <t>物联网ETF工银</t>
  </si>
  <si>
    <t>159711</t>
  </si>
  <si>
    <t>港股通50ETF华夏</t>
  </si>
  <si>
    <t>159712</t>
  </si>
  <si>
    <t>港股通50ETF国泰</t>
  </si>
  <si>
    <t>159713</t>
  </si>
  <si>
    <t>稀土ETF富国</t>
  </si>
  <si>
    <t>159715</t>
  </si>
  <si>
    <t>稀土ETF易方达</t>
  </si>
  <si>
    <t>159716</t>
  </si>
  <si>
    <t>深证100ETF华宝</t>
  </si>
  <si>
    <t>159717</t>
  </si>
  <si>
    <t>ESGETF鹏华</t>
  </si>
  <si>
    <t>159718</t>
  </si>
  <si>
    <t>港股医药ETF平安</t>
  </si>
  <si>
    <t>159719</t>
  </si>
  <si>
    <t>国企ETF平安</t>
  </si>
  <si>
    <t>159720</t>
  </si>
  <si>
    <t>智能车ETF泰康</t>
  </si>
  <si>
    <t>159721</t>
  </si>
  <si>
    <t>深证100ETF永赢</t>
  </si>
  <si>
    <t>159723</t>
  </si>
  <si>
    <t>科技龙头ETF汇添富</t>
  </si>
  <si>
    <t>159725</t>
  </si>
  <si>
    <t>线上消费ETF工银</t>
  </si>
  <si>
    <t>159726</t>
  </si>
  <si>
    <t>港股通高股息ETF华夏</t>
  </si>
  <si>
    <t>159728</t>
  </si>
  <si>
    <t>在线消费ETF南方</t>
  </si>
  <si>
    <t>159729</t>
  </si>
  <si>
    <t>互联网ETF汇添富</t>
  </si>
  <si>
    <t>159730</t>
  </si>
  <si>
    <t>家电ETF博时</t>
  </si>
  <si>
    <t>159731</t>
  </si>
  <si>
    <t>石化ETF华夏</t>
  </si>
  <si>
    <t>159732</t>
  </si>
  <si>
    <t>消费电子ETF华夏</t>
  </si>
  <si>
    <t>159735</t>
  </si>
  <si>
    <t>港股消费ETF银华</t>
  </si>
  <si>
    <t>159736</t>
  </si>
  <si>
    <t>食品饮料ETF天弘</t>
  </si>
  <si>
    <t>159738</t>
  </si>
  <si>
    <t>云计算ETF华泰柏瑞</t>
  </si>
  <si>
    <t>159739</t>
  </si>
  <si>
    <t>云计算ETF鹏华</t>
  </si>
  <si>
    <t>159740</t>
  </si>
  <si>
    <t>恒生科技ETF大成</t>
  </si>
  <si>
    <t>159741</t>
  </si>
  <si>
    <t>恒生科技ETF嘉实</t>
  </si>
  <si>
    <t>159742</t>
  </si>
  <si>
    <t>恒生科技ETF博时</t>
  </si>
  <si>
    <t>159743</t>
  </si>
  <si>
    <t>湖北ETF博时</t>
  </si>
  <si>
    <t>159745</t>
  </si>
  <si>
    <t>建材ETF国泰</t>
  </si>
  <si>
    <t>159747</t>
  </si>
  <si>
    <t>香港科技ETF南方</t>
  </si>
  <si>
    <t>159748</t>
  </si>
  <si>
    <t>创新药ETF富国</t>
  </si>
  <si>
    <t>159750</t>
  </si>
  <si>
    <t>港股科技50ETF招商</t>
  </si>
  <si>
    <t>159751</t>
  </si>
  <si>
    <t>港股通科技ETF鹏华</t>
  </si>
  <si>
    <t>159752</t>
  </si>
  <si>
    <t>新能源ETF申万菱信</t>
  </si>
  <si>
    <t>159755</t>
  </si>
  <si>
    <t>电池ETF广发</t>
  </si>
  <si>
    <t>159757</t>
  </si>
  <si>
    <t>电池ETF景顺</t>
  </si>
  <si>
    <t>159758</t>
  </si>
  <si>
    <t>红利质量ETF华夏</t>
  </si>
  <si>
    <t>159760</t>
  </si>
  <si>
    <t>医疗健康ETF泰康</t>
  </si>
  <si>
    <t>159761</t>
  </si>
  <si>
    <t>新材料ETF国泰</t>
  </si>
  <si>
    <t>159763</t>
  </si>
  <si>
    <t>新材料ETF建信</t>
  </si>
  <si>
    <t>159766</t>
  </si>
  <si>
    <t>旅游ETF富国</t>
  </si>
  <si>
    <t>159767</t>
  </si>
  <si>
    <t>电池龙头ETF兴银</t>
  </si>
  <si>
    <t>159768</t>
  </si>
  <si>
    <t>房地产ETF银华</t>
  </si>
  <si>
    <t>159770</t>
  </si>
  <si>
    <t>机器人ETF天弘</t>
  </si>
  <si>
    <t>159773</t>
  </si>
  <si>
    <t>创业板科技ETF华泰柏瑞</t>
  </si>
  <si>
    <t>159775</t>
  </si>
  <si>
    <t>电池ETF建信</t>
  </si>
  <si>
    <t>159776</t>
  </si>
  <si>
    <t>港股医药ETF银华</t>
  </si>
  <si>
    <t>159777</t>
  </si>
  <si>
    <t>创科技ETF国联安</t>
  </si>
  <si>
    <t>159778</t>
  </si>
  <si>
    <t>工业互联网ETF鹏华</t>
  </si>
  <si>
    <t>159779</t>
  </si>
  <si>
    <t>消费电子ETF招商</t>
  </si>
  <si>
    <t>159780</t>
  </si>
  <si>
    <t>科创创业50ETF南方</t>
  </si>
  <si>
    <t>159781</t>
  </si>
  <si>
    <t>科创创业ETF易方达</t>
  </si>
  <si>
    <t>159782</t>
  </si>
  <si>
    <t>双创50ETF银华</t>
  </si>
  <si>
    <t>159783</t>
  </si>
  <si>
    <t>科创创业50ETF华夏</t>
  </si>
  <si>
    <t>159786</t>
  </si>
  <si>
    <t>VRETF银华</t>
  </si>
  <si>
    <t>159787</t>
  </si>
  <si>
    <t>建材ETF易方达</t>
  </si>
  <si>
    <t>159788</t>
  </si>
  <si>
    <t>港股通100ETF易方达</t>
  </si>
  <si>
    <t>159790</t>
  </si>
  <si>
    <t>碳中和ETF华夏</t>
  </si>
  <si>
    <t>159791</t>
  </si>
  <si>
    <t>300ESGETF华夏</t>
  </si>
  <si>
    <t>159792</t>
  </si>
  <si>
    <t>港股通互联网ETF富国</t>
  </si>
  <si>
    <t>159793</t>
  </si>
  <si>
    <t>线上消费ETF平安</t>
  </si>
  <si>
    <t>159795</t>
  </si>
  <si>
    <t>智能汽车ETF汇添富</t>
  </si>
  <si>
    <t>159796</t>
  </si>
  <si>
    <t>电池ETF汇添富</t>
  </si>
  <si>
    <t>159797</t>
  </si>
  <si>
    <t>医疗器械ETF汇添富</t>
  </si>
  <si>
    <t>159798</t>
  </si>
  <si>
    <t>消费ETF易方达</t>
  </si>
  <si>
    <t>159800</t>
  </si>
  <si>
    <t>中证800ETF鹏华</t>
  </si>
  <si>
    <t>159801</t>
  </si>
  <si>
    <t>芯片ETF广发</t>
  </si>
  <si>
    <t>159804</t>
  </si>
  <si>
    <t>创中盘88ETF国寿</t>
  </si>
  <si>
    <t>159805</t>
  </si>
  <si>
    <t>传媒ETF鹏华</t>
  </si>
  <si>
    <t>159806</t>
  </si>
  <si>
    <t>新能源车ETF国泰</t>
  </si>
  <si>
    <t>159807</t>
  </si>
  <si>
    <t>科技ETF易方达</t>
  </si>
  <si>
    <t>159808</t>
  </si>
  <si>
    <t>创100ETF融通</t>
  </si>
  <si>
    <t>159810</t>
  </si>
  <si>
    <t>创业板ETF浦银</t>
  </si>
  <si>
    <t>159811</t>
  </si>
  <si>
    <t>5GETF博时</t>
  </si>
  <si>
    <t>159812</t>
  </si>
  <si>
    <t>黄金ETF前海开源</t>
  </si>
  <si>
    <t>159813</t>
  </si>
  <si>
    <t>半导体ETF鹏华</t>
  </si>
  <si>
    <t>159814</t>
  </si>
  <si>
    <t>创业大盘ETF西部利得</t>
  </si>
  <si>
    <t>159816</t>
  </si>
  <si>
    <t>0-4年地方债ETF鹏华</t>
  </si>
  <si>
    <t>159819</t>
  </si>
  <si>
    <t>人工智能ETF易方达</t>
  </si>
  <si>
    <t>159820</t>
  </si>
  <si>
    <t>中证500ETF天弘</t>
  </si>
  <si>
    <t>159821</t>
  </si>
  <si>
    <t>创业板ETF中银证券</t>
  </si>
  <si>
    <t>159822</t>
  </si>
  <si>
    <t>新经济ETF银华</t>
  </si>
  <si>
    <t>159824</t>
  </si>
  <si>
    <t>新能源车ETF博时</t>
  </si>
  <si>
    <t>159825</t>
  </si>
  <si>
    <t>农业ETF富国</t>
  </si>
  <si>
    <t>159827</t>
  </si>
  <si>
    <t>农业ETF银华</t>
  </si>
  <si>
    <t>159828</t>
  </si>
  <si>
    <t>医疗ETF国泰</t>
  </si>
  <si>
    <t>159830</t>
  </si>
  <si>
    <t>金ETF天弘</t>
  </si>
  <si>
    <t>159831</t>
  </si>
  <si>
    <t>金ETF嘉实</t>
  </si>
  <si>
    <t>159834</t>
  </si>
  <si>
    <t>金ETF南方</t>
  </si>
  <si>
    <t>159835</t>
  </si>
  <si>
    <t>创新药ETF建信</t>
  </si>
  <si>
    <t>159836</t>
  </si>
  <si>
    <t>创业板300ETF天弘</t>
  </si>
  <si>
    <t>159837</t>
  </si>
  <si>
    <t>生物科技ETF易方达</t>
  </si>
  <si>
    <t>159838</t>
  </si>
  <si>
    <t>医药50ETF博时</t>
  </si>
  <si>
    <t>159839</t>
  </si>
  <si>
    <t>生物医药ETF汇添富</t>
  </si>
  <si>
    <t>159840</t>
  </si>
  <si>
    <t>锂电池ETF工银</t>
  </si>
  <si>
    <t>159841</t>
  </si>
  <si>
    <t>证券ETF天弘</t>
  </si>
  <si>
    <t>159842</t>
  </si>
  <si>
    <t>券商ETF银华</t>
  </si>
  <si>
    <t>159843</t>
  </si>
  <si>
    <t>食品饮料ETF招商</t>
  </si>
  <si>
    <t>159845</t>
  </si>
  <si>
    <t>中证1000ETF华夏</t>
  </si>
  <si>
    <t>159847</t>
  </si>
  <si>
    <t>医疗ETF易方达</t>
  </si>
  <si>
    <t>159848</t>
  </si>
  <si>
    <t>证券ETF国联安</t>
  </si>
  <si>
    <t>159849</t>
  </si>
  <si>
    <t>生物科技ETF招商</t>
  </si>
  <si>
    <t>159850</t>
  </si>
  <si>
    <t>恒生国企ETF华夏</t>
  </si>
  <si>
    <t>159851</t>
  </si>
  <si>
    <t>金融科技ETF华宝</t>
  </si>
  <si>
    <t>159852</t>
  </si>
  <si>
    <t>软件ETF嘉实</t>
  </si>
  <si>
    <t>159855</t>
  </si>
  <si>
    <t>影视ETF银华</t>
  </si>
  <si>
    <t>159856</t>
  </si>
  <si>
    <t>互联网龙头ETF工银</t>
  </si>
  <si>
    <t>159857</t>
  </si>
  <si>
    <t>光伏ETF天弘</t>
  </si>
  <si>
    <t>159858</t>
  </si>
  <si>
    <t>创新药ETF南方</t>
  </si>
  <si>
    <t>159859</t>
  </si>
  <si>
    <t>生物医药ETF天弘</t>
  </si>
  <si>
    <t>159861</t>
  </si>
  <si>
    <t>碳中和50ETF国泰</t>
  </si>
  <si>
    <t>159862</t>
  </si>
  <si>
    <t>食品饮料ETF银华</t>
  </si>
  <si>
    <t>159863</t>
  </si>
  <si>
    <t>光伏ETF鹏华</t>
  </si>
  <si>
    <t>159864</t>
  </si>
  <si>
    <t>光伏ETF国泰</t>
  </si>
  <si>
    <t>159865</t>
  </si>
  <si>
    <t>养殖ETF国泰</t>
  </si>
  <si>
    <t>159866</t>
  </si>
  <si>
    <t>日经ETF工银</t>
  </si>
  <si>
    <t>159867</t>
  </si>
  <si>
    <t>养殖ETF鹏华</t>
  </si>
  <si>
    <t>159869</t>
  </si>
  <si>
    <t>游戏ETF华夏</t>
  </si>
  <si>
    <t>159870</t>
  </si>
  <si>
    <t>化工ETF鹏华</t>
  </si>
  <si>
    <t>159871</t>
  </si>
  <si>
    <t>有色ETF银华</t>
  </si>
  <si>
    <t>159872</t>
  </si>
  <si>
    <t>智能网联汽车ETF鹏华</t>
  </si>
  <si>
    <t>159873</t>
  </si>
  <si>
    <t>医疗设备ETF天弘</t>
  </si>
  <si>
    <t>159875</t>
  </si>
  <si>
    <t>新能源ETF嘉实</t>
  </si>
  <si>
    <t>159876</t>
  </si>
  <si>
    <t>有色ETF华宝</t>
  </si>
  <si>
    <t>159877</t>
  </si>
  <si>
    <t>医疗ETF南方</t>
  </si>
  <si>
    <t>159880</t>
  </si>
  <si>
    <t>有色ETF鹏华</t>
  </si>
  <si>
    <t>159881</t>
  </si>
  <si>
    <t>有色金属ETF国泰</t>
  </si>
  <si>
    <t>159883</t>
  </si>
  <si>
    <t>医疗器械ETF永赢</t>
  </si>
  <si>
    <t>159885</t>
  </si>
  <si>
    <t>碳中和ETF鹏华</t>
  </si>
  <si>
    <t>159886</t>
  </si>
  <si>
    <t>机械ETF富国</t>
  </si>
  <si>
    <t>159887</t>
  </si>
  <si>
    <t>银行ETF富国</t>
  </si>
  <si>
    <t>159888</t>
  </si>
  <si>
    <t>智能汽车ETF华夏</t>
  </si>
  <si>
    <t>159889</t>
  </si>
  <si>
    <t>智能汽车ETF国泰</t>
  </si>
  <si>
    <t>159890</t>
  </si>
  <si>
    <t>云计算ETF招商</t>
  </si>
  <si>
    <t>159891</t>
  </si>
  <si>
    <t>医疗ETF建信</t>
  </si>
  <si>
    <t>159892</t>
  </si>
  <si>
    <t>恒生医药ETF华夏</t>
  </si>
  <si>
    <t>159895</t>
  </si>
  <si>
    <t>物联网ETF易方达</t>
  </si>
  <si>
    <t>159896</t>
  </si>
  <si>
    <t>物联网ETF南方</t>
  </si>
  <si>
    <t>159898</t>
  </si>
  <si>
    <t>医疗器械ETF招商</t>
  </si>
  <si>
    <t>159899</t>
  </si>
  <si>
    <t>软件ETF招商</t>
  </si>
  <si>
    <t>159901</t>
  </si>
  <si>
    <t>深证100ETF易方达</t>
  </si>
  <si>
    <t>159902</t>
  </si>
  <si>
    <t>中小100ETF华夏</t>
  </si>
  <si>
    <t>159903</t>
  </si>
  <si>
    <t>深成ETF南方</t>
  </si>
  <si>
    <t>159905</t>
  </si>
  <si>
    <t>红利ETF工银</t>
  </si>
  <si>
    <t>159906</t>
  </si>
  <si>
    <t>深成长ETF大成</t>
  </si>
  <si>
    <t>159907</t>
  </si>
  <si>
    <t>国证2000ETF广发</t>
  </si>
  <si>
    <t>159908</t>
  </si>
  <si>
    <t>创业板ETF博时</t>
  </si>
  <si>
    <t>159909</t>
  </si>
  <si>
    <t>TMT50ETF招商</t>
  </si>
  <si>
    <t>159910</t>
  </si>
  <si>
    <t>基本面120ETF嘉实</t>
  </si>
  <si>
    <t>159912</t>
  </si>
  <si>
    <t>深300ETF汇添富</t>
  </si>
  <si>
    <t>159913</t>
  </si>
  <si>
    <t>深价值ETF交银</t>
  </si>
  <si>
    <t>159915</t>
  </si>
  <si>
    <t>创业板ETF易方达</t>
  </si>
  <si>
    <t>159916</t>
  </si>
  <si>
    <t>基本面ETF建信</t>
  </si>
  <si>
    <t>159918</t>
  </si>
  <si>
    <t>中创400ETF嘉实</t>
  </si>
  <si>
    <t>159919</t>
  </si>
  <si>
    <t>沪深300ETF嘉实</t>
  </si>
  <si>
    <t>159920</t>
  </si>
  <si>
    <t>恒生ETF华夏</t>
  </si>
  <si>
    <t>159922</t>
  </si>
  <si>
    <t>中证500ETF嘉实</t>
  </si>
  <si>
    <t>159923</t>
  </si>
  <si>
    <t>中证A100ETF大成</t>
  </si>
  <si>
    <t>159925</t>
  </si>
  <si>
    <t>沪深300ETF南方</t>
  </si>
  <si>
    <t>159928</t>
  </si>
  <si>
    <t>消费ETF汇添富</t>
  </si>
  <si>
    <t>159929</t>
  </si>
  <si>
    <t>医药ETF汇添富</t>
  </si>
  <si>
    <t>159930</t>
  </si>
  <si>
    <t>能源ETF汇添富</t>
  </si>
  <si>
    <t>159931</t>
  </si>
  <si>
    <t>金融地产ETF汇添富</t>
  </si>
  <si>
    <t>159933</t>
  </si>
  <si>
    <t>金融地产ETF国投瑞银</t>
  </si>
  <si>
    <t>159934</t>
  </si>
  <si>
    <t>黄金ETF易方达</t>
  </si>
  <si>
    <t>159935</t>
  </si>
  <si>
    <t>中证500ETF景顺</t>
  </si>
  <si>
    <t>159936</t>
  </si>
  <si>
    <t>可选消费ETF广发</t>
  </si>
  <si>
    <t>159937</t>
  </si>
  <si>
    <t>黄金ETF博时</t>
  </si>
  <si>
    <t>159938</t>
  </si>
  <si>
    <t>医药ETF广发</t>
  </si>
  <si>
    <t>159939</t>
  </si>
  <si>
    <t>信息技术ETF广发</t>
  </si>
  <si>
    <t>159940</t>
  </si>
  <si>
    <t>金融地产ETF广发</t>
  </si>
  <si>
    <t>159941</t>
  </si>
  <si>
    <t>纳指ETF广发</t>
  </si>
  <si>
    <t>159943</t>
  </si>
  <si>
    <t>深证成指ETF大成</t>
  </si>
  <si>
    <t>159944</t>
  </si>
  <si>
    <t>材料ETF广发</t>
  </si>
  <si>
    <t>159945</t>
  </si>
  <si>
    <t>能源ETF广发</t>
  </si>
  <si>
    <t>159948</t>
  </si>
  <si>
    <t>创业板ETF南方</t>
  </si>
  <si>
    <t>159949</t>
  </si>
  <si>
    <t>创业板50ETF华安</t>
  </si>
  <si>
    <t>159952</t>
  </si>
  <si>
    <t>创业板ETF广发</t>
  </si>
  <si>
    <t>159954</t>
  </si>
  <si>
    <t>恒生中国企业ETF南方</t>
  </si>
  <si>
    <t>159956</t>
  </si>
  <si>
    <t>创业板ETF建信</t>
  </si>
  <si>
    <t>159957</t>
  </si>
  <si>
    <t>创业板ETF华夏</t>
  </si>
  <si>
    <t>159958</t>
  </si>
  <si>
    <t>创业板ETF工银</t>
  </si>
  <si>
    <t>159959</t>
  </si>
  <si>
    <t>央企ETF银华</t>
  </si>
  <si>
    <t>159960</t>
  </si>
  <si>
    <t>恒生中国企业ETF平安</t>
  </si>
  <si>
    <t>159961</t>
  </si>
  <si>
    <t>深100ETF方正富邦</t>
  </si>
  <si>
    <t>159964</t>
  </si>
  <si>
    <t>创业板ETF平安</t>
  </si>
  <si>
    <t>159965</t>
  </si>
  <si>
    <t>央视50ETF国联</t>
  </si>
  <si>
    <t>159966</t>
  </si>
  <si>
    <t>创业板价值ETF华夏</t>
  </si>
  <si>
    <t>159967</t>
  </si>
  <si>
    <t>创业板成长ETF华夏</t>
  </si>
  <si>
    <t>159968</t>
  </si>
  <si>
    <t>中证500ETF博时</t>
  </si>
  <si>
    <t>159970</t>
  </si>
  <si>
    <t>深100ETF工银</t>
  </si>
  <si>
    <t>159971</t>
  </si>
  <si>
    <t>创业板ETF富国</t>
  </si>
  <si>
    <t>159972</t>
  </si>
  <si>
    <t>5年地方债ETF鹏华</t>
  </si>
  <si>
    <t>159973</t>
  </si>
  <si>
    <t>民企ETF弘毅远方</t>
  </si>
  <si>
    <t>159974</t>
  </si>
  <si>
    <t>央企创新ETF富国</t>
  </si>
  <si>
    <t>159975</t>
  </si>
  <si>
    <t>深100ETF招商</t>
  </si>
  <si>
    <t>159976</t>
  </si>
  <si>
    <t>湾创ETF工银</t>
  </si>
  <si>
    <t>159977</t>
  </si>
  <si>
    <t>创业板ETF天弘</t>
  </si>
  <si>
    <t>159980</t>
  </si>
  <si>
    <t>有色ETF大成</t>
  </si>
  <si>
    <t>159981</t>
  </si>
  <si>
    <t>能源化工ETF建信</t>
  </si>
  <si>
    <t>159982</t>
  </si>
  <si>
    <t>中证500ETF鹏华</t>
  </si>
  <si>
    <t>159985</t>
  </si>
  <si>
    <t>豆粕ETF华夏</t>
  </si>
  <si>
    <t>159991</t>
  </si>
  <si>
    <t>创业板大盘ETF招商</t>
  </si>
  <si>
    <t>159992</t>
  </si>
  <si>
    <t>创新药ETF银华</t>
  </si>
  <si>
    <t>159993</t>
  </si>
  <si>
    <t>证券ETF鹏华</t>
  </si>
  <si>
    <t>159994</t>
  </si>
  <si>
    <t>通信ETF银华</t>
  </si>
  <si>
    <t>159995</t>
  </si>
  <si>
    <t>芯片ETF华夏</t>
  </si>
  <si>
    <t>159996</t>
  </si>
  <si>
    <t>家电ETF国泰</t>
  </si>
  <si>
    <t>159997</t>
  </si>
  <si>
    <t>电子ETF天弘</t>
  </si>
  <si>
    <t>159998</t>
  </si>
  <si>
    <t>计算机ETF天弘</t>
  </si>
  <si>
    <t>160105</t>
  </si>
  <si>
    <t>南方积配LOF</t>
  </si>
  <si>
    <t>160106</t>
  </si>
  <si>
    <t>南方高增LOF</t>
  </si>
  <si>
    <t>160119</t>
  </si>
  <si>
    <t>500ETF联接LOF</t>
  </si>
  <si>
    <t>160125</t>
  </si>
  <si>
    <t>南方香港LOF</t>
  </si>
  <si>
    <t>160127</t>
  </si>
  <si>
    <t>南方消费LOF</t>
  </si>
  <si>
    <t>160128</t>
  </si>
  <si>
    <t>南方金利定开</t>
  </si>
  <si>
    <t>160133</t>
  </si>
  <si>
    <t>南方天元LOF</t>
  </si>
  <si>
    <t>160135</t>
  </si>
  <si>
    <t>高铁基金LOF</t>
  </si>
  <si>
    <t>160140</t>
  </si>
  <si>
    <t>美国REIT精选LOF</t>
  </si>
  <si>
    <t>160142</t>
  </si>
  <si>
    <t>南方优势产业LOF</t>
  </si>
  <si>
    <t>160143</t>
  </si>
  <si>
    <t>创业板定开南方</t>
  </si>
  <si>
    <t>160211</t>
  </si>
  <si>
    <t>国泰小盘LOF</t>
  </si>
  <si>
    <t>160212</t>
  </si>
  <si>
    <t>国泰估值LOF</t>
  </si>
  <si>
    <t>160215</t>
  </si>
  <si>
    <t>国泰价值LOF</t>
  </si>
  <si>
    <t>160216</t>
  </si>
  <si>
    <t>国泰商品LOF</t>
  </si>
  <si>
    <t>160218</t>
  </si>
  <si>
    <t>房地产LOF</t>
  </si>
  <si>
    <t>160219</t>
  </si>
  <si>
    <t>医药LOF</t>
  </si>
  <si>
    <t>160220</t>
  </si>
  <si>
    <t>国泰民益LOF</t>
  </si>
  <si>
    <t>160221</t>
  </si>
  <si>
    <t>有色金属LOF</t>
  </si>
  <si>
    <t>160222</t>
  </si>
  <si>
    <t>食品LOF</t>
  </si>
  <si>
    <t>160223</t>
  </si>
  <si>
    <t>创业板LOF</t>
  </si>
  <si>
    <t>160225</t>
  </si>
  <si>
    <t>新能源汽车LOF</t>
  </si>
  <si>
    <t>160311</t>
  </si>
  <si>
    <t>华夏蓝筹LOF</t>
  </si>
  <si>
    <t>160314</t>
  </si>
  <si>
    <t>华夏行业LOF</t>
  </si>
  <si>
    <t>160322</t>
  </si>
  <si>
    <t>港股精选LOF</t>
  </si>
  <si>
    <t>160323</t>
  </si>
  <si>
    <t>华夏磐泰LOF</t>
  </si>
  <si>
    <t>160324</t>
  </si>
  <si>
    <t>华夏磐晟LOF</t>
  </si>
  <si>
    <t>160325</t>
  </si>
  <si>
    <t>华夏创业板定开</t>
  </si>
  <si>
    <t>160326</t>
  </si>
  <si>
    <t>优选配置FOF-LOF</t>
  </si>
  <si>
    <t>160416</t>
  </si>
  <si>
    <t>石油基金LOF</t>
  </si>
  <si>
    <t>160421</t>
  </si>
  <si>
    <t>华安智增LOF</t>
  </si>
  <si>
    <t>160505</t>
  </si>
  <si>
    <t>博时主题LOF</t>
  </si>
  <si>
    <t>160512</t>
  </si>
  <si>
    <t>博时卓越LOF</t>
  </si>
  <si>
    <t>160513</t>
  </si>
  <si>
    <t>稳健债LOF</t>
  </si>
  <si>
    <t>160515</t>
  </si>
  <si>
    <t>安丰18定开</t>
  </si>
  <si>
    <t>160518</t>
  </si>
  <si>
    <t>博时睿远LOF</t>
  </si>
  <si>
    <t>160526</t>
  </si>
  <si>
    <t>博时优势企业</t>
  </si>
  <si>
    <t>160527</t>
  </si>
  <si>
    <t>博时研究优选LOF</t>
  </si>
  <si>
    <t>160529</t>
  </si>
  <si>
    <t>创业板博时定开</t>
  </si>
  <si>
    <t>160607</t>
  </si>
  <si>
    <t>鹏华价值优势LOF</t>
  </si>
  <si>
    <t>160610</t>
  </si>
  <si>
    <t>鹏华动力LOF</t>
  </si>
  <si>
    <t>160611</t>
  </si>
  <si>
    <t>鹏华优质治理LOF</t>
  </si>
  <si>
    <t>160613</t>
  </si>
  <si>
    <t>鹏华盛世创新LOF</t>
  </si>
  <si>
    <t>160615</t>
  </si>
  <si>
    <t>鹏华300LOF</t>
  </si>
  <si>
    <t>160616</t>
  </si>
  <si>
    <t>鹏华500LOF</t>
  </si>
  <si>
    <t>160617</t>
  </si>
  <si>
    <t>鹏华丰润LOF</t>
  </si>
  <si>
    <t>160618</t>
  </si>
  <si>
    <t>鹏华丰泽LOF</t>
  </si>
  <si>
    <t>160620</t>
  </si>
  <si>
    <t>资源LOF</t>
  </si>
  <si>
    <t>160621</t>
  </si>
  <si>
    <t>鹏华丰和LOF</t>
  </si>
  <si>
    <t>160622</t>
  </si>
  <si>
    <t>鹏华丰利LOF</t>
  </si>
  <si>
    <t>160625</t>
  </si>
  <si>
    <t>证保LOF</t>
  </si>
  <si>
    <t>160626</t>
  </si>
  <si>
    <t>信息LOF</t>
  </si>
  <si>
    <t>160628</t>
  </si>
  <si>
    <t>地产LOF</t>
  </si>
  <si>
    <t>160629</t>
  </si>
  <si>
    <t>传媒LOF</t>
  </si>
  <si>
    <t>160630</t>
  </si>
  <si>
    <t>国防LOF</t>
  </si>
  <si>
    <t>160631</t>
  </si>
  <si>
    <t>银行LOF基金</t>
  </si>
  <si>
    <t>160632</t>
  </si>
  <si>
    <t>酒LOF</t>
  </si>
  <si>
    <t>160633</t>
  </si>
  <si>
    <t>券商LOF</t>
  </si>
  <si>
    <t>160635</t>
  </si>
  <si>
    <t>医药LOF基金</t>
  </si>
  <si>
    <t>160637</t>
  </si>
  <si>
    <t>创业板LOF基金</t>
  </si>
  <si>
    <t>160638</t>
  </si>
  <si>
    <t>带路LOF</t>
  </si>
  <si>
    <t>160639</t>
  </si>
  <si>
    <t>高铁LOF</t>
  </si>
  <si>
    <t>160641</t>
  </si>
  <si>
    <t>鹏华丰锐LOF</t>
  </si>
  <si>
    <t>160642</t>
  </si>
  <si>
    <t>鹏华增瑞LOF</t>
  </si>
  <si>
    <t>160643</t>
  </si>
  <si>
    <t>空天军工LOF</t>
  </si>
  <si>
    <t>160644</t>
  </si>
  <si>
    <t>港美互联网LOF</t>
  </si>
  <si>
    <t>160706</t>
  </si>
  <si>
    <t>沪深300LOF</t>
  </si>
  <si>
    <t>160716</t>
  </si>
  <si>
    <t>基本面50LOF</t>
  </si>
  <si>
    <t>160717</t>
  </si>
  <si>
    <t>H股LOF</t>
  </si>
  <si>
    <t>160719</t>
  </si>
  <si>
    <t>嘉实黄金LOF</t>
  </si>
  <si>
    <t>160722</t>
  </si>
  <si>
    <t>嘉实惠泽LOF</t>
  </si>
  <si>
    <t>160723</t>
  </si>
  <si>
    <t>嘉实原油LOF</t>
  </si>
  <si>
    <t>160726</t>
  </si>
  <si>
    <t>嘉实瑞享定开</t>
  </si>
  <si>
    <t>160805</t>
  </si>
  <si>
    <t>长盛同智LOF</t>
  </si>
  <si>
    <t>160806</t>
  </si>
  <si>
    <t>长盛中证800LOF</t>
  </si>
  <si>
    <t>160807</t>
  </si>
  <si>
    <t>长盛沪深300LOF</t>
  </si>
  <si>
    <t>160812</t>
  </si>
  <si>
    <t>长盛同益LOF</t>
  </si>
  <si>
    <t>160813</t>
  </si>
  <si>
    <t>长盛同盛LOF</t>
  </si>
  <si>
    <t>160910</t>
  </si>
  <si>
    <t>创新成长LOF</t>
  </si>
  <si>
    <t>160916</t>
  </si>
  <si>
    <t>优选LOF</t>
  </si>
  <si>
    <t>160918</t>
  </si>
  <si>
    <t>中小盘LOF</t>
  </si>
  <si>
    <t>160919</t>
  </si>
  <si>
    <t>产业升级LOF</t>
  </si>
  <si>
    <t>160921</t>
  </si>
  <si>
    <t>多策略LOF</t>
  </si>
  <si>
    <t>160924</t>
  </si>
  <si>
    <t>恒生指数LOF</t>
  </si>
  <si>
    <t>160925</t>
  </si>
  <si>
    <t>沪深港300LOF</t>
  </si>
  <si>
    <t>160926</t>
  </si>
  <si>
    <t>创业板定开</t>
  </si>
  <si>
    <t>161005</t>
  </si>
  <si>
    <t>富国天惠LOF</t>
  </si>
  <si>
    <t>161010</t>
  </si>
  <si>
    <t>富国天丰LOF</t>
  </si>
  <si>
    <t>161014</t>
  </si>
  <si>
    <t>富国汇利定开</t>
  </si>
  <si>
    <t>161015</t>
  </si>
  <si>
    <t>富国天盈LOF</t>
  </si>
  <si>
    <t>161017</t>
  </si>
  <si>
    <t>500增强LOF</t>
  </si>
  <si>
    <t>161019</t>
  </si>
  <si>
    <t>富国天锋LOF</t>
  </si>
  <si>
    <t>161024</t>
  </si>
  <si>
    <t>军工LOF</t>
  </si>
  <si>
    <t>161025</t>
  </si>
  <si>
    <t>互联网LOF</t>
  </si>
  <si>
    <t>161026</t>
  </si>
  <si>
    <t>国企改革LOF</t>
  </si>
  <si>
    <t>161027</t>
  </si>
  <si>
    <t>证券LOF</t>
  </si>
  <si>
    <t>161028</t>
  </si>
  <si>
    <t>新能源车LOF</t>
  </si>
  <si>
    <t>161029</t>
  </si>
  <si>
    <t>银行龙头LOF</t>
  </si>
  <si>
    <t>161030</t>
  </si>
  <si>
    <t>体育LOF</t>
  </si>
  <si>
    <t>161031</t>
  </si>
  <si>
    <t>工业40LOF</t>
  </si>
  <si>
    <t>161032</t>
  </si>
  <si>
    <t>煤炭龙头LOF</t>
  </si>
  <si>
    <t>161033</t>
  </si>
  <si>
    <t>智能汽车LOF</t>
  </si>
  <si>
    <t>161035</t>
  </si>
  <si>
    <t>医药增强LOF</t>
  </si>
  <si>
    <t>161036</t>
  </si>
  <si>
    <t>娱乐增强LOF</t>
  </si>
  <si>
    <t>161037</t>
  </si>
  <si>
    <t>高端制造LOF</t>
  </si>
  <si>
    <t>161038</t>
  </si>
  <si>
    <t>成长LOF</t>
  </si>
  <si>
    <t>161039</t>
  </si>
  <si>
    <t>1000增强LOF</t>
  </si>
  <si>
    <t>161040</t>
  </si>
  <si>
    <t>创业富国定开</t>
  </si>
  <si>
    <t>161115</t>
  </si>
  <si>
    <t>易基岁丰添利LOF</t>
  </si>
  <si>
    <t>161116</t>
  </si>
  <si>
    <t>黄金主题LOF</t>
  </si>
  <si>
    <t>161117</t>
  </si>
  <si>
    <t>易基永旭添利定开</t>
  </si>
  <si>
    <t>161118</t>
  </si>
  <si>
    <t>中小企业100LOF</t>
  </si>
  <si>
    <t>161119</t>
  </si>
  <si>
    <t>易方达新综债LOF</t>
  </si>
  <si>
    <t>161121</t>
  </si>
  <si>
    <t>银行LOF易方达</t>
  </si>
  <si>
    <t>161122</t>
  </si>
  <si>
    <t>生物科技LOF</t>
  </si>
  <si>
    <t>161123</t>
  </si>
  <si>
    <t>并购重组LOF</t>
  </si>
  <si>
    <t>161124</t>
  </si>
  <si>
    <t>港股小盘LOF</t>
  </si>
  <si>
    <t>161125</t>
  </si>
  <si>
    <t>标普500LOF</t>
  </si>
  <si>
    <t>161126</t>
  </si>
  <si>
    <t>标普医疗保健LOF</t>
  </si>
  <si>
    <t>161127</t>
  </si>
  <si>
    <t>标普生物科技LOF</t>
  </si>
  <si>
    <t>161128</t>
  </si>
  <si>
    <t>标普信息科技LOF</t>
  </si>
  <si>
    <t>161129</t>
  </si>
  <si>
    <t>原油LOF易方达</t>
  </si>
  <si>
    <t>161130</t>
  </si>
  <si>
    <t>纳斯达克100LOF</t>
  </si>
  <si>
    <t>161131</t>
  </si>
  <si>
    <t>易方达科润LOF</t>
  </si>
  <si>
    <t>161132</t>
  </si>
  <si>
    <t>易方达科顺定开</t>
  </si>
  <si>
    <t>161133</t>
  </si>
  <si>
    <t>优势回报FOF-LOF</t>
  </si>
  <si>
    <t>161216</t>
  </si>
  <si>
    <t>国投双债LOF</t>
  </si>
  <si>
    <t>161217</t>
  </si>
  <si>
    <t>国投资源LOF</t>
  </si>
  <si>
    <t>161219</t>
  </si>
  <si>
    <t>国投新兴产业LOF</t>
  </si>
  <si>
    <t>161222</t>
  </si>
  <si>
    <t>国投瑞利LOF</t>
  </si>
  <si>
    <t>161224</t>
  </si>
  <si>
    <t>国投新丝路LOF</t>
  </si>
  <si>
    <t>161225</t>
  </si>
  <si>
    <t>国投瑞盈LOF</t>
  </si>
  <si>
    <t>161226</t>
  </si>
  <si>
    <t>国投白银LOF</t>
  </si>
  <si>
    <t>161227</t>
  </si>
  <si>
    <t>国投深证100LOF</t>
  </si>
  <si>
    <t>161229</t>
  </si>
  <si>
    <t>国投中国价值LOF</t>
  </si>
  <si>
    <t>161232</t>
  </si>
  <si>
    <t>国投瑞盛LOF</t>
  </si>
  <si>
    <t>161233</t>
  </si>
  <si>
    <t>国投瑞泰LOF</t>
  </si>
  <si>
    <t>161505</t>
  </si>
  <si>
    <t>银河通利债券LOF</t>
  </si>
  <si>
    <t>161607</t>
  </si>
  <si>
    <t>巨潮100LOF</t>
  </si>
  <si>
    <t>161610</t>
  </si>
  <si>
    <t>融通领先成长LOF</t>
  </si>
  <si>
    <t>161614</t>
  </si>
  <si>
    <t>融通四季添利LOF</t>
  </si>
  <si>
    <t>161626</t>
  </si>
  <si>
    <t>融通通福LOF</t>
  </si>
  <si>
    <t>161631</t>
  </si>
  <si>
    <t>人工智能LOF</t>
  </si>
  <si>
    <t>161706</t>
  </si>
  <si>
    <t>招商成长LOF</t>
  </si>
  <si>
    <t>161713</t>
  </si>
  <si>
    <t>招商信用添利LOF</t>
  </si>
  <si>
    <t>161715</t>
  </si>
  <si>
    <t>大宗商品LOF</t>
  </si>
  <si>
    <t>161716</t>
  </si>
  <si>
    <t>招商双债LOF</t>
  </si>
  <si>
    <t>161720</t>
  </si>
  <si>
    <t>证券基金LOF</t>
  </si>
  <si>
    <t>161722</t>
  </si>
  <si>
    <t>招商丰泰LOF</t>
  </si>
  <si>
    <t>161724</t>
  </si>
  <si>
    <t>煤炭等权LOF</t>
  </si>
  <si>
    <t>161725</t>
  </si>
  <si>
    <t>白酒基金LOF</t>
  </si>
  <si>
    <t>161726</t>
  </si>
  <si>
    <t>生物医药LOF</t>
  </si>
  <si>
    <t>161727</t>
  </si>
  <si>
    <t>招商增荣LOF</t>
  </si>
  <si>
    <t>161728</t>
  </si>
  <si>
    <t>招商优选LOF</t>
  </si>
  <si>
    <t>161729</t>
  </si>
  <si>
    <t>招商瑞利LOF</t>
  </si>
  <si>
    <t>161810</t>
  </si>
  <si>
    <t>银华内需LOF</t>
  </si>
  <si>
    <t>161811</t>
  </si>
  <si>
    <t>沪深300LOF银华</t>
  </si>
  <si>
    <t>161812</t>
  </si>
  <si>
    <t>深证100LOF</t>
  </si>
  <si>
    <t>161815</t>
  </si>
  <si>
    <t>抗通胀LOF</t>
  </si>
  <si>
    <t>161816</t>
  </si>
  <si>
    <t>中证90LOF</t>
  </si>
  <si>
    <t>161820</t>
  </si>
  <si>
    <t>银华纯债LOF</t>
  </si>
  <si>
    <t>161831</t>
  </si>
  <si>
    <t>恒生国企LOF</t>
  </si>
  <si>
    <t>161834</t>
  </si>
  <si>
    <t>银华鑫锐LOF</t>
  </si>
  <si>
    <t>161837</t>
  </si>
  <si>
    <t>银华大盘定开</t>
  </si>
  <si>
    <t>161903</t>
  </si>
  <si>
    <t>万家行业优选LOF</t>
  </si>
  <si>
    <t>161908</t>
  </si>
  <si>
    <t>万家添利LOF</t>
  </si>
  <si>
    <t>161912</t>
  </si>
  <si>
    <t>社会责任定开</t>
  </si>
  <si>
    <t>161914</t>
  </si>
  <si>
    <t>创业板2年定开</t>
  </si>
  <si>
    <t>162006</t>
  </si>
  <si>
    <t>长城久富LOF</t>
  </si>
  <si>
    <t>162105</t>
  </si>
  <si>
    <t>金鹰持久增利LOF</t>
  </si>
  <si>
    <t>162108</t>
  </si>
  <si>
    <t>金鹰元盛债券LOF</t>
  </si>
  <si>
    <t>162207</t>
  </si>
  <si>
    <t>宏利效率混合LOF</t>
  </si>
  <si>
    <t>162215</t>
  </si>
  <si>
    <t>宏利聚利债券LOF</t>
  </si>
  <si>
    <t>162216</t>
  </si>
  <si>
    <t>宏利500增强LOF</t>
  </si>
  <si>
    <t>162307</t>
  </si>
  <si>
    <t>海富通A100LOF</t>
  </si>
  <si>
    <t>162411</t>
  </si>
  <si>
    <t>华宝油气LOF</t>
  </si>
  <si>
    <t>162412</t>
  </si>
  <si>
    <t>医疗基金LOF</t>
  </si>
  <si>
    <t>162414</t>
  </si>
  <si>
    <t>新机遇LOF</t>
  </si>
  <si>
    <t>162415</t>
  </si>
  <si>
    <t>美国消费LOF</t>
  </si>
  <si>
    <t>162509</t>
  </si>
  <si>
    <t>中证A100LOF</t>
  </si>
  <si>
    <t>162605</t>
  </si>
  <si>
    <t>景顺鼎益LOF</t>
  </si>
  <si>
    <t>162607</t>
  </si>
  <si>
    <t>景顺资源LOF</t>
  </si>
  <si>
    <t>162703</t>
  </si>
  <si>
    <t>广发小盘LOF</t>
  </si>
  <si>
    <t>162711</t>
  </si>
  <si>
    <t>中证500LOF</t>
  </si>
  <si>
    <t>162712</t>
  </si>
  <si>
    <t>广发聚利LOF</t>
  </si>
  <si>
    <t>162715</t>
  </si>
  <si>
    <t>广发聚源LOF</t>
  </si>
  <si>
    <t>162719</t>
  </si>
  <si>
    <t>石油LOF</t>
  </si>
  <si>
    <t>162720</t>
  </si>
  <si>
    <t>广发创业板定开</t>
  </si>
  <si>
    <t>162721</t>
  </si>
  <si>
    <t>广发积极FOF-LOF</t>
  </si>
  <si>
    <t>163001</t>
  </si>
  <si>
    <t>长信医疗LOF</t>
  </si>
  <si>
    <t>163003</t>
  </si>
  <si>
    <t>长信利鑫LOF</t>
  </si>
  <si>
    <t>163005</t>
  </si>
  <si>
    <t>长信利众LOF</t>
  </si>
  <si>
    <t>163109</t>
  </si>
  <si>
    <t>申万深成LOF</t>
  </si>
  <si>
    <t>163110</t>
  </si>
  <si>
    <t>申万量化LOF</t>
  </si>
  <si>
    <t>163111</t>
  </si>
  <si>
    <t>申万中小LOF</t>
  </si>
  <si>
    <t>163113</t>
  </si>
  <si>
    <t>申万证券LOF</t>
  </si>
  <si>
    <t>163114</t>
  </si>
  <si>
    <t>申万环保LOF</t>
  </si>
  <si>
    <t>163115</t>
  </si>
  <si>
    <t>申万军工LOF</t>
  </si>
  <si>
    <t>163116</t>
  </si>
  <si>
    <t>申万电子LOF</t>
  </si>
  <si>
    <t>163118</t>
  </si>
  <si>
    <t>医药生物LOF</t>
  </si>
  <si>
    <t>163208</t>
  </si>
  <si>
    <t>全球油气能源LOF</t>
  </si>
  <si>
    <t>163302</t>
  </si>
  <si>
    <t>大摩资源LOF</t>
  </si>
  <si>
    <t>163402</t>
  </si>
  <si>
    <t>兴全趋势LOF</t>
  </si>
  <si>
    <t>163406</t>
  </si>
  <si>
    <t>兴全合润LOF</t>
  </si>
  <si>
    <t>163407</t>
  </si>
  <si>
    <t>兴全沪深300LOF</t>
  </si>
  <si>
    <t>163409</t>
  </si>
  <si>
    <t>兴全绿色LOF</t>
  </si>
  <si>
    <t>163412</t>
  </si>
  <si>
    <t>兴全轻资产LOF</t>
  </si>
  <si>
    <t>163415</t>
  </si>
  <si>
    <t>兴全商业模式LOF</t>
  </si>
  <si>
    <t>163417</t>
  </si>
  <si>
    <t>兴全合宜LOF</t>
  </si>
  <si>
    <t>163418</t>
  </si>
  <si>
    <t>兴全合兴LOF</t>
  </si>
  <si>
    <t>163503</t>
  </si>
  <si>
    <t>天治核心LOF</t>
  </si>
  <si>
    <t>163801</t>
  </si>
  <si>
    <t>中银中国LOF</t>
  </si>
  <si>
    <t>163819</t>
  </si>
  <si>
    <t>中银信用增利LOF</t>
  </si>
  <si>
    <t>163821</t>
  </si>
  <si>
    <t>沪深300等权LOF</t>
  </si>
  <si>
    <t>163907</t>
  </si>
  <si>
    <t>中海惠裕LOF</t>
  </si>
  <si>
    <t>164105</t>
  </si>
  <si>
    <t>华富强债LOF</t>
  </si>
  <si>
    <t>164206</t>
  </si>
  <si>
    <t>天弘添利LOF</t>
  </si>
  <si>
    <t>164208</t>
  </si>
  <si>
    <t>天弘丰利LOF</t>
  </si>
  <si>
    <t>164210</t>
  </si>
  <si>
    <t>天弘同利LOF</t>
  </si>
  <si>
    <t>164403</t>
  </si>
  <si>
    <t>农业精选LOF</t>
  </si>
  <si>
    <t>164508</t>
  </si>
  <si>
    <t>国富中证A100LOF</t>
  </si>
  <si>
    <t>164509</t>
  </si>
  <si>
    <t>国富恒利债券LOF</t>
  </si>
  <si>
    <t>164606</t>
  </si>
  <si>
    <t>信用增利LOF</t>
  </si>
  <si>
    <t>164701</t>
  </si>
  <si>
    <t>黄金LOF</t>
  </si>
  <si>
    <t>164703</t>
  </si>
  <si>
    <t>汇添富纯债LOF</t>
  </si>
  <si>
    <t>164705</t>
  </si>
  <si>
    <t>恒生LOF</t>
  </si>
  <si>
    <t>164808</t>
  </si>
  <si>
    <t>工银四季LOF</t>
  </si>
  <si>
    <t>164810</t>
  </si>
  <si>
    <t>工银纯债定开</t>
  </si>
  <si>
    <t>164814</t>
  </si>
  <si>
    <t>工银双债LOF</t>
  </si>
  <si>
    <t>164824</t>
  </si>
  <si>
    <t>印度基金LOF</t>
  </si>
  <si>
    <t>164902</t>
  </si>
  <si>
    <t>交银添利LOF</t>
  </si>
  <si>
    <t>164906</t>
  </si>
  <si>
    <t>中概互联网LOF</t>
  </si>
  <si>
    <t>165309</t>
  </si>
  <si>
    <t>沪深300LOF建信</t>
  </si>
  <si>
    <t>165311</t>
  </si>
  <si>
    <t>信用债LOF</t>
  </si>
  <si>
    <t>165313</t>
  </si>
  <si>
    <t>建信优势LOF</t>
  </si>
  <si>
    <t>165508</t>
  </si>
  <si>
    <t>中信保诚深度LOF</t>
  </si>
  <si>
    <t>165509</t>
  </si>
  <si>
    <t>中信保诚增强LOF</t>
  </si>
  <si>
    <t>165511</t>
  </si>
  <si>
    <t>中信保诚500LOF</t>
  </si>
  <si>
    <t>165512</t>
  </si>
  <si>
    <t>中信保诚机遇LOF</t>
  </si>
  <si>
    <t>165513</t>
  </si>
  <si>
    <t>中信保诚商品LOF</t>
  </si>
  <si>
    <t>165515</t>
  </si>
  <si>
    <t>中信保诚300LOF</t>
  </si>
  <si>
    <t>165516</t>
  </si>
  <si>
    <t>中信保诚周期LOF</t>
  </si>
  <si>
    <t>165517</t>
  </si>
  <si>
    <t>中信保诚双盈LOF</t>
  </si>
  <si>
    <t>165519</t>
  </si>
  <si>
    <t>医药生物科技LOF</t>
  </si>
  <si>
    <t>165520</t>
  </si>
  <si>
    <t>有色LOF</t>
  </si>
  <si>
    <t>165521</t>
  </si>
  <si>
    <t>金融LOF</t>
  </si>
  <si>
    <t>165522</t>
  </si>
  <si>
    <t>TMTLOF</t>
  </si>
  <si>
    <t>165525</t>
  </si>
  <si>
    <t>基建工程LOF</t>
  </si>
  <si>
    <t>165528</t>
  </si>
  <si>
    <t>中信保诚鼎利LOF</t>
  </si>
  <si>
    <t>166001</t>
  </si>
  <si>
    <t>中欧趋势LOF</t>
  </si>
  <si>
    <t>166006</t>
  </si>
  <si>
    <t>中欧成长LOF</t>
  </si>
  <si>
    <t>166008</t>
  </si>
  <si>
    <t>中欧强债LOF</t>
  </si>
  <si>
    <t>166009</t>
  </si>
  <si>
    <t>中欧动力LOF</t>
  </si>
  <si>
    <t>166011</t>
  </si>
  <si>
    <t>中欧盛世LOF</t>
  </si>
  <si>
    <t>166016</t>
  </si>
  <si>
    <t>中欧纯债LOF</t>
  </si>
  <si>
    <t>166023</t>
  </si>
  <si>
    <t>中欧瑞丰LOF</t>
  </si>
  <si>
    <t>166024</t>
  </si>
  <si>
    <t>中欧恒利定开</t>
  </si>
  <si>
    <t>166025</t>
  </si>
  <si>
    <t>中欧远见定开</t>
  </si>
  <si>
    <t>166027</t>
  </si>
  <si>
    <t>中欧创业定开</t>
  </si>
  <si>
    <t>166105</t>
  </si>
  <si>
    <t>信澳鑫安LOF</t>
  </si>
  <si>
    <t>166107</t>
  </si>
  <si>
    <t>多因子LOF</t>
  </si>
  <si>
    <t>166401</t>
  </si>
  <si>
    <t>稳健增利LOF</t>
  </si>
  <si>
    <t>167001</t>
  </si>
  <si>
    <t>鼎泰LOF</t>
  </si>
  <si>
    <t>167002</t>
  </si>
  <si>
    <t>鼎越LOF</t>
  </si>
  <si>
    <t>167003</t>
  </si>
  <si>
    <t>鼎弘LOF</t>
  </si>
  <si>
    <t>167301</t>
  </si>
  <si>
    <t>保险主题LOF</t>
  </si>
  <si>
    <t>167302</t>
  </si>
  <si>
    <t>大湾区LOF</t>
  </si>
  <si>
    <t>167501</t>
  </si>
  <si>
    <t>安信宝利债券LOF</t>
  </si>
  <si>
    <t>167506</t>
  </si>
  <si>
    <t>安信深圳科技LOF</t>
  </si>
  <si>
    <t>167508</t>
  </si>
  <si>
    <t>安信价值发现定开</t>
  </si>
  <si>
    <t>168101</t>
  </si>
  <si>
    <t>九泰锐智LOF</t>
  </si>
  <si>
    <t>168102</t>
  </si>
  <si>
    <t>九泰锐富LOF</t>
  </si>
  <si>
    <t>168103</t>
  </si>
  <si>
    <t>九泰锐益LOF</t>
  </si>
  <si>
    <t>168104</t>
  </si>
  <si>
    <t>九泰锐丰LOF</t>
  </si>
  <si>
    <t>168105</t>
  </si>
  <si>
    <t>九泰泰富LOF</t>
  </si>
  <si>
    <t>168203</t>
  </si>
  <si>
    <t>钢铁LOF</t>
  </si>
  <si>
    <t>168204</t>
  </si>
  <si>
    <t>煤炭LOF</t>
  </si>
  <si>
    <t>168301</t>
  </si>
  <si>
    <t>东海祥龙LOF</t>
  </si>
  <si>
    <t>168401</t>
  </si>
  <si>
    <t>红土创新精选LOF</t>
  </si>
  <si>
    <t>168701</t>
  </si>
  <si>
    <t>金融科技LOF</t>
  </si>
  <si>
    <t>169101</t>
  </si>
  <si>
    <t>东方红睿丰LOF</t>
  </si>
  <si>
    <t>169104</t>
  </si>
  <si>
    <t>东方红睿满LOF</t>
  </si>
  <si>
    <t>169105</t>
  </si>
  <si>
    <t>东方红睿华LOF</t>
  </si>
  <si>
    <t>169106</t>
  </si>
  <si>
    <t>东方红创优定开</t>
  </si>
  <si>
    <t>169201</t>
  </si>
  <si>
    <t>浙商鼎盈LOF</t>
  </si>
  <si>
    <t>510010</t>
  </si>
  <si>
    <t>180治理ETF交银</t>
  </si>
  <si>
    <t>510020</t>
  </si>
  <si>
    <t>超大盘ETF博时</t>
  </si>
  <si>
    <t>510030</t>
  </si>
  <si>
    <t>价值ETF华宝</t>
  </si>
  <si>
    <t>510040</t>
  </si>
  <si>
    <t>上证180ETF鹏华</t>
  </si>
  <si>
    <t>510050</t>
  </si>
  <si>
    <t>上证50ETF华夏</t>
  </si>
  <si>
    <t>510060</t>
  </si>
  <si>
    <t>央企ETF工银</t>
  </si>
  <si>
    <t>510090</t>
  </si>
  <si>
    <t>责任ETF建信</t>
  </si>
  <si>
    <t>510100</t>
  </si>
  <si>
    <t>上证50ETF易方达</t>
  </si>
  <si>
    <t>510130</t>
  </si>
  <si>
    <t>上证中盘ETF易方达</t>
  </si>
  <si>
    <t>510150</t>
  </si>
  <si>
    <t>消费ETF招商</t>
  </si>
  <si>
    <t>510160</t>
  </si>
  <si>
    <t>产业升级ETF南方</t>
  </si>
  <si>
    <t>510170</t>
  </si>
  <si>
    <t>大宗商品ETF国联安</t>
  </si>
  <si>
    <t>510180</t>
  </si>
  <si>
    <t>上证180ETF华安</t>
  </si>
  <si>
    <t>510190</t>
  </si>
  <si>
    <t>上证50ETF华安</t>
  </si>
  <si>
    <t>510200</t>
  </si>
  <si>
    <t>上证券商ETF汇安</t>
  </si>
  <si>
    <t>510210</t>
  </si>
  <si>
    <t>上证指数ETF富国</t>
  </si>
  <si>
    <t>510230</t>
  </si>
  <si>
    <t>金融ETF国泰</t>
  </si>
  <si>
    <t>510270</t>
  </si>
  <si>
    <t>国企ETF中银</t>
  </si>
  <si>
    <t>510290</t>
  </si>
  <si>
    <t>上证380ETF南方</t>
  </si>
  <si>
    <t>510300</t>
  </si>
  <si>
    <t>沪深300ETF华泰柏瑞</t>
  </si>
  <si>
    <t>510310</t>
  </si>
  <si>
    <t>沪深300ETF易方达</t>
  </si>
  <si>
    <t>510320</t>
  </si>
  <si>
    <t>沪深300ETF中金</t>
  </si>
  <si>
    <t>510330</t>
  </si>
  <si>
    <t>沪深300ETF华夏</t>
  </si>
  <si>
    <t>510350</t>
  </si>
  <si>
    <t>沪深300ETF工银</t>
  </si>
  <si>
    <t>510360</t>
  </si>
  <si>
    <t>沪深300ETF广发</t>
  </si>
  <si>
    <t>510370</t>
  </si>
  <si>
    <t>沪深300ETF兴业</t>
  </si>
  <si>
    <t>510380</t>
  </si>
  <si>
    <t>沪深300ETF国寿</t>
  </si>
  <si>
    <t>510390</t>
  </si>
  <si>
    <t>沪深300ETF平安</t>
  </si>
  <si>
    <t>510410</t>
  </si>
  <si>
    <t>资源ETF博时</t>
  </si>
  <si>
    <t>510500</t>
  </si>
  <si>
    <t>中证500ETF南方</t>
  </si>
  <si>
    <t>510510</t>
  </si>
  <si>
    <t>中证500ETF广发</t>
  </si>
  <si>
    <t>510530</t>
  </si>
  <si>
    <t>中证500ETF工银</t>
  </si>
  <si>
    <t>510550</t>
  </si>
  <si>
    <t>中证500ETF方正富邦</t>
  </si>
  <si>
    <t>510560</t>
  </si>
  <si>
    <t>中证500ETF国寿</t>
  </si>
  <si>
    <t>510570</t>
  </si>
  <si>
    <t>中证500ETF兴业</t>
  </si>
  <si>
    <t>510580</t>
  </si>
  <si>
    <t>中证500ETF易方达</t>
  </si>
  <si>
    <t>510590</t>
  </si>
  <si>
    <t>中证500ETF平安</t>
  </si>
  <si>
    <t>510600</t>
  </si>
  <si>
    <t>上证50ETF申万菱信</t>
  </si>
  <si>
    <t>510630</t>
  </si>
  <si>
    <t>消费ETF华夏</t>
  </si>
  <si>
    <t>510650</t>
  </si>
  <si>
    <t>金融地产ETF华夏</t>
  </si>
  <si>
    <t>510660</t>
  </si>
  <si>
    <t>医药ETF华夏</t>
  </si>
  <si>
    <t>510670</t>
  </si>
  <si>
    <t>上证180ETF华夏</t>
  </si>
  <si>
    <t>510680</t>
  </si>
  <si>
    <t>上证50ETF万家</t>
  </si>
  <si>
    <t>510710</t>
  </si>
  <si>
    <t>上证50ETF博时</t>
  </si>
  <si>
    <t>510720</t>
  </si>
  <si>
    <t>红利国企ETF国泰</t>
  </si>
  <si>
    <t>510760</t>
  </si>
  <si>
    <t>上证指数ETF国泰</t>
  </si>
  <si>
    <t>510770</t>
  </si>
  <si>
    <t>G60创新ETF申万菱信</t>
  </si>
  <si>
    <t>510800</t>
  </si>
  <si>
    <t>上证50ETF建信</t>
  </si>
  <si>
    <t>510810</t>
  </si>
  <si>
    <t>上海国企ETF汇添富</t>
  </si>
  <si>
    <t>510850</t>
  </si>
  <si>
    <t>上证50ETF工银</t>
  </si>
  <si>
    <t>510880</t>
  </si>
  <si>
    <t>红利ETF华泰柏瑞</t>
  </si>
  <si>
    <t>510900</t>
  </si>
  <si>
    <t>恒生中国企业ETF易方达</t>
  </si>
  <si>
    <t>510910</t>
  </si>
  <si>
    <t>上证指数ETF南方</t>
  </si>
  <si>
    <t>510950</t>
  </si>
  <si>
    <t>上证50ETF广发</t>
  </si>
  <si>
    <t>510980</t>
  </si>
  <si>
    <t>上证指数ETF汇添富</t>
  </si>
  <si>
    <t>510990</t>
  </si>
  <si>
    <t>180ESGETF工银</t>
  </si>
  <si>
    <t>511010</t>
  </si>
  <si>
    <t>国债ETF国泰</t>
  </si>
  <si>
    <t>511020</t>
  </si>
  <si>
    <t>国债ETF平安</t>
  </si>
  <si>
    <t>511030</t>
  </si>
  <si>
    <t>公司债ETF平安</t>
  </si>
  <si>
    <t>511060</t>
  </si>
  <si>
    <t>5年地方债ETF海富通</t>
  </si>
  <si>
    <t>511070</t>
  </si>
  <si>
    <t>公司债ETF南方</t>
  </si>
  <si>
    <t>511090</t>
  </si>
  <si>
    <t>30年国债ETF鹏扬</t>
  </si>
  <si>
    <t>511100</t>
  </si>
  <si>
    <t>国债ETF华夏</t>
  </si>
  <si>
    <t>511110</t>
  </si>
  <si>
    <t>公司债ETF易方达</t>
  </si>
  <si>
    <t>511120</t>
  </si>
  <si>
    <t>科创债ETF广发</t>
  </si>
  <si>
    <t>511130</t>
  </si>
  <si>
    <t>30年国债ETF博时</t>
  </si>
  <si>
    <t>511150</t>
  </si>
  <si>
    <t>科创债ETF永赢</t>
  </si>
  <si>
    <t>511160</t>
  </si>
  <si>
    <t>国债ETF东财</t>
  </si>
  <si>
    <t>511180</t>
  </si>
  <si>
    <t>可转债ETF海富通</t>
  </si>
  <si>
    <t>511190</t>
  </si>
  <si>
    <t>信用债ETF海富通</t>
  </si>
  <si>
    <t>511200</t>
  </si>
  <si>
    <t>信用债ETF华夏</t>
  </si>
  <si>
    <t>511220</t>
  </si>
  <si>
    <t>城投债ETF海富通</t>
  </si>
  <si>
    <t>511260</t>
  </si>
  <si>
    <t>十年国债ETF国泰</t>
  </si>
  <si>
    <t>511270</t>
  </si>
  <si>
    <t>10年地方债ETF海富通</t>
  </si>
  <si>
    <t>511360</t>
  </si>
  <si>
    <t>短融ETF海富通</t>
  </si>
  <si>
    <t>511380</t>
  </si>
  <si>
    <t>可转债ETF博时</t>
  </si>
  <si>
    <t>511520</t>
  </si>
  <si>
    <t>政金债ETF富国</t>
  </si>
  <si>
    <t>511580</t>
  </si>
  <si>
    <t>国债政金债ETF招商</t>
  </si>
  <si>
    <t>512000</t>
  </si>
  <si>
    <t>券商ETF华宝</t>
  </si>
  <si>
    <t>512010</t>
  </si>
  <si>
    <t>医药ETF易方达</t>
  </si>
  <si>
    <t>512020</t>
  </si>
  <si>
    <t>A500ETF鹏华</t>
  </si>
  <si>
    <t>512030</t>
  </si>
  <si>
    <t>中证A50增强ETF易方达</t>
  </si>
  <si>
    <t>512040</t>
  </si>
  <si>
    <t>价值100ETF富国</t>
  </si>
  <si>
    <t>512050</t>
  </si>
  <si>
    <t>A500ETF华夏</t>
  </si>
  <si>
    <t>512060</t>
  </si>
  <si>
    <t>A100ETF天弘</t>
  </si>
  <si>
    <t>512070</t>
  </si>
  <si>
    <t>证券保险ETF易方达</t>
  </si>
  <si>
    <t>512080</t>
  </si>
  <si>
    <t>A500ETF中金</t>
  </si>
  <si>
    <t>512090</t>
  </si>
  <si>
    <t>MSCIA股ETF易方达</t>
  </si>
  <si>
    <t>512100</t>
  </si>
  <si>
    <t>中证1000ETF南方</t>
  </si>
  <si>
    <t>512120</t>
  </si>
  <si>
    <t>医药ETF华安</t>
  </si>
  <si>
    <t>512130</t>
  </si>
  <si>
    <t>全指现金流ETF鹏华</t>
  </si>
  <si>
    <t>512140</t>
  </si>
  <si>
    <t>电力ETF华安</t>
  </si>
  <si>
    <t>512150</t>
  </si>
  <si>
    <t>富时A50ETF汇安</t>
  </si>
  <si>
    <t>512160</t>
  </si>
  <si>
    <t>MSCI中国A股ETF南方</t>
  </si>
  <si>
    <t>512170</t>
  </si>
  <si>
    <t>医疗ETF华宝</t>
  </si>
  <si>
    <t>512180</t>
  </si>
  <si>
    <t>MSCIA股ETF建信</t>
  </si>
  <si>
    <t>512190</t>
  </si>
  <si>
    <t>浙商之江凤凰ETF</t>
  </si>
  <si>
    <t>512200</t>
  </si>
  <si>
    <t>房地产ETF南方</t>
  </si>
  <si>
    <t>512220</t>
  </si>
  <si>
    <t>TMTETF景顺</t>
  </si>
  <si>
    <t>512240</t>
  </si>
  <si>
    <t>A50ETF鹏华</t>
  </si>
  <si>
    <t>512250</t>
  </si>
  <si>
    <t>A50ETF招商</t>
  </si>
  <si>
    <t>512260</t>
  </si>
  <si>
    <t>中证500低波动ETF华安</t>
  </si>
  <si>
    <t>512290</t>
  </si>
  <si>
    <t>生物医药ETF国泰</t>
  </si>
  <si>
    <t>512330</t>
  </si>
  <si>
    <t>信息科技ETF南方</t>
  </si>
  <si>
    <t>512360</t>
  </si>
  <si>
    <t>MSCIA股ETF平安</t>
  </si>
  <si>
    <t>512370</t>
  </si>
  <si>
    <t>A500增强ETF华夏</t>
  </si>
  <si>
    <t>512380</t>
  </si>
  <si>
    <t>MSCI中国ETF银华</t>
  </si>
  <si>
    <t>512390</t>
  </si>
  <si>
    <t>中国低波ETF平安</t>
  </si>
  <si>
    <t>512400</t>
  </si>
  <si>
    <t>有色金属ETF南方</t>
  </si>
  <si>
    <t>512430</t>
  </si>
  <si>
    <t>家居家电ETF华泰柏瑞</t>
  </si>
  <si>
    <t>512450</t>
  </si>
  <si>
    <t>畜牧养殖ETF广发</t>
  </si>
  <si>
    <t>512460</t>
  </si>
  <si>
    <t>电池ETF华夏</t>
  </si>
  <si>
    <t>512480</t>
  </si>
  <si>
    <t>半导体ETF国联安</t>
  </si>
  <si>
    <t>512500</t>
  </si>
  <si>
    <t>中证500ETF华夏</t>
  </si>
  <si>
    <t>512510</t>
  </si>
  <si>
    <t>中证500ETF华泰柏瑞</t>
  </si>
  <si>
    <t>512520</t>
  </si>
  <si>
    <t>MSCI中国ETF华泰柏瑞</t>
  </si>
  <si>
    <t>512530</t>
  </si>
  <si>
    <t>沪深300红利ETF建信</t>
  </si>
  <si>
    <t>512550</t>
  </si>
  <si>
    <t>富时A50ETF嘉实</t>
  </si>
  <si>
    <t>512560</t>
  </si>
  <si>
    <t>军工ETF易方达</t>
  </si>
  <si>
    <t>512570</t>
  </si>
  <si>
    <t>证券ETF易方达</t>
  </si>
  <si>
    <t>512580</t>
  </si>
  <si>
    <t>环保ETF广发</t>
  </si>
  <si>
    <t>512600</t>
  </si>
  <si>
    <t>消费ETF嘉实</t>
  </si>
  <si>
    <t>512620</t>
  </si>
  <si>
    <t>农业ETF天弘</t>
  </si>
  <si>
    <t>512630</t>
  </si>
  <si>
    <t>卫星ETF广发</t>
  </si>
  <si>
    <t>512640</t>
  </si>
  <si>
    <t>金融地产ETF嘉实</t>
  </si>
  <si>
    <t>512650</t>
  </si>
  <si>
    <t>长三角ETF汇添富</t>
  </si>
  <si>
    <t>512660</t>
  </si>
  <si>
    <t>军工ETF国泰</t>
  </si>
  <si>
    <t>512670</t>
  </si>
  <si>
    <t>国防ETF鹏华</t>
  </si>
  <si>
    <t>512680</t>
  </si>
  <si>
    <t>军工ETF广发</t>
  </si>
  <si>
    <t>512690</t>
  </si>
  <si>
    <t>酒ETF鹏华</t>
  </si>
  <si>
    <t>512700</t>
  </si>
  <si>
    <t>银行ETF南方</t>
  </si>
  <si>
    <t>512710</t>
  </si>
  <si>
    <t>军工龙头ETF富国</t>
  </si>
  <si>
    <t>512720</t>
  </si>
  <si>
    <t>计算机ETF国泰</t>
  </si>
  <si>
    <t>512730</t>
  </si>
  <si>
    <t>银行ETF鹏华</t>
  </si>
  <si>
    <t>512750</t>
  </si>
  <si>
    <t>基本面50ETF嘉实</t>
  </si>
  <si>
    <t>512760</t>
  </si>
  <si>
    <t>芯片ETF国泰</t>
  </si>
  <si>
    <t>512770</t>
  </si>
  <si>
    <t>战略新兴ETF华夏</t>
  </si>
  <si>
    <t>512800</t>
  </si>
  <si>
    <t>银行ETF华宝</t>
  </si>
  <si>
    <t>512810</t>
  </si>
  <si>
    <t>军工ETF华宝</t>
  </si>
  <si>
    <t>512820</t>
  </si>
  <si>
    <t>银行ETF汇添富</t>
  </si>
  <si>
    <t>512870</t>
  </si>
  <si>
    <t>杭州湾区ETF南华</t>
  </si>
  <si>
    <t>512880</t>
  </si>
  <si>
    <t>证券ETF国泰</t>
  </si>
  <si>
    <t>512890</t>
  </si>
  <si>
    <t>红利低波ETF华泰柏瑞</t>
  </si>
  <si>
    <t>512900</t>
  </si>
  <si>
    <t>证券ETF南方</t>
  </si>
  <si>
    <t>512910</t>
  </si>
  <si>
    <t>A100ETF广发</t>
  </si>
  <si>
    <t>512930</t>
  </si>
  <si>
    <t>AI人工智能ETF平安</t>
  </si>
  <si>
    <t>512940</t>
  </si>
  <si>
    <t>有色ETF华安</t>
  </si>
  <si>
    <t>512950</t>
  </si>
  <si>
    <t>央企改革ETF华夏</t>
  </si>
  <si>
    <t>512960</t>
  </si>
  <si>
    <t>央企结构调整ETF博时</t>
  </si>
  <si>
    <t>512970</t>
  </si>
  <si>
    <t>大湾区ETF平安</t>
  </si>
  <si>
    <t>512980</t>
  </si>
  <si>
    <t>传媒ETF广发</t>
  </si>
  <si>
    <t>512990</t>
  </si>
  <si>
    <t>MSCIA股ETF华夏</t>
  </si>
  <si>
    <t>513000</t>
  </si>
  <si>
    <t>日经225ETF易方达</t>
  </si>
  <si>
    <t>513010</t>
  </si>
  <si>
    <t>恒生科技ETF易方达</t>
  </si>
  <si>
    <t>513020</t>
  </si>
  <si>
    <t>港股科技ETF国泰</t>
  </si>
  <si>
    <t>513030</t>
  </si>
  <si>
    <t>德国ETF华安</t>
  </si>
  <si>
    <t>513040</t>
  </si>
  <si>
    <t>港股通互联网ETF易方达</t>
  </si>
  <si>
    <t>513050</t>
  </si>
  <si>
    <t>中概互联网ETF易方达</t>
  </si>
  <si>
    <t>513060</t>
  </si>
  <si>
    <t>恒生医疗ETF博时</t>
  </si>
  <si>
    <t>513070</t>
  </si>
  <si>
    <t>港股通消费ETF易方达</t>
  </si>
  <si>
    <t>513080</t>
  </si>
  <si>
    <t>法国ETF华安</t>
  </si>
  <si>
    <t>513090</t>
  </si>
  <si>
    <t>香港证券ETF易方达</t>
  </si>
  <si>
    <t>513100</t>
  </si>
  <si>
    <t>纳指ETF国泰</t>
  </si>
  <si>
    <t>513110</t>
  </si>
  <si>
    <t>纳指ETF华泰柏瑞</t>
  </si>
  <si>
    <t>513120</t>
  </si>
  <si>
    <t>港股创新药ETF广发</t>
  </si>
  <si>
    <t>513130</t>
  </si>
  <si>
    <t>恒生科技ETF华泰柏瑞</t>
  </si>
  <si>
    <t>513140</t>
  </si>
  <si>
    <t>港股通金融ETF华泰柏瑞</t>
  </si>
  <si>
    <t>513150</t>
  </si>
  <si>
    <t>港股通科技ETF华泰柏瑞</t>
  </si>
  <si>
    <t>513160</t>
  </si>
  <si>
    <t>港股科技ETF银华</t>
  </si>
  <si>
    <t>513170</t>
  </si>
  <si>
    <t>恒生央企ETF鹏华</t>
  </si>
  <si>
    <t>513180</t>
  </si>
  <si>
    <t>恒生科技ETF华夏</t>
  </si>
  <si>
    <t>513190</t>
  </si>
  <si>
    <t>港股通金融ETF华夏</t>
  </si>
  <si>
    <t>513200</t>
  </si>
  <si>
    <t>港股通医药ETF易方达</t>
  </si>
  <si>
    <t>513210</t>
  </si>
  <si>
    <t>恒生ETF易方达</t>
  </si>
  <si>
    <t>513220</t>
  </si>
  <si>
    <t>中概互联ETF招商</t>
  </si>
  <si>
    <t>513230</t>
  </si>
  <si>
    <t>港股通消费ETF华夏</t>
  </si>
  <si>
    <t>513240</t>
  </si>
  <si>
    <t>港股通信息技术ETF华安</t>
  </si>
  <si>
    <t>513260</t>
  </si>
  <si>
    <t>恒生科技ETF汇添富</t>
  </si>
  <si>
    <t>513280</t>
  </si>
  <si>
    <t>恒生生物科技ETF汇添富</t>
  </si>
  <si>
    <t>513290</t>
  </si>
  <si>
    <t>纳指生物科技ETF汇添富</t>
  </si>
  <si>
    <t>513300</t>
  </si>
  <si>
    <t>纳斯达克ETF华夏</t>
  </si>
  <si>
    <t>513310</t>
  </si>
  <si>
    <t>中韩半导体ETF华泰柏瑞</t>
  </si>
  <si>
    <t>513320</t>
  </si>
  <si>
    <t>港股通新经济ETF易方达</t>
  </si>
  <si>
    <t>513330</t>
  </si>
  <si>
    <t>恒生互联网ETF华夏</t>
  </si>
  <si>
    <t>513350</t>
  </si>
  <si>
    <t>标普油气ETF富国</t>
  </si>
  <si>
    <t>513360</t>
  </si>
  <si>
    <t>教育ETF博时</t>
  </si>
  <si>
    <t>513380</t>
  </si>
  <si>
    <t>恒生科技ETF广发</t>
  </si>
  <si>
    <t>513390</t>
  </si>
  <si>
    <t>纳指100ETF博时</t>
  </si>
  <si>
    <t>513400</t>
  </si>
  <si>
    <t>道琼斯ETF鹏华</t>
  </si>
  <si>
    <t>513500</t>
  </si>
  <si>
    <t>标普500ETF博时</t>
  </si>
  <si>
    <t>513520</t>
  </si>
  <si>
    <t>日经ETF华夏</t>
  </si>
  <si>
    <t>513530</t>
  </si>
  <si>
    <t>港股通红利ETF华泰柏瑞</t>
  </si>
  <si>
    <t>513550</t>
  </si>
  <si>
    <t>港股通50ETF华泰柏瑞</t>
  </si>
  <si>
    <t>513560</t>
  </si>
  <si>
    <t>香港科技ETF兴银</t>
  </si>
  <si>
    <t>513580</t>
  </si>
  <si>
    <t>恒生科技ETF华安</t>
  </si>
  <si>
    <t>513590</t>
  </si>
  <si>
    <t>港股通消费ETF鹏华</t>
  </si>
  <si>
    <t>513600</t>
  </si>
  <si>
    <t>恒生指数ETF南方</t>
  </si>
  <si>
    <t>513620</t>
  </si>
  <si>
    <t>港股医疗ETF银华</t>
  </si>
  <si>
    <t>513630</t>
  </si>
  <si>
    <t>港股低波红利ETF摩根</t>
  </si>
  <si>
    <t>513650</t>
  </si>
  <si>
    <t>标普500ETF南方</t>
  </si>
  <si>
    <t>513660</t>
  </si>
  <si>
    <t>513690</t>
  </si>
  <si>
    <t>港股红利ETF博时</t>
  </si>
  <si>
    <t>513700</t>
  </si>
  <si>
    <t>港股通医药ETF鹏华</t>
  </si>
  <si>
    <t>513720</t>
  </si>
  <si>
    <t>港股互联网ETF国泰</t>
  </si>
  <si>
    <t>513730</t>
  </si>
  <si>
    <t>东南亚科技ETF华泰柏瑞</t>
  </si>
  <si>
    <t>513750</t>
  </si>
  <si>
    <t>港股通非银ETF广发</t>
  </si>
  <si>
    <t>513770</t>
  </si>
  <si>
    <t>港股互联网ETF华宝</t>
  </si>
  <si>
    <t>513780</t>
  </si>
  <si>
    <t>港股创新药ETF景顺</t>
  </si>
  <si>
    <t>513800</t>
  </si>
  <si>
    <t>日本东证指数ETF南方</t>
  </si>
  <si>
    <t>513810</t>
  </si>
  <si>
    <t>港股国企ETF华夏</t>
  </si>
  <si>
    <t>513820</t>
  </si>
  <si>
    <t>港股通红利ETF汇添富</t>
  </si>
  <si>
    <t>513830</t>
  </si>
  <si>
    <t>港股通高股息ETF嘉实</t>
  </si>
  <si>
    <t>513850</t>
  </si>
  <si>
    <t>美国50ETF易方达</t>
  </si>
  <si>
    <t>513860</t>
  </si>
  <si>
    <t>港股通科技ETF海富通</t>
  </si>
  <si>
    <t>513870</t>
  </si>
  <si>
    <t>纳指ETF富国</t>
  </si>
  <si>
    <t>513880</t>
  </si>
  <si>
    <t>日经225ETF华安</t>
  </si>
  <si>
    <t>513890</t>
  </si>
  <si>
    <t>恒生科技ETF摩根</t>
  </si>
  <si>
    <t>513900</t>
  </si>
  <si>
    <t>港股通100ETF华安</t>
  </si>
  <si>
    <t>513910</t>
  </si>
  <si>
    <t>港股通央企红利ETF华夏</t>
  </si>
  <si>
    <t>513920</t>
  </si>
  <si>
    <t>港股通央企红利ETF华安</t>
  </si>
  <si>
    <t>513930</t>
  </si>
  <si>
    <t>恒生生物科技ETF华泰柏瑞</t>
  </si>
  <si>
    <t>513950</t>
  </si>
  <si>
    <t>恒生红利ETF富国</t>
  </si>
  <si>
    <t>513970</t>
  </si>
  <si>
    <t>恒生消费ETF景顺</t>
  </si>
  <si>
    <t>513980</t>
  </si>
  <si>
    <t>港股科技ETF景顺</t>
  </si>
  <si>
    <t>513990</t>
  </si>
  <si>
    <t>港股通ETF招商</t>
  </si>
  <si>
    <t>515000</t>
  </si>
  <si>
    <t>科技ETF华宝</t>
  </si>
  <si>
    <t>515010</t>
  </si>
  <si>
    <t>证券ETF华夏</t>
  </si>
  <si>
    <t>515020</t>
  </si>
  <si>
    <t>银行ETF华夏</t>
  </si>
  <si>
    <t>515030</t>
  </si>
  <si>
    <t>新能源车ETF华夏</t>
  </si>
  <si>
    <t>515050</t>
  </si>
  <si>
    <t>通信ETF华夏</t>
  </si>
  <si>
    <t>515060</t>
  </si>
  <si>
    <t>房地产ETF华夏</t>
  </si>
  <si>
    <t>515070</t>
  </si>
  <si>
    <t>人工智能ETF华夏</t>
  </si>
  <si>
    <t>515080</t>
  </si>
  <si>
    <t>中证红利ETF招商</t>
  </si>
  <si>
    <t>515090</t>
  </si>
  <si>
    <t>可持续发展ETF博时</t>
  </si>
  <si>
    <t>515100</t>
  </si>
  <si>
    <t>红利低波100ETF景顺</t>
  </si>
  <si>
    <t>515110</t>
  </si>
  <si>
    <t>一带一路ETF易方达</t>
  </si>
  <si>
    <t>515120</t>
  </si>
  <si>
    <t>创新药ETF广发</t>
  </si>
  <si>
    <t>515130</t>
  </si>
  <si>
    <t>沪深300ETF博时</t>
  </si>
  <si>
    <t>515150</t>
  </si>
  <si>
    <t>一带一路ETF富国</t>
  </si>
  <si>
    <t>515160</t>
  </si>
  <si>
    <t>MSCI中国ETF招商</t>
  </si>
  <si>
    <t>515170</t>
  </si>
  <si>
    <t>食品饮料ETF华夏</t>
  </si>
  <si>
    <t>515180</t>
  </si>
  <si>
    <t>红利ETF易方达</t>
  </si>
  <si>
    <t>515190</t>
  </si>
  <si>
    <t>中证500ETF中银证券</t>
  </si>
  <si>
    <t>515200</t>
  </si>
  <si>
    <t>创新100ETF申万菱信</t>
  </si>
  <si>
    <t>515210</t>
  </si>
  <si>
    <t>钢铁ETF国泰</t>
  </si>
  <si>
    <t>515220</t>
  </si>
  <si>
    <t>煤炭ETF国泰</t>
  </si>
  <si>
    <t>515230</t>
  </si>
  <si>
    <t>软件ETF国泰</t>
  </si>
  <si>
    <t>515250</t>
  </si>
  <si>
    <t>智能汽车ETF富国</t>
  </si>
  <si>
    <t>515260</t>
  </si>
  <si>
    <t>电子ETF华宝</t>
  </si>
  <si>
    <t>515290</t>
  </si>
  <si>
    <t>银行ETF天弘</t>
  </si>
  <si>
    <t>515300</t>
  </si>
  <si>
    <t>300红利低波ETF嘉实</t>
  </si>
  <si>
    <t>515310</t>
  </si>
  <si>
    <t>沪深300ETF汇添富</t>
  </si>
  <si>
    <t>515320</t>
  </si>
  <si>
    <t>电子50ETF华安</t>
  </si>
  <si>
    <t>515330</t>
  </si>
  <si>
    <t>沪深300ETF天弘</t>
  </si>
  <si>
    <t>515350</t>
  </si>
  <si>
    <t>沪深300ETF民生加银</t>
  </si>
  <si>
    <t>515360</t>
  </si>
  <si>
    <t>沪深300ETF方正富邦</t>
  </si>
  <si>
    <t>515370</t>
  </si>
  <si>
    <t>光伏ETF华夏</t>
  </si>
  <si>
    <t>515380</t>
  </si>
  <si>
    <t>沪深300ETF泰康</t>
  </si>
  <si>
    <t>515390</t>
  </si>
  <si>
    <t>沪深300ETF华安</t>
  </si>
  <si>
    <t>515400</t>
  </si>
  <si>
    <t>大数据ETF富国</t>
  </si>
  <si>
    <t>515450</t>
  </si>
  <si>
    <t>红利低波50ETF南方</t>
  </si>
  <si>
    <t>515460</t>
  </si>
  <si>
    <t>红利质量ETF南方</t>
  </si>
  <si>
    <t>515530</t>
  </si>
  <si>
    <t>中证500ETF泰康</t>
  </si>
  <si>
    <t>515550</t>
  </si>
  <si>
    <t>中证500ETF国联</t>
  </si>
  <si>
    <t>515560</t>
  </si>
  <si>
    <t>证券ETF建信</t>
  </si>
  <si>
    <t>515580</t>
  </si>
  <si>
    <t>科技100ETF华泰柏瑞</t>
  </si>
  <si>
    <t>515590</t>
  </si>
  <si>
    <t>500等权ETF前海开源</t>
  </si>
  <si>
    <t>515600</t>
  </si>
  <si>
    <t>央企创新ETF广发</t>
  </si>
  <si>
    <t>515630</t>
  </si>
  <si>
    <t>证券保险ETF鹏华</t>
  </si>
  <si>
    <t>515640</t>
  </si>
  <si>
    <t>家电ETF华夏</t>
  </si>
  <si>
    <t>515650</t>
  </si>
  <si>
    <t>消费50ETF富国</t>
  </si>
  <si>
    <t>515660</t>
  </si>
  <si>
    <t>沪深300ETF国联安</t>
  </si>
  <si>
    <t>515680</t>
  </si>
  <si>
    <t>央企创新ETF嘉实</t>
  </si>
  <si>
    <t>515700</t>
  </si>
  <si>
    <t>新能源车ETF平安</t>
  </si>
  <si>
    <t>515710</t>
  </si>
  <si>
    <t>食品饮料ETF华宝</t>
  </si>
  <si>
    <t>515720</t>
  </si>
  <si>
    <t>金融科技ETF富国</t>
  </si>
  <si>
    <t>515730</t>
  </si>
  <si>
    <t>家居家电ETF永赢</t>
  </si>
  <si>
    <t>515750</t>
  </si>
  <si>
    <t>科技50ETF富国</t>
  </si>
  <si>
    <t>515760</t>
  </si>
  <si>
    <t>浙江国资ETF华夏</t>
  </si>
  <si>
    <t>515770</t>
  </si>
  <si>
    <t>MSCI中国A股ETF摩根</t>
  </si>
  <si>
    <t>515790</t>
  </si>
  <si>
    <t>光伏ETF华泰柏瑞</t>
  </si>
  <si>
    <t>515800</t>
  </si>
  <si>
    <t>中证800ETF汇添富</t>
  </si>
  <si>
    <t>515810</t>
  </si>
  <si>
    <t>中证800ETF易方达</t>
  </si>
  <si>
    <t>515850</t>
  </si>
  <si>
    <t>证券ETF富国</t>
  </si>
  <si>
    <t>515860</t>
  </si>
  <si>
    <t>科技ETF嘉实</t>
  </si>
  <si>
    <t>515880</t>
  </si>
  <si>
    <t>通信ETF国泰</t>
  </si>
  <si>
    <t>515890</t>
  </si>
  <si>
    <t>红利ETF博时</t>
  </si>
  <si>
    <t>515900</t>
  </si>
  <si>
    <t>央企创新ETF博时</t>
  </si>
  <si>
    <t>515910</t>
  </si>
  <si>
    <t>质量ETF中金</t>
  </si>
  <si>
    <t>515920</t>
  </si>
  <si>
    <t>智能消费ETF博时</t>
  </si>
  <si>
    <t>515950</t>
  </si>
  <si>
    <t>医药50ETF富国</t>
  </si>
  <si>
    <t>515960</t>
  </si>
  <si>
    <t>医药ETF嘉实</t>
  </si>
  <si>
    <t>515970</t>
  </si>
  <si>
    <t>工程机械ETF华夏</t>
  </si>
  <si>
    <t>515980</t>
  </si>
  <si>
    <t>人工智能ETF华富</t>
  </si>
  <si>
    <t>515990</t>
  </si>
  <si>
    <t>一带一路ETF汇添富</t>
  </si>
  <si>
    <t>516000</t>
  </si>
  <si>
    <t>大数据ETF华夏</t>
  </si>
  <si>
    <t>516010</t>
  </si>
  <si>
    <t>游戏ETF国泰</t>
  </si>
  <si>
    <t>516020</t>
  </si>
  <si>
    <t>化工ETF华宝</t>
  </si>
  <si>
    <t>516050</t>
  </si>
  <si>
    <t>科技龙头ETF工银</t>
  </si>
  <si>
    <t>516060</t>
  </si>
  <si>
    <t>创新药ETF工银</t>
  </si>
  <si>
    <t>516070</t>
  </si>
  <si>
    <t>低碳ETF易方达</t>
  </si>
  <si>
    <t>516080</t>
  </si>
  <si>
    <t>创新药ETF易方达</t>
  </si>
  <si>
    <t>516090</t>
  </si>
  <si>
    <t>新能源ETF易方达</t>
  </si>
  <si>
    <t>516100</t>
  </si>
  <si>
    <t>金融科技ETF华夏</t>
  </si>
  <si>
    <t>516110</t>
  </si>
  <si>
    <t>汽车ETF国泰</t>
  </si>
  <si>
    <t>516120</t>
  </si>
  <si>
    <t>化工ETF富国</t>
  </si>
  <si>
    <t>516130</t>
  </si>
  <si>
    <t>消费龙头ETF华宝</t>
  </si>
  <si>
    <t>516150</t>
  </si>
  <si>
    <t>稀土ETF嘉实</t>
  </si>
  <si>
    <t>516160</t>
  </si>
  <si>
    <t>新能源ETF南方</t>
  </si>
  <si>
    <t>516180</t>
  </si>
  <si>
    <t>光伏ETF平安</t>
  </si>
  <si>
    <t>516190</t>
  </si>
  <si>
    <t>传媒ETF华夏</t>
  </si>
  <si>
    <t>516200</t>
  </si>
  <si>
    <t>证券ETF华安</t>
  </si>
  <si>
    <t>516210</t>
  </si>
  <si>
    <t>银行ETF华安</t>
  </si>
  <si>
    <t>516220</t>
  </si>
  <si>
    <t>化工ETF国泰</t>
  </si>
  <si>
    <t>516230</t>
  </si>
  <si>
    <t>光伏ETF招商</t>
  </si>
  <si>
    <t>516250</t>
  </si>
  <si>
    <t>工程机械ETF富国</t>
  </si>
  <si>
    <t>516260</t>
  </si>
  <si>
    <t>物联网ETF华夏</t>
  </si>
  <si>
    <t>516270</t>
  </si>
  <si>
    <t>新能源ETF华安</t>
  </si>
  <si>
    <t>516290</t>
  </si>
  <si>
    <t>光伏ETF汇添富</t>
  </si>
  <si>
    <t>516300</t>
  </si>
  <si>
    <t>中证1000ETF华泰柏瑞</t>
  </si>
  <si>
    <t>516310</t>
  </si>
  <si>
    <t>银行ETF易方达</t>
  </si>
  <si>
    <t>516320</t>
  </si>
  <si>
    <t>高端装备ETF华夏</t>
  </si>
  <si>
    <t>516330</t>
  </si>
  <si>
    <t>物联网ETF华泰柏瑞</t>
  </si>
  <si>
    <t>516350</t>
  </si>
  <si>
    <t>芯片ETF易方达</t>
  </si>
  <si>
    <t>516360</t>
  </si>
  <si>
    <t>新材料ETF华宝</t>
  </si>
  <si>
    <t>516370</t>
  </si>
  <si>
    <t>电力ETF汇添富</t>
  </si>
  <si>
    <t>516380</t>
  </si>
  <si>
    <t>智能电动车ETF华宝</t>
  </si>
  <si>
    <t>516390</t>
  </si>
  <si>
    <t>新能源车ETF汇添富</t>
  </si>
  <si>
    <t>516460</t>
  </si>
  <si>
    <t>现金流ETF800鹏华</t>
  </si>
  <si>
    <t>516500</t>
  </si>
  <si>
    <t>生物科技ETF华夏</t>
  </si>
  <si>
    <t>516510</t>
  </si>
  <si>
    <t>云计算ETF易方达</t>
  </si>
  <si>
    <t>516520</t>
  </si>
  <si>
    <t>智能驾驶ETF华泰柏瑞</t>
  </si>
  <si>
    <t>516530</t>
  </si>
  <si>
    <t>物流ETF银华</t>
  </si>
  <si>
    <t>516550</t>
  </si>
  <si>
    <t>农业ETF嘉实</t>
  </si>
  <si>
    <t>516560</t>
  </si>
  <si>
    <t>养老ETF华宝</t>
  </si>
  <si>
    <t>516570</t>
  </si>
  <si>
    <t>化工行业ETF易方达</t>
  </si>
  <si>
    <t>516580</t>
  </si>
  <si>
    <t>新能源ETF博时</t>
  </si>
  <si>
    <t>516590</t>
  </si>
  <si>
    <t>智能汽车ETF易方达</t>
  </si>
  <si>
    <t>516600</t>
  </si>
  <si>
    <t>消费服务ETF工银</t>
  </si>
  <si>
    <t>516610</t>
  </si>
  <si>
    <t>医疗设备ETF大成</t>
  </si>
  <si>
    <t>516620</t>
  </si>
  <si>
    <t>影视ETF国泰</t>
  </si>
  <si>
    <t>516630</t>
  </si>
  <si>
    <t>云计算ETF华夏</t>
  </si>
  <si>
    <t>516640</t>
  </si>
  <si>
    <t>芯片ETF富国</t>
  </si>
  <si>
    <t>516650</t>
  </si>
  <si>
    <t>有色金属ETF华夏</t>
  </si>
  <si>
    <t>516660</t>
  </si>
  <si>
    <t>新能源车ETF华安</t>
  </si>
  <si>
    <t>516670</t>
  </si>
  <si>
    <t>畜牧养殖ETF招商</t>
  </si>
  <si>
    <t>516700</t>
  </si>
  <si>
    <t>大数据ETF华宝</t>
  </si>
  <si>
    <t>516710</t>
  </si>
  <si>
    <t>新材料ETF华夏</t>
  </si>
  <si>
    <t>516720</t>
  </si>
  <si>
    <t>ESGETF浦银</t>
  </si>
  <si>
    <t>516730</t>
  </si>
  <si>
    <t>证券ETF浦银</t>
  </si>
  <si>
    <t>516750</t>
  </si>
  <si>
    <t>建材ETF富国</t>
  </si>
  <si>
    <t>516760</t>
  </si>
  <si>
    <t>养殖ETF平安</t>
  </si>
  <si>
    <t>516770</t>
  </si>
  <si>
    <t>游戏ETF华泰柏瑞</t>
  </si>
  <si>
    <t>516780</t>
  </si>
  <si>
    <t>稀土ETF华泰柏瑞</t>
  </si>
  <si>
    <t>516790</t>
  </si>
  <si>
    <t>医疗ETF华泰柏瑞</t>
  </si>
  <si>
    <t>516800</t>
  </si>
  <si>
    <t>智能制造ETF华宝</t>
  </si>
  <si>
    <t>516810</t>
  </si>
  <si>
    <t>农业ETF华夏</t>
  </si>
  <si>
    <t>516820</t>
  </si>
  <si>
    <t>医疗创新ETF平安</t>
  </si>
  <si>
    <t>516830</t>
  </si>
  <si>
    <t>沪深300ESGETF富国</t>
  </si>
  <si>
    <t>516840</t>
  </si>
  <si>
    <t>汽车ETF南方</t>
  </si>
  <si>
    <t>516850</t>
  </si>
  <si>
    <t>新能源ETF华夏</t>
  </si>
  <si>
    <t>516860</t>
  </si>
  <si>
    <t>金融科技ETF博时</t>
  </si>
  <si>
    <t>516880</t>
  </si>
  <si>
    <t>光伏ETF银华</t>
  </si>
  <si>
    <t>516890</t>
  </si>
  <si>
    <t>新材料ETF平安</t>
  </si>
  <si>
    <t>516900</t>
  </si>
  <si>
    <t>食品饮料ETF华安</t>
  </si>
  <si>
    <t>516910</t>
  </si>
  <si>
    <t>物流ETF富国</t>
  </si>
  <si>
    <t>516920</t>
  </si>
  <si>
    <t>芯片ETF汇添富</t>
  </si>
  <si>
    <t>516930</t>
  </si>
  <si>
    <t>生物科技ETF民生加银</t>
  </si>
  <si>
    <t>516950</t>
  </si>
  <si>
    <t>基建ETF银华</t>
  </si>
  <si>
    <t>516960</t>
  </si>
  <si>
    <t>机械ETF国泰</t>
  </si>
  <si>
    <t>516970</t>
  </si>
  <si>
    <t>基建ETF广发</t>
  </si>
  <si>
    <t>516980</t>
  </si>
  <si>
    <t>证券先锋ETF华富</t>
  </si>
  <si>
    <t>517000</t>
  </si>
  <si>
    <t>沪港深500ETF银华</t>
  </si>
  <si>
    <t>517010</t>
  </si>
  <si>
    <t>沪港深500ETF易方达</t>
  </si>
  <si>
    <t>517030</t>
  </si>
  <si>
    <t>沪港深300ETF易方达</t>
  </si>
  <si>
    <t>517050</t>
  </si>
  <si>
    <t>互联网ETF华泰柏瑞</t>
  </si>
  <si>
    <t>517080</t>
  </si>
  <si>
    <t>沪港深500ETF汇添富</t>
  </si>
  <si>
    <t>517090</t>
  </si>
  <si>
    <t>央企共赢ETF国泰</t>
  </si>
  <si>
    <t>517100</t>
  </si>
  <si>
    <t>沪港深500ETF富国</t>
  </si>
  <si>
    <t>517110</t>
  </si>
  <si>
    <t>创新药ETF国泰</t>
  </si>
  <si>
    <t>517120</t>
  </si>
  <si>
    <t>创新药ETF华泰柏瑞</t>
  </si>
  <si>
    <t>517130</t>
  </si>
  <si>
    <t>云计算ETF嘉实</t>
  </si>
  <si>
    <t>517160</t>
  </si>
  <si>
    <t>长江保护ETF南方</t>
  </si>
  <si>
    <t>517170</t>
  </si>
  <si>
    <t>沪港深500ETF华夏</t>
  </si>
  <si>
    <t>517180</t>
  </si>
  <si>
    <t>中国国企ETF南方</t>
  </si>
  <si>
    <t>517200</t>
  </si>
  <si>
    <t>互联网ETF嘉实</t>
  </si>
  <si>
    <t>517300</t>
  </si>
  <si>
    <t>沪港深300ETF国寿</t>
  </si>
  <si>
    <t>517330</t>
  </si>
  <si>
    <t>长江保护ETF易方达</t>
  </si>
  <si>
    <t>517350</t>
  </si>
  <si>
    <t>沪港深科技ETF广发</t>
  </si>
  <si>
    <t>517360</t>
  </si>
  <si>
    <t>沪港深科技ETF华安</t>
  </si>
  <si>
    <t>517380</t>
  </si>
  <si>
    <t>创新药ETF天弘</t>
  </si>
  <si>
    <t>517390</t>
  </si>
  <si>
    <t>云计算ETF天弘</t>
  </si>
  <si>
    <t>517400</t>
  </si>
  <si>
    <t>黄金股ETF国泰</t>
  </si>
  <si>
    <t>517520</t>
  </si>
  <si>
    <t>黄金股ETF永赢</t>
  </si>
  <si>
    <t>517550</t>
  </si>
  <si>
    <t>沪港深消费龙头ETF招商</t>
  </si>
  <si>
    <t>517660</t>
  </si>
  <si>
    <t>物联网ETF天弘</t>
  </si>
  <si>
    <t>517770</t>
  </si>
  <si>
    <t>游戏传媒ETF浦银</t>
  </si>
  <si>
    <t>517800</t>
  </si>
  <si>
    <t>人工智能50ETF方正富邦</t>
  </si>
  <si>
    <t>517850</t>
  </si>
  <si>
    <t>张江ETF汇添富</t>
  </si>
  <si>
    <t>517880</t>
  </si>
  <si>
    <t>品牌消费ETF华泰柏瑞</t>
  </si>
  <si>
    <t>517900</t>
  </si>
  <si>
    <t>银行AH优选ETF招商</t>
  </si>
  <si>
    <t>517950</t>
  </si>
  <si>
    <t>沪深港科技50ETF交银</t>
  </si>
  <si>
    <t>517990</t>
  </si>
  <si>
    <t>沪港深医药ETF招商</t>
  </si>
  <si>
    <t>518600</t>
  </si>
  <si>
    <t>金ETF广发</t>
  </si>
  <si>
    <t>518660</t>
  </si>
  <si>
    <t>黄金ETF工银</t>
  </si>
  <si>
    <t>518680</t>
  </si>
  <si>
    <t>金ETF富国</t>
  </si>
  <si>
    <t>518800</t>
  </si>
  <si>
    <t>黄金ETF国泰</t>
  </si>
  <si>
    <t>518850</t>
  </si>
  <si>
    <t>黄金ETF华夏</t>
  </si>
  <si>
    <t>518860</t>
  </si>
  <si>
    <t>上海金ETF建信</t>
  </si>
  <si>
    <t>518880</t>
  </si>
  <si>
    <t>黄金ETF华安</t>
  </si>
  <si>
    <t>518890</t>
  </si>
  <si>
    <t>上海金ETF中银</t>
  </si>
  <si>
    <t>520500</t>
  </si>
  <si>
    <t>恒生创新药ETF华泰柏瑞</t>
  </si>
  <si>
    <t>520510</t>
  </si>
  <si>
    <t>港股通医疗ETF华夏</t>
  </si>
  <si>
    <t>520520</t>
  </si>
  <si>
    <t>恒生消费ETF华泰柏瑞</t>
  </si>
  <si>
    <t>520530</t>
  </si>
  <si>
    <t>港股通科技ETF东财</t>
  </si>
  <si>
    <t>520550</t>
  </si>
  <si>
    <t>港股红利低波ETF招商</t>
  </si>
  <si>
    <t>520560</t>
  </si>
  <si>
    <t>香港大盘30ETF华宝</t>
  </si>
  <si>
    <t>520570</t>
  </si>
  <si>
    <t>恒生科技ETF南方</t>
  </si>
  <si>
    <t>520580</t>
  </si>
  <si>
    <t>新兴亚洲ETF招商</t>
  </si>
  <si>
    <t>520590</t>
  </si>
  <si>
    <t>恒生科技ETF鹏华</t>
  </si>
  <si>
    <t>520600</t>
  </si>
  <si>
    <t>港股通汽车ETF广发</t>
  </si>
  <si>
    <t>520610</t>
  </si>
  <si>
    <t>港股红利低波ETF银华</t>
  </si>
  <si>
    <t>520620</t>
  </si>
  <si>
    <t>恒生消费ETF嘉实</t>
  </si>
  <si>
    <t>520630</t>
  </si>
  <si>
    <t>港股通互联网ETF广发</t>
  </si>
  <si>
    <t>520650</t>
  </si>
  <si>
    <t>港股通互联网ETF南方</t>
  </si>
  <si>
    <t>520660</t>
  </si>
  <si>
    <t>港股通央企红利ETF南方</t>
  </si>
  <si>
    <t>520670</t>
  </si>
  <si>
    <t>港股通科技ETF嘉实</t>
  </si>
  <si>
    <t>520680</t>
  </si>
  <si>
    <t>港股通汽车ETF南方</t>
  </si>
  <si>
    <t>520690</t>
  </si>
  <si>
    <t>港股创新药ETF博时</t>
  </si>
  <si>
    <t>520700</t>
  </si>
  <si>
    <t>港股通创新药ETF万家</t>
  </si>
  <si>
    <t>520710</t>
  </si>
  <si>
    <t>港股通信息技术ETF广发</t>
  </si>
  <si>
    <t>520720</t>
  </si>
  <si>
    <t>港股汽车ETF国泰</t>
  </si>
  <si>
    <t>520730</t>
  </si>
  <si>
    <t>港股通汽车ETF万家</t>
  </si>
  <si>
    <t>520760</t>
  </si>
  <si>
    <t>恒生生物科技ETF摩根</t>
  </si>
  <si>
    <t>520770</t>
  </si>
  <si>
    <t>恒指港股通ETF建信</t>
  </si>
  <si>
    <t>520780</t>
  </si>
  <si>
    <t>港股通汽车ETF华宝</t>
  </si>
  <si>
    <t>520790</t>
  </si>
  <si>
    <t>港股通互联网ETF兴业</t>
  </si>
  <si>
    <t>520810</t>
  </si>
  <si>
    <t>港股通红利ETF易方达</t>
  </si>
  <si>
    <t>520820</t>
  </si>
  <si>
    <t>恒指港股通ETF汇添富</t>
  </si>
  <si>
    <t>520830</t>
  </si>
  <si>
    <t>沙特ETF华泰柏瑞</t>
  </si>
  <si>
    <t>520840</t>
  </si>
  <si>
    <t>港股通恒生科技ETF华安</t>
  </si>
  <si>
    <t>520850</t>
  </si>
  <si>
    <t>港股通医疗ETF易方达</t>
  </si>
  <si>
    <t>520860</t>
  </si>
  <si>
    <t>港股通科技ETF富国</t>
  </si>
  <si>
    <t>520870</t>
  </si>
  <si>
    <t>巴西ETF易方达</t>
  </si>
  <si>
    <t>520880</t>
  </si>
  <si>
    <t>港股通创新药ETF华宝</t>
  </si>
  <si>
    <t>520890</t>
  </si>
  <si>
    <t>港股通红利低波ETF华泰柏瑞</t>
  </si>
  <si>
    <t>520900</t>
  </si>
  <si>
    <t>港股通红利ETF广发</t>
  </si>
  <si>
    <t>520910</t>
  </si>
  <si>
    <t>港股通互联网ETF华夏</t>
  </si>
  <si>
    <t>520920</t>
  </si>
  <si>
    <t>恒生科技ETF天弘</t>
  </si>
  <si>
    <t>520930</t>
  </si>
  <si>
    <t>恒生生物科技ETF国泰</t>
  </si>
  <si>
    <t>520940</t>
  </si>
  <si>
    <t>港股通恒生ETF华安</t>
  </si>
  <si>
    <t>520950</t>
  </si>
  <si>
    <t>港股通50ETF摩根</t>
  </si>
  <si>
    <t>520960</t>
  </si>
  <si>
    <t>恒指港股通ETF嘉实</t>
  </si>
  <si>
    <t>520970</t>
  </si>
  <si>
    <t>港股通创新药ETF嘉实</t>
  </si>
  <si>
    <t>520980</t>
  </si>
  <si>
    <t>港股通科技ETF汇添富</t>
  </si>
  <si>
    <t>520990</t>
  </si>
  <si>
    <t>港股央企红利ETF景顺</t>
  </si>
  <si>
    <t>526000</t>
  </si>
  <si>
    <t>港股通信息技术ETF华夏</t>
  </si>
  <si>
    <t>526010</t>
  </si>
  <si>
    <t>港股通医疗ETF汇添富</t>
  </si>
  <si>
    <t>526050</t>
  </si>
  <si>
    <t>港股通信息技术ETF招商</t>
  </si>
  <si>
    <t>526070</t>
  </si>
  <si>
    <t>恒指港股通ETF博时</t>
  </si>
  <si>
    <t>530000</t>
  </si>
  <si>
    <t>上证50ETF天弘</t>
  </si>
  <si>
    <t>530050</t>
  </si>
  <si>
    <t>上证50ETF东财</t>
  </si>
  <si>
    <t>530060</t>
  </si>
  <si>
    <t>上证指数ETF易方达</t>
  </si>
  <si>
    <t>530080</t>
  </si>
  <si>
    <t>上证180ETF天弘</t>
  </si>
  <si>
    <t>530100</t>
  </si>
  <si>
    <t>上证580ETF易方达</t>
  </si>
  <si>
    <t>530180</t>
  </si>
  <si>
    <t>上证180ETF易方达</t>
  </si>
  <si>
    <t>530280</t>
  </si>
  <si>
    <t>上证180ETF平安</t>
  </si>
  <si>
    <t>530300</t>
  </si>
  <si>
    <t>上证180ETF华泰柏瑞</t>
  </si>
  <si>
    <t>530380</t>
  </si>
  <si>
    <t>上证380ETF易方达</t>
  </si>
  <si>
    <t>530530</t>
  </si>
  <si>
    <t>上证580ETF华夏</t>
  </si>
  <si>
    <t>530580</t>
  </si>
  <si>
    <t>上证180ETF南方</t>
  </si>
  <si>
    <t>530680</t>
  </si>
  <si>
    <t>上证180ETF兴业</t>
  </si>
  <si>
    <t>530800</t>
  </si>
  <si>
    <t>上证180ETF银华</t>
  </si>
  <si>
    <t>530880</t>
  </si>
  <si>
    <t>红利国企ETF银河</t>
  </si>
  <si>
    <t>551000</t>
  </si>
  <si>
    <t>科创债ETF博时</t>
  </si>
  <si>
    <t>551030</t>
  </si>
  <si>
    <t>科创债ETF鹏华</t>
  </si>
  <si>
    <t>551060</t>
  </si>
  <si>
    <t>科创债ETF中银</t>
  </si>
  <si>
    <t>551300</t>
  </si>
  <si>
    <t>科创债ETF摩根</t>
  </si>
  <si>
    <t>551500</t>
  </si>
  <si>
    <t>科创债ETF易方达</t>
  </si>
  <si>
    <t>551510</t>
  </si>
  <si>
    <t>科创债ETF华泰柏瑞</t>
  </si>
  <si>
    <t>551520</t>
  </si>
  <si>
    <t>科创债ETF汇添富</t>
  </si>
  <si>
    <t>551550</t>
  </si>
  <si>
    <t>科创债ETF华夏</t>
  </si>
  <si>
    <t>551560</t>
  </si>
  <si>
    <t>科创债ETF兴业</t>
  </si>
  <si>
    <t>551580</t>
  </si>
  <si>
    <t>科创债ETF泰康</t>
  </si>
  <si>
    <t>551800</t>
  </si>
  <si>
    <t>科创债ETF国泰</t>
  </si>
  <si>
    <t>551900</t>
  </si>
  <si>
    <t>科创债ETF招商</t>
  </si>
  <si>
    <t>560000</t>
  </si>
  <si>
    <t>智能电车ETF浦银</t>
  </si>
  <si>
    <t>560010</t>
  </si>
  <si>
    <t>中证1000ETF广发</t>
  </si>
  <si>
    <t>560020</t>
  </si>
  <si>
    <t>红利ETF汇添富</t>
  </si>
  <si>
    <t>560030</t>
  </si>
  <si>
    <t>800价值ETF汇添富</t>
  </si>
  <si>
    <t>560050</t>
  </si>
  <si>
    <t>中国A50ETF汇添富</t>
  </si>
  <si>
    <t>560060</t>
  </si>
  <si>
    <t>碳中和ETF汇添富</t>
  </si>
  <si>
    <t>560070</t>
  </si>
  <si>
    <t>央企红利ETF汇添富</t>
  </si>
  <si>
    <t>560080</t>
  </si>
  <si>
    <t>中药ETF汇添富</t>
  </si>
  <si>
    <t>560090</t>
  </si>
  <si>
    <t>证券ETF汇添富</t>
  </si>
  <si>
    <t>560100</t>
  </si>
  <si>
    <t>中证500增强ETF南方</t>
  </si>
  <si>
    <t>560110</t>
  </si>
  <si>
    <t>中证1000ETF汇添富</t>
  </si>
  <si>
    <t>560120</t>
  </si>
  <si>
    <t>中证500现金流ETF华夏</t>
  </si>
  <si>
    <t>560130</t>
  </si>
  <si>
    <t>食品ETF鹏华</t>
  </si>
  <si>
    <t>560150</t>
  </si>
  <si>
    <t>红利低波ETF泰康</t>
  </si>
  <si>
    <t>560160</t>
  </si>
  <si>
    <t>食品ETF易方达</t>
  </si>
  <si>
    <t>560170</t>
  </si>
  <si>
    <t>央企科技ETF南方</t>
  </si>
  <si>
    <t>560180</t>
  </si>
  <si>
    <t>沪深300ESGETF南方</t>
  </si>
  <si>
    <t>560190</t>
  </si>
  <si>
    <t>公用事业ETF鹏华</t>
  </si>
  <si>
    <t>560210</t>
  </si>
  <si>
    <t>农牧渔ETF景顺</t>
  </si>
  <si>
    <t>560220</t>
  </si>
  <si>
    <t>中证2000ETF广发</t>
  </si>
  <si>
    <t>560230</t>
  </si>
  <si>
    <t>光伏ETF富国</t>
  </si>
  <si>
    <t>560250</t>
  </si>
  <si>
    <t>红利质量ETF富国</t>
  </si>
  <si>
    <t>560260</t>
  </si>
  <si>
    <t>医疗ETF广发</t>
  </si>
  <si>
    <t>560270</t>
  </si>
  <si>
    <t>电力ETF工银</t>
  </si>
  <si>
    <t>560280</t>
  </si>
  <si>
    <t>工程机械ETF广发</t>
  </si>
  <si>
    <t>560290</t>
  </si>
  <si>
    <t>有色ETF景顺</t>
  </si>
  <si>
    <t>560300</t>
  </si>
  <si>
    <t>电信ETF汇添富</t>
  </si>
  <si>
    <t>560310</t>
  </si>
  <si>
    <t>光伏ETF博时</t>
  </si>
  <si>
    <t>560320</t>
  </si>
  <si>
    <t>食品ETF富国</t>
  </si>
  <si>
    <t>560330</t>
  </si>
  <si>
    <t>沪深300价值ETF申万菱信</t>
  </si>
  <si>
    <t>560350</t>
  </si>
  <si>
    <t>中证A50ETF摩根</t>
  </si>
  <si>
    <t>560360</t>
  </si>
  <si>
    <t>软件ETF万家</t>
  </si>
  <si>
    <t>560370</t>
  </si>
  <si>
    <t>红利质量ETF易方达</t>
  </si>
  <si>
    <t>560380</t>
  </si>
  <si>
    <t>A100ETF南方</t>
  </si>
  <si>
    <t>560390</t>
  </si>
  <si>
    <t>电网设备ETF易方达</t>
  </si>
  <si>
    <t>560400</t>
  </si>
  <si>
    <t>证券ETF华泰柏瑞</t>
  </si>
  <si>
    <t>560410</t>
  </si>
  <si>
    <t>电池ETF鹏华</t>
  </si>
  <si>
    <t>560420</t>
  </si>
  <si>
    <t>食品ETF前海开源</t>
  </si>
  <si>
    <t>560450</t>
  </si>
  <si>
    <t>电力ETF天弘</t>
  </si>
  <si>
    <t>560460</t>
  </si>
  <si>
    <t>电力ETF平安</t>
  </si>
  <si>
    <t>560470</t>
  </si>
  <si>
    <t>有色ETF易方达</t>
  </si>
  <si>
    <t>560480</t>
  </si>
  <si>
    <t>电力ETF招商</t>
  </si>
  <si>
    <t>560490</t>
  </si>
  <si>
    <t>工业有色ETF华泰柏瑞</t>
  </si>
  <si>
    <t>560500</t>
  </si>
  <si>
    <t>500质量成长ETF鹏扬</t>
  </si>
  <si>
    <t>560510</t>
  </si>
  <si>
    <t>中证A500ETF泰康</t>
  </si>
  <si>
    <t>560520</t>
  </si>
  <si>
    <t>红利低波100ETF大成</t>
  </si>
  <si>
    <t>560530</t>
  </si>
  <si>
    <t>中证A500ETF摩根</t>
  </si>
  <si>
    <t>560550</t>
  </si>
  <si>
    <t>碳中和ETF广发</t>
  </si>
  <si>
    <t>560560</t>
  </si>
  <si>
    <t>碳中和ETF泰康</t>
  </si>
  <si>
    <t>560570</t>
  </si>
  <si>
    <t>A500红利ETF国联安</t>
  </si>
  <si>
    <t>560580</t>
  </si>
  <si>
    <t>电力ETF南方</t>
  </si>
  <si>
    <t>560590</t>
  </si>
  <si>
    <t>中证1000增强ETF鹏华</t>
  </si>
  <si>
    <t>560610</t>
  </si>
  <si>
    <t>A500ETF招商</t>
  </si>
  <si>
    <t>560620</t>
  </si>
  <si>
    <t>公用事业ETF万家</t>
  </si>
  <si>
    <t>560630</t>
  </si>
  <si>
    <t>机器人ETF万家</t>
  </si>
  <si>
    <t>560650</t>
  </si>
  <si>
    <t>核心50ETF民生加银</t>
  </si>
  <si>
    <t>560660</t>
  </si>
  <si>
    <t>云计算50ETF新华</t>
  </si>
  <si>
    <t>560670</t>
  </si>
  <si>
    <t>银行ETF华泰柏瑞</t>
  </si>
  <si>
    <t>560680</t>
  </si>
  <si>
    <t>消费ETF广发</t>
  </si>
  <si>
    <t>560690</t>
  </si>
  <si>
    <t>电信ETF鹏华</t>
  </si>
  <si>
    <t>560700</t>
  </si>
  <si>
    <t>央企红利ETF广发</t>
  </si>
  <si>
    <t>560710</t>
  </si>
  <si>
    <t>船舶ETF富国</t>
  </si>
  <si>
    <t>560720</t>
  </si>
  <si>
    <t>红利低波100ETF工银</t>
  </si>
  <si>
    <t>560750</t>
  </si>
  <si>
    <t>A500ETF申万菱信</t>
  </si>
  <si>
    <t>560770</t>
  </si>
  <si>
    <t>机器人ETF招商</t>
  </si>
  <si>
    <t>560780</t>
  </si>
  <si>
    <t>半导体设备ETF广发</t>
  </si>
  <si>
    <t>560790</t>
  </si>
  <si>
    <t>软件ETF鹏华</t>
  </si>
  <si>
    <t>560800</t>
  </si>
  <si>
    <t>数字经济ETF鹏扬</t>
  </si>
  <si>
    <t>560810</t>
  </si>
  <si>
    <t>央企ESGETF融通</t>
  </si>
  <si>
    <t>560820</t>
  </si>
  <si>
    <t>中证A50ETF新华</t>
  </si>
  <si>
    <t>560830</t>
  </si>
  <si>
    <t>电力ETF华夏</t>
  </si>
  <si>
    <t>560850</t>
  </si>
  <si>
    <t>信创ETF汇添富</t>
  </si>
  <si>
    <t>560860</t>
  </si>
  <si>
    <t>工业有色ETF万家</t>
  </si>
  <si>
    <t>560870</t>
  </si>
  <si>
    <t>工业有色ETF中银</t>
  </si>
  <si>
    <t>560880</t>
  </si>
  <si>
    <t>家电ETF广发</t>
  </si>
  <si>
    <t>560900</t>
  </si>
  <si>
    <t>创新药ETF摩根</t>
  </si>
  <si>
    <t>560910</t>
  </si>
  <si>
    <t>电池ETF华泰柏瑞</t>
  </si>
  <si>
    <t>560930</t>
  </si>
  <si>
    <t>电力ETF易方达</t>
  </si>
  <si>
    <t>560950</t>
  </si>
  <si>
    <t>中证500增强ETF汇添富</t>
  </si>
  <si>
    <t>560970</t>
  </si>
  <si>
    <t>工业有色ETF平安</t>
  </si>
  <si>
    <t>560980</t>
  </si>
  <si>
    <t>光伏龙头ETF广发</t>
  </si>
  <si>
    <t>560990</t>
  </si>
  <si>
    <t>科技先锋ETF中金</t>
  </si>
  <si>
    <t>561000</t>
  </si>
  <si>
    <t>沪深300增强ETF华安</t>
  </si>
  <si>
    <t>561010</t>
  </si>
  <si>
    <t>软件ETF华安</t>
  </si>
  <si>
    <t>561030</t>
  </si>
  <si>
    <t>工程机械ETF华泰柏瑞</t>
  </si>
  <si>
    <t>561050</t>
  </si>
  <si>
    <t>稀有金属ETF易方达</t>
  </si>
  <si>
    <t>561060</t>
  </si>
  <si>
    <t>国企红利ETF华安</t>
  </si>
  <si>
    <t>561080</t>
  </si>
  <si>
    <t>全指现金流ETF华安</t>
  </si>
  <si>
    <t>561090</t>
  </si>
  <si>
    <t>A500增强ETF华安</t>
  </si>
  <si>
    <t>561100</t>
  </si>
  <si>
    <t>消费电子ETF富国</t>
  </si>
  <si>
    <t>561120</t>
  </si>
  <si>
    <t>家电ETF富国</t>
  </si>
  <si>
    <t>561130</t>
  </si>
  <si>
    <t>国货ETF富国</t>
  </si>
  <si>
    <t>561160</t>
  </si>
  <si>
    <t>电池ETF富国</t>
  </si>
  <si>
    <t>561170</t>
  </si>
  <si>
    <t>绿色电力ETF富国</t>
  </si>
  <si>
    <t>561180</t>
  </si>
  <si>
    <t>A100ETF富国</t>
  </si>
  <si>
    <t>561190</t>
  </si>
  <si>
    <t>碳中和ETF富国</t>
  </si>
  <si>
    <t>561200</t>
  </si>
  <si>
    <t>中证A100ETF工银</t>
  </si>
  <si>
    <t>561220</t>
  </si>
  <si>
    <t>数字经济ETF工银</t>
  </si>
  <si>
    <t>561230</t>
  </si>
  <si>
    <t>中证A50ETF工银</t>
  </si>
  <si>
    <t>561260</t>
  </si>
  <si>
    <t>能源ETF工银</t>
  </si>
  <si>
    <t>561280</t>
  </si>
  <si>
    <t>中证1000增强ETF工银</t>
  </si>
  <si>
    <t>561300</t>
  </si>
  <si>
    <t>沪深300增强ETF国泰</t>
  </si>
  <si>
    <t>561310</t>
  </si>
  <si>
    <t>消电ETF国泰</t>
  </si>
  <si>
    <t>561320</t>
  </si>
  <si>
    <t>交运ETF国泰</t>
  </si>
  <si>
    <t>561330</t>
  </si>
  <si>
    <t>矿业ETF国泰</t>
  </si>
  <si>
    <t>561350</t>
  </si>
  <si>
    <t>中证500ETF国泰</t>
  </si>
  <si>
    <t>561360</t>
  </si>
  <si>
    <t>石油ETF国泰</t>
  </si>
  <si>
    <t>561370</t>
  </si>
  <si>
    <t>中证2000ETF国泰</t>
  </si>
  <si>
    <t>561380</t>
  </si>
  <si>
    <t>电网设备ETF国泰</t>
  </si>
  <si>
    <t>561500</t>
  </si>
  <si>
    <t>漂亮50ETF华泰柏瑞</t>
  </si>
  <si>
    <t>561510</t>
  </si>
  <si>
    <t>中药ETF华泰柏瑞</t>
  </si>
  <si>
    <t>561550</t>
  </si>
  <si>
    <t>中证500增强ETF华泰柏瑞</t>
  </si>
  <si>
    <t>561560</t>
  </si>
  <si>
    <t>电力ETF华泰柏瑞</t>
  </si>
  <si>
    <t>561570</t>
  </si>
  <si>
    <t>油气ETF华泰柏瑞</t>
  </si>
  <si>
    <t>561580</t>
  </si>
  <si>
    <t>央企红利ETF华泰柏瑞</t>
  </si>
  <si>
    <t>561590</t>
  </si>
  <si>
    <t>中证1000增强ETF华泰柏瑞</t>
  </si>
  <si>
    <t>561600</t>
  </si>
  <si>
    <t>消费电子ETF平安</t>
  </si>
  <si>
    <t>561660</t>
  </si>
  <si>
    <t>通用航空ETF平安</t>
  </si>
  <si>
    <t>561680</t>
  </si>
  <si>
    <t>A500红利低波ETF平安</t>
  </si>
  <si>
    <t>561700</t>
  </si>
  <si>
    <t>电力ETF博时</t>
  </si>
  <si>
    <t>561750</t>
  </si>
  <si>
    <t>A50ETF博时</t>
  </si>
  <si>
    <t>561760</t>
  </si>
  <si>
    <t>油气ETF博时</t>
  </si>
  <si>
    <t>561770</t>
  </si>
  <si>
    <t>A100ETF博时</t>
  </si>
  <si>
    <t>561780</t>
  </si>
  <si>
    <t>1000增强ETF博时</t>
  </si>
  <si>
    <t>561790</t>
  </si>
  <si>
    <t>央企能源ETF博时</t>
  </si>
  <si>
    <t>561800</t>
  </si>
  <si>
    <t>稀有金属ETF华富</t>
  </si>
  <si>
    <t>561870</t>
  </si>
  <si>
    <t>现金流全指ETF华富</t>
  </si>
  <si>
    <t>561880</t>
  </si>
  <si>
    <t>A100ETF华富</t>
  </si>
  <si>
    <t>561900</t>
  </si>
  <si>
    <t>沪深300ESGETF招商</t>
  </si>
  <si>
    <t>561910</t>
  </si>
  <si>
    <t>电池ETF招商</t>
  </si>
  <si>
    <t>561920</t>
  </si>
  <si>
    <t>疫苗ETF招商</t>
  </si>
  <si>
    <t>561930</t>
  </si>
  <si>
    <t>沪深300ETF招商</t>
  </si>
  <si>
    <t>561950</t>
  </si>
  <si>
    <t>中证500增强ETF招商</t>
  </si>
  <si>
    <t>561960</t>
  </si>
  <si>
    <t>央企回报ETF招商</t>
  </si>
  <si>
    <t>561980</t>
  </si>
  <si>
    <t>半导体设备ETF招商</t>
  </si>
  <si>
    <t>561990</t>
  </si>
  <si>
    <t>沪深300增强ETF招商</t>
  </si>
  <si>
    <t>562000</t>
  </si>
  <si>
    <t>A100ETF华宝</t>
  </si>
  <si>
    <t>562010</t>
  </si>
  <si>
    <t>绿色能源ETF华宝</t>
  </si>
  <si>
    <t>562030</t>
  </si>
  <si>
    <t>信创ETF华宝</t>
  </si>
  <si>
    <t>562050</t>
  </si>
  <si>
    <t>药ETF华宝</t>
  </si>
  <si>
    <t>562060</t>
  </si>
  <si>
    <t>标普A股红利ETF华宝</t>
  </si>
  <si>
    <t>562070</t>
  </si>
  <si>
    <t>沪深300指增ETF华宝</t>
  </si>
  <si>
    <t>562080</t>
  </si>
  <si>
    <t>300现金流ETF华宝</t>
  </si>
  <si>
    <t>562300</t>
  </si>
  <si>
    <t>碳中和ETF银华</t>
  </si>
  <si>
    <t>562310</t>
  </si>
  <si>
    <t>沪深300成长ETF银华</t>
  </si>
  <si>
    <t>562320</t>
  </si>
  <si>
    <t>沪深300价值ETF银华</t>
  </si>
  <si>
    <t>562330</t>
  </si>
  <si>
    <t>中证500价值ETF银华</t>
  </si>
  <si>
    <t>562340</t>
  </si>
  <si>
    <t>中证500成长ETF银华</t>
  </si>
  <si>
    <t>562350</t>
  </si>
  <si>
    <t>电力ETF银华</t>
  </si>
  <si>
    <t>562360</t>
  </si>
  <si>
    <t>机器人ETF银华</t>
  </si>
  <si>
    <t>562380</t>
  </si>
  <si>
    <t>央企科技ETF银华</t>
  </si>
  <si>
    <t>562390</t>
  </si>
  <si>
    <t>中药ETF银华</t>
  </si>
  <si>
    <t>562500</t>
  </si>
  <si>
    <t>机器人ETF华夏</t>
  </si>
  <si>
    <t>562510</t>
  </si>
  <si>
    <t>旅游ETF华夏</t>
  </si>
  <si>
    <t>562520</t>
  </si>
  <si>
    <t>中证1000成长ETF华夏</t>
  </si>
  <si>
    <t>562530</t>
  </si>
  <si>
    <t>中证1000价值ETF华夏</t>
  </si>
  <si>
    <t>562550</t>
  </si>
  <si>
    <t>绿电ETF华夏</t>
  </si>
  <si>
    <t>562560</t>
  </si>
  <si>
    <t>信息技术ETF华夏</t>
  </si>
  <si>
    <t>562570</t>
  </si>
  <si>
    <t>信创ETF华夏</t>
  </si>
  <si>
    <t>562580</t>
  </si>
  <si>
    <t>可选消费ETF华夏</t>
  </si>
  <si>
    <t>562590</t>
  </si>
  <si>
    <t>半导体设备ETF华夏</t>
  </si>
  <si>
    <t>562600</t>
  </si>
  <si>
    <t>医疗器械ETF华夏</t>
  </si>
  <si>
    <t>562660</t>
  </si>
  <si>
    <t>中证2000ETF华夏</t>
  </si>
  <si>
    <t>562700</t>
  </si>
  <si>
    <t>汽车零部件ETF华夏</t>
  </si>
  <si>
    <t>562800</t>
  </si>
  <si>
    <t>稀有金属ETF嘉实</t>
  </si>
  <si>
    <t>562810</t>
  </si>
  <si>
    <t>上证指数增强ETF嘉实</t>
  </si>
  <si>
    <t>562820</t>
  </si>
  <si>
    <t>集成电路ETF嘉实</t>
  </si>
  <si>
    <t>562850</t>
  </si>
  <si>
    <t>央企能源ETF嘉实</t>
  </si>
  <si>
    <t>562860</t>
  </si>
  <si>
    <t>疫苗ETF嘉实</t>
  </si>
  <si>
    <t>562870</t>
  </si>
  <si>
    <t>证券ETF嘉实</t>
  </si>
  <si>
    <t>562880</t>
  </si>
  <si>
    <t>电池ETF嘉实</t>
  </si>
  <si>
    <t>562890</t>
  </si>
  <si>
    <t>A50ETF嘉实</t>
  </si>
  <si>
    <t>562900</t>
  </si>
  <si>
    <t>农业ETF易方达</t>
  </si>
  <si>
    <t>562910</t>
  </si>
  <si>
    <t>高端制造ETF易方达</t>
  </si>
  <si>
    <t>562920</t>
  </si>
  <si>
    <t>信息安全ETF易方达</t>
  </si>
  <si>
    <t>562930</t>
  </si>
  <si>
    <t>软件ETF易方达</t>
  </si>
  <si>
    <t>562950</t>
  </si>
  <si>
    <t>消费电子ETF易方达</t>
  </si>
  <si>
    <t>562960</t>
  </si>
  <si>
    <t>绿色电力ETF易方达</t>
  </si>
  <si>
    <t>562970</t>
  </si>
  <si>
    <t>光伏ETF易方达</t>
  </si>
  <si>
    <t>562990</t>
  </si>
  <si>
    <t>碳中和ETF易方达</t>
  </si>
  <si>
    <t>563000</t>
  </si>
  <si>
    <t>中国A50ETF易方达</t>
  </si>
  <si>
    <t>563010</t>
  </si>
  <si>
    <t>电信ETF易方达</t>
  </si>
  <si>
    <t>563020</t>
  </si>
  <si>
    <t>红利低波ETF易方达</t>
  </si>
  <si>
    <t>563030</t>
  </si>
  <si>
    <t>中证500增强ETF易方达</t>
  </si>
  <si>
    <t>563050</t>
  </si>
  <si>
    <t>央企科技ETF易方达</t>
  </si>
  <si>
    <t>563060</t>
  </si>
  <si>
    <t>央企50ETF易方达</t>
  </si>
  <si>
    <t>563080</t>
  </si>
  <si>
    <t>中证A50ETF易方达</t>
  </si>
  <si>
    <t>563090</t>
  </si>
  <si>
    <t>上证50增强ETF易方达</t>
  </si>
  <si>
    <t>563150</t>
  </si>
  <si>
    <t>油气ETF银华</t>
  </si>
  <si>
    <t>563180</t>
  </si>
  <si>
    <t>高股息ETF银华</t>
  </si>
  <si>
    <t>563200</t>
  </si>
  <si>
    <t>中证2000ETF富国</t>
  </si>
  <si>
    <t>563210</t>
  </si>
  <si>
    <t>专精特新ETF富国</t>
  </si>
  <si>
    <t>563220</t>
  </si>
  <si>
    <t>A500ETF富国</t>
  </si>
  <si>
    <t>563230</t>
  </si>
  <si>
    <t>卫星ETF富国</t>
  </si>
  <si>
    <t>563280</t>
  </si>
  <si>
    <t>A50增强ETF富国</t>
  </si>
  <si>
    <t>563300</t>
  </si>
  <si>
    <t>中证2000ETF华泰柏瑞</t>
  </si>
  <si>
    <t>563320</t>
  </si>
  <si>
    <t>通用航空ETF华泰柏瑞</t>
  </si>
  <si>
    <t>563330</t>
  </si>
  <si>
    <t>A股ETF华泰柏瑞</t>
  </si>
  <si>
    <t>563350</t>
  </si>
  <si>
    <t>A50ETF华泰柏瑞</t>
  </si>
  <si>
    <t>563360</t>
  </si>
  <si>
    <t>A500ETF华泰柏瑞</t>
  </si>
  <si>
    <t>563380</t>
  </si>
  <si>
    <t>航空航天ETF华泰柏瑞</t>
  </si>
  <si>
    <t>563390</t>
  </si>
  <si>
    <t>全指现金流ETF华泰柏瑞</t>
  </si>
  <si>
    <t>563500</t>
  </si>
  <si>
    <t>A500ETF华宝</t>
  </si>
  <si>
    <t>563510</t>
  </si>
  <si>
    <t>A500红利低波ETF易方达</t>
  </si>
  <si>
    <t>563520</t>
  </si>
  <si>
    <t>沪深300ETF永赢</t>
  </si>
  <si>
    <t>563530</t>
  </si>
  <si>
    <t>卫星ETF易方达</t>
  </si>
  <si>
    <t>563550</t>
  </si>
  <si>
    <t>A500增强ETF摩根</t>
  </si>
  <si>
    <t>563560</t>
  </si>
  <si>
    <t>科技成长ETF兴业</t>
  </si>
  <si>
    <t>563570</t>
  </si>
  <si>
    <t>金融科技ETF兴业</t>
  </si>
  <si>
    <t>563580</t>
  </si>
  <si>
    <t>自由现金流800ETF万家</t>
  </si>
  <si>
    <t>563590</t>
  </si>
  <si>
    <t>A500红利低波动ETF国寿</t>
  </si>
  <si>
    <t>563600</t>
  </si>
  <si>
    <t>A500增强ETF易方达</t>
  </si>
  <si>
    <t>563620</t>
  </si>
  <si>
    <t>全指现金流ETF兴业</t>
  </si>
  <si>
    <t>563630</t>
  </si>
  <si>
    <t>A500增强ETF国联安</t>
  </si>
  <si>
    <t>563650</t>
  </si>
  <si>
    <t>中证A500ETF兴业</t>
  </si>
  <si>
    <t>563660</t>
  </si>
  <si>
    <t>A500ETF银河</t>
  </si>
  <si>
    <t>563670</t>
  </si>
  <si>
    <t>金融科技ETF鹏华</t>
  </si>
  <si>
    <t>563680</t>
  </si>
  <si>
    <t>800现金流ETF汇添富</t>
  </si>
  <si>
    <t>563690</t>
  </si>
  <si>
    <t>红利低波ETF永赢</t>
  </si>
  <si>
    <t>563700</t>
  </si>
  <si>
    <t>红利价值ETF易方达</t>
  </si>
  <si>
    <t>563750</t>
  </si>
  <si>
    <t>中证500ETF汇添富</t>
  </si>
  <si>
    <t>563760</t>
  </si>
  <si>
    <t>全指现金流ETF中银</t>
  </si>
  <si>
    <t>563770</t>
  </si>
  <si>
    <t>全指现金流ETF招商</t>
  </si>
  <si>
    <t>563780</t>
  </si>
  <si>
    <t>现金流全指ETF方正富邦</t>
  </si>
  <si>
    <t>563790</t>
  </si>
  <si>
    <t>卫星ETF鹏华</t>
  </si>
  <si>
    <t>563800</t>
  </si>
  <si>
    <t>A500ETF广发</t>
  </si>
  <si>
    <t>563830</t>
  </si>
  <si>
    <t>全指现金流ETF博时</t>
  </si>
  <si>
    <t>563850</t>
  </si>
  <si>
    <t>食品ETF广发</t>
  </si>
  <si>
    <t>563860</t>
  </si>
  <si>
    <t>中证A500ETF海富通</t>
  </si>
  <si>
    <t>563870</t>
  </si>
  <si>
    <t>通用航空ETF鹏华</t>
  </si>
  <si>
    <t>563880</t>
  </si>
  <si>
    <t>A500ETF汇添富</t>
  </si>
  <si>
    <t>563890</t>
  </si>
  <si>
    <t>国企红利ETF创金合信</t>
  </si>
  <si>
    <t>563900</t>
  </si>
  <si>
    <t>300自由现金流ETF摩根</t>
  </si>
  <si>
    <t>563930</t>
  </si>
  <si>
    <t>上证增强ETF招商</t>
  </si>
  <si>
    <t>563960</t>
  </si>
  <si>
    <t>300质量ETF兴全</t>
  </si>
  <si>
    <t>563980</t>
  </si>
  <si>
    <t>800红利低波ETF鑫元</t>
  </si>
  <si>
    <t>563990</t>
  </si>
  <si>
    <t>800现金流ETF富国</t>
  </si>
  <si>
    <t>588000</t>
  </si>
  <si>
    <t>科创50ETF华夏</t>
  </si>
  <si>
    <t>588010</t>
  </si>
  <si>
    <t>科创新材料ETF博时</t>
  </si>
  <si>
    <t>588020</t>
  </si>
  <si>
    <t>科创成长ETF易方达</t>
  </si>
  <si>
    <t>588030</t>
  </si>
  <si>
    <t>科创100ETF博时</t>
  </si>
  <si>
    <t>588040</t>
  </si>
  <si>
    <t>科创50ETF鹏华</t>
  </si>
  <si>
    <t>588050</t>
  </si>
  <si>
    <t>科创50ETF工银</t>
  </si>
  <si>
    <t>588060</t>
  </si>
  <si>
    <t>科创50ETF广发</t>
  </si>
  <si>
    <t>588070</t>
  </si>
  <si>
    <t>科创成长ETF万家</t>
  </si>
  <si>
    <t>588080</t>
  </si>
  <si>
    <t>科创50ETF易方达</t>
  </si>
  <si>
    <t>588090</t>
  </si>
  <si>
    <t>科创50ETF华泰柏瑞</t>
  </si>
  <si>
    <t>588100</t>
  </si>
  <si>
    <t>科创信息ETF嘉实</t>
  </si>
  <si>
    <t>588110</t>
  </si>
  <si>
    <t>科创成长ETF广发</t>
  </si>
  <si>
    <t>588120</t>
  </si>
  <si>
    <t>科创100ETF国泰</t>
  </si>
  <si>
    <t>588130</t>
  </si>
  <si>
    <t>科创医药ETF华夏</t>
  </si>
  <si>
    <t>588140</t>
  </si>
  <si>
    <t>科创200ETF广发</t>
  </si>
  <si>
    <t>588150</t>
  </si>
  <si>
    <t>科创50ETF南方</t>
  </si>
  <si>
    <t>588160</t>
  </si>
  <si>
    <t>科创新材料ETF南方</t>
  </si>
  <si>
    <t>588170</t>
  </si>
  <si>
    <t>科创半导体ETF华夏</t>
  </si>
  <si>
    <t>588180</t>
  </si>
  <si>
    <t>科创50ETF国联安</t>
  </si>
  <si>
    <t>588190</t>
  </si>
  <si>
    <t>科创100ETF银华</t>
  </si>
  <si>
    <t>588200</t>
  </si>
  <si>
    <t>科创芯片ETF嘉实</t>
  </si>
  <si>
    <t>588210</t>
  </si>
  <si>
    <t>科创100ETF易方达</t>
  </si>
  <si>
    <t>588220</t>
  </si>
  <si>
    <t>科创100ETF鹏华</t>
  </si>
  <si>
    <t>588230</t>
  </si>
  <si>
    <t>科创200ETF华泰柏瑞</t>
  </si>
  <si>
    <t>588240</t>
  </si>
  <si>
    <t>科创200ETF鹏华</t>
  </si>
  <si>
    <t>588250</t>
  </si>
  <si>
    <t>科创医药ETF鹏华</t>
  </si>
  <si>
    <t>588260</t>
  </si>
  <si>
    <t>科创信息ETF华安</t>
  </si>
  <si>
    <t>588270</t>
  </si>
  <si>
    <t>科创200ETF易方达</t>
  </si>
  <si>
    <t>588280</t>
  </si>
  <si>
    <t>科创50ETF华安</t>
  </si>
  <si>
    <t>588290</t>
  </si>
  <si>
    <t>科创芯片ETF华安</t>
  </si>
  <si>
    <t>588300</t>
  </si>
  <si>
    <t>科创创业50ETF招商</t>
  </si>
  <si>
    <t>588310</t>
  </si>
  <si>
    <t>科创创业ETF方正富邦</t>
  </si>
  <si>
    <t>588320</t>
  </si>
  <si>
    <t>双创50增强ETF广发</t>
  </si>
  <si>
    <t>588330</t>
  </si>
  <si>
    <t>双创50ETF华宝</t>
  </si>
  <si>
    <t>588350</t>
  </si>
  <si>
    <t>科创创业50ETF鹏扬</t>
  </si>
  <si>
    <t>588360</t>
  </si>
  <si>
    <t>科创创业ETF国泰</t>
  </si>
  <si>
    <t>588370</t>
  </si>
  <si>
    <t>科创50增强ETF南方</t>
  </si>
  <si>
    <t>588380</t>
  </si>
  <si>
    <t>科创创业ETF富国</t>
  </si>
  <si>
    <t>588390</t>
  </si>
  <si>
    <t>科创创业ETF博时</t>
  </si>
  <si>
    <t>588400</t>
  </si>
  <si>
    <t>科创创业ETF嘉实</t>
  </si>
  <si>
    <t>588410</t>
  </si>
  <si>
    <t>科创创业人工智能ETF鹏华</t>
  </si>
  <si>
    <t>588420</t>
  </si>
  <si>
    <t>科创创业人工智能ETF摩根</t>
  </si>
  <si>
    <t>588430</t>
  </si>
  <si>
    <t>科创创业人工智能ETF工银</t>
  </si>
  <si>
    <t>588450</t>
  </si>
  <si>
    <t>科创50增强ETF招商</t>
  </si>
  <si>
    <t>588460</t>
  </si>
  <si>
    <t>科创50增强ETF鹏华</t>
  </si>
  <si>
    <t>588470</t>
  </si>
  <si>
    <t>科创创业人工智能ETF华安</t>
  </si>
  <si>
    <t>588480</t>
  </si>
  <si>
    <t>科创创业人工智能ETF中金</t>
  </si>
  <si>
    <t>588500</t>
  </si>
  <si>
    <t>科创100增强ETF易方达</t>
  </si>
  <si>
    <t>588510</t>
  </si>
  <si>
    <t>科创创业人工智能ETF华夏</t>
  </si>
  <si>
    <t>588520</t>
  </si>
  <si>
    <t>科创增强ETF永赢</t>
  </si>
  <si>
    <t>588550</t>
  </si>
  <si>
    <t>科创综指增强ETF易方达</t>
  </si>
  <si>
    <t>588660</t>
  </si>
  <si>
    <t>科创创业50ETF兴银</t>
  </si>
  <si>
    <t>588670</t>
  </si>
  <si>
    <t>科创综指增强ETF嘉实</t>
  </si>
  <si>
    <t>588680</t>
  </si>
  <si>
    <t>科创100增强ETF广发</t>
  </si>
  <si>
    <t>588690</t>
  </si>
  <si>
    <t>科创增强ETF银华</t>
  </si>
  <si>
    <t>588700</t>
  </si>
  <si>
    <t>科创医药ETF嘉实</t>
  </si>
  <si>
    <t>588710</t>
  </si>
  <si>
    <t>科创半导体设备ETF华泰柏瑞</t>
  </si>
  <si>
    <t>588720</t>
  </si>
  <si>
    <t>科创50ETF中银</t>
  </si>
  <si>
    <t>588730</t>
  </si>
  <si>
    <t>科创人工智能ETF易方达</t>
  </si>
  <si>
    <t>588750</t>
  </si>
  <si>
    <t>科创芯片ETF汇添富</t>
  </si>
  <si>
    <t>588760</t>
  </si>
  <si>
    <t>科创人工智能ETF广发</t>
  </si>
  <si>
    <t>588770</t>
  </si>
  <si>
    <t>科创信息ETF摩根</t>
  </si>
  <si>
    <t>588780</t>
  </si>
  <si>
    <t>科创芯片设计ETF国联安</t>
  </si>
  <si>
    <t>588790</t>
  </si>
  <si>
    <t>科创AIETF博时</t>
  </si>
  <si>
    <t>588800</t>
  </si>
  <si>
    <t>科创100ETF华夏</t>
  </si>
  <si>
    <t>588810</t>
  </si>
  <si>
    <t>科创芯片ETF富国</t>
  </si>
  <si>
    <t>588820</t>
  </si>
  <si>
    <t>科创200ETF华夏</t>
  </si>
  <si>
    <t>588830</t>
  </si>
  <si>
    <t>科创新能源ETF鹏华</t>
  </si>
  <si>
    <t>588840</t>
  </si>
  <si>
    <t>科创50ETF万家</t>
  </si>
  <si>
    <t>588850</t>
  </si>
  <si>
    <t>科创机械ETF嘉实</t>
  </si>
  <si>
    <t>588860</t>
  </si>
  <si>
    <t>科创医药ETF工银</t>
  </si>
  <si>
    <t>588870</t>
  </si>
  <si>
    <t>科创50ETF汇添富</t>
  </si>
  <si>
    <t>588880</t>
  </si>
  <si>
    <t>科创100ETF华泰柏瑞</t>
  </si>
  <si>
    <t>588890</t>
  </si>
  <si>
    <t>科创芯片ETF南方</t>
  </si>
  <si>
    <t>588900</t>
  </si>
  <si>
    <t>科创100ETF南方</t>
  </si>
  <si>
    <t>588910</t>
  </si>
  <si>
    <t>科创价值ETF建信</t>
  </si>
  <si>
    <t>588920</t>
  </si>
  <si>
    <t>科创芯片ETF鹏华</t>
  </si>
  <si>
    <t>588930</t>
  </si>
  <si>
    <t>科创人工智能ETF银华</t>
  </si>
  <si>
    <t>588940</t>
  </si>
  <si>
    <t>科创50ETF富国</t>
  </si>
  <si>
    <t>588950</t>
  </si>
  <si>
    <t>科创50ETF景顺</t>
  </si>
  <si>
    <t>588960</t>
  </si>
  <si>
    <t>科创新能源ETF富国</t>
  </si>
  <si>
    <t>588980</t>
  </si>
  <si>
    <t>科创100ETF广发</t>
  </si>
  <si>
    <t>588990</t>
  </si>
  <si>
    <t>科创芯片ETF博时</t>
  </si>
  <si>
    <t>589000</t>
  </si>
  <si>
    <t>科创综指ETF华夏</t>
  </si>
  <si>
    <t>589010</t>
  </si>
  <si>
    <t>科创人工智能ETF华夏</t>
  </si>
  <si>
    <t>589020</t>
  </si>
  <si>
    <t>科创半导体设备ETF鹏华</t>
  </si>
  <si>
    <t>589030</t>
  </si>
  <si>
    <t>科创芯片设计ETF易方达</t>
  </si>
  <si>
    <t>589050</t>
  </si>
  <si>
    <t>科创综指ETF兴业</t>
  </si>
  <si>
    <t>589060</t>
  </si>
  <si>
    <t>科创综指ETF东财</t>
  </si>
  <si>
    <t>589070</t>
  </si>
  <si>
    <t>科创芯片设计ETF天弘</t>
  </si>
  <si>
    <t>589080</t>
  </si>
  <si>
    <t>科创综指ETF汇添富</t>
  </si>
  <si>
    <t>589090</t>
  </si>
  <si>
    <t>科创AIETF鹏华</t>
  </si>
  <si>
    <t>589100</t>
  </si>
  <si>
    <t>科创芯片ETF国泰</t>
  </si>
  <si>
    <t>589110</t>
  </si>
  <si>
    <t>科创人工智能ETF国泰</t>
  </si>
  <si>
    <t>589120</t>
  </si>
  <si>
    <t>科创创新药ETF汇添富</t>
  </si>
  <si>
    <t>589130</t>
  </si>
  <si>
    <t>科创芯片ETF易方达</t>
  </si>
  <si>
    <t>589150</t>
  </si>
  <si>
    <t>科创50ETF平安</t>
  </si>
  <si>
    <t>589160</t>
  </si>
  <si>
    <t>科创芯片ETF广发</t>
  </si>
  <si>
    <t>589170</t>
  </si>
  <si>
    <t>科创芯片设计ETF鹏华</t>
  </si>
  <si>
    <t>589180</t>
  </si>
  <si>
    <t>科创新材料ETF汇添富</t>
  </si>
  <si>
    <t>589190</t>
  </si>
  <si>
    <t>科创芯片ETF华宝</t>
  </si>
  <si>
    <t>589200</t>
  </si>
  <si>
    <t>科创200ETF工银</t>
  </si>
  <si>
    <t>589210</t>
  </si>
  <si>
    <t>科创芯片设计ETF广发</t>
  </si>
  <si>
    <t>589220</t>
  </si>
  <si>
    <t>科创200ETF国泰</t>
  </si>
  <si>
    <t>589230</t>
  </si>
  <si>
    <t>科创人工智能ETF南方</t>
  </si>
  <si>
    <t>589250</t>
  </si>
  <si>
    <t>科创芯片设计ETF浦银</t>
  </si>
  <si>
    <t>589260</t>
  </si>
  <si>
    <t>科创芯片设计ETF国泰</t>
  </si>
  <si>
    <t>589270</t>
  </si>
  <si>
    <t>科创100ETF前海开源</t>
  </si>
  <si>
    <t>589280</t>
  </si>
  <si>
    <t>科创增强ETF华宝</t>
  </si>
  <si>
    <t>589300</t>
  </si>
  <si>
    <t>科创综指ETF嘉实</t>
  </si>
  <si>
    <t>589320</t>
  </si>
  <si>
    <t>科创200ETF嘉实</t>
  </si>
  <si>
    <t>589330</t>
  </si>
  <si>
    <t>科创200ETF东财</t>
  </si>
  <si>
    <t>589380</t>
  </si>
  <si>
    <t>科创人工智能ETF富国</t>
  </si>
  <si>
    <t>589500</t>
  </si>
  <si>
    <t>科创综指ETF工银</t>
  </si>
  <si>
    <t>589520</t>
  </si>
  <si>
    <t>科创人工智能ETF华宝</t>
  </si>
  <si>
    <t>589550</t>
  </si>
  <si>
    <t>科创价值ETF华夏</t>
  </si>
  <si>
    <t>589560</t>
  </si>
  <si>
    <t>科创人工智能ETF汇添富</t>
  </si>
  <si>
    <t>589580</t>
  </si>
  <si>
    <t>科创综指ETF兴银</t>
  </si>
  <si>
    <t>589600</t>
  </si>
  <si>
    <t>科创综指ETF富国</t>
  </si>
  <si>
    <t>589630</t>
  </si>
  <si>
    <t>科创综指ETF国泰</t>
  </si>
  <si>
    <t>589660</t>
  </si>
  <si>
    <t>科创综指ETF南方</t>
  </si>
  <si>
    <t>589680</t>
  </si>
  <si>
    <t>科创综指ETF鹏华</t>
  </si>
  <si>
    <t>589700</t>
  </si>
  <si>
    <t>科创成长ETF南方</t>
  </si>
  <si>
    <t>589720</t>
  </si>
  <si>
    <t>科创创新药ETF国泰</t>
  </si>
  <si>
    <t>589770</t>
  </si>
  <si>
    <t>科创综指ETF招商</t>
  </si>
  <si>
    <t>589780</t>
  </si>
  <si>
    <t>科创200ETF富国</t>
  </si>
  <si>
    <t>589800</t>
  </si>
  <si>
    <t>科创综指ETF易方达</t>
  </si>
  <si>
    <t>589820</t>
  </si>
  <si>
    <t>科创200ETF建信</t>
  </si>
  <si>
    <t>589850</t>
  </si>
  <si>
    <t>科创50ETF东财</t>
  </si>
  <si>
    <t>589860</t>
  </si>
  <si>
    <t>科创综指ETF天弘</t>
  </si>
  <si>
    <t>589880</t>
  </si>
  <si>
    <t>科创综指ETF建信</t>
  </si>
  <si>
    <t>589890</t>
  </si>
  <si>
    <t>科创综指ETF景顺</t>
  </si>
  <si>
    <t>589900</t>
  </si>
  <si>
    <t>科创综指ETF博时</t>
  </si>
  <si>
    <t>589950</t>
  </si>
  <si>
    <t>科创100ETF富国</t>
  </si>
  <si>
    <t>589960</t>
  </si>
  <si>
    <t>科创新能源ETF易方达</t>
  </si>
  <si>
    <t>589980</t>
  </si>
  <si>
    <t>科创100ETF汇添富</t>
  </si>
  <si>
    <t>589990</t>
  </si>
  <si>
    <t>科创综指ETF华泰柏瑞</t>
  </si>
  <si>
    <t>2026-06-16</t>
  </si>
  <si>
    <t>【全市场汇总】</t>
  </si>
  <si>
    <t>1825只</t>
  </si>
  <si>
    <t xml:space="preserve">  ↳ 上交所</t>
  </si>
  <si>
    <t>860只</t>
  </si>
  <si>
    <t xml:space="preserve">  ↳ 深交所</t>
  </si>
  <si>
    <t>965只</t>
  </si>
  <si>
    <t>2026-06-17</t>
  </si>
  <si>
    <t xml:space="preserve"> ↳ 上交所</t>
  </si>
  <si>
    <t xml:space="preserve"> ↳ 深交所</t>
  </si>
  <si>
    <t>2026-06-18</t>
  </si>
  <si>
    <t>159039</t>
  </si>
  <si>
    <t>机器人ETF华安</t>
  </si>
  <si>
    <t>159062</t>
  </si>
  <si>
    <t>稀有金属ETF南方</t>
  </si>
  <si>
    <t>159071</t>
  </si>
  <si>
    <t>新能源电池ETF华宝</t>
  </si>
  <si>
    <t>1828只</t>
  </si>
  <si>
    <t>968只</t>
  </si>
  <si>
    <t>份额变化百分比排名（增加前30）</t>
  </si>
  <si>
    <t>市值增长最多排名（前30）</t>
  </si>
  <si>
    <t>市值增长百分比排名（前30）</t>
  </si>
  <si>
    <t>增长值（亿）</t>
  </si>
  <si>
    <t>百分比</t>
  </si>
  <si>
    <t>份额变化百分比排名（减少前30）</t>
  </si>
  <si>
    <t>市值减少最多排名（前30）</t>
  </si>
  <si>
    <t>市值减少百分比排名（前30）</t>
  </si>
  <si>
    <t>减少值（亿）</t>
  </si>
  <si>
    <t>份额变化百分比排名（增加前20）</t>
  </si>
  <si>
    <t>市值增长最多排名（前20）</t>
  </si>
  <si>
    <t>市值增长百分比排名（前20）</t>
  </si>
  <si>
    <t>份额变化百分比排名（减少前20）</t>
  </si>
  <si>
    <t>市值减少最多排名（前20）</t>
  </si>
  <si>
    <t>市值减少百分比排名（前20）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</si>
</sst>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00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2"/>
      <name val="Calibri"/>
      <charset val="134"/>
    </font>
    <font>
      <b/>
      <sz val="11"/>
      <color rgb="FFFFFFFF"/>
      <name val="Calibri"/>
      <charset val="134"/>
    </font>
    <font>
      <b/>
      <sz val="10"/>
      <color rgb="FFFFFFFF"/>
      <name val="Calibri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4" fillId="34" borderId="0">
      <alignment vertical="center"/>
    </xf>
    <xf numFmtId="0" fontId="24" fillId="35" borderId="0">
      <alignment vertical="center"/>
    </xf>
    <xf numFmtId="0" fontId="23" fillId="36" borderId="0">
      <alignment vertical="center"/>
    </xf>
  </cellStyleXfs>
  <cellXfs count="19">
    <xf numFmtId="0" fontId="0" fillId="0" borderId="0" xfId="0"/>
    <xf numFmtId="0" fontId="1" fillId="0" borderId="0" xfId="0" applyFont="1"/>
    <xf numFmtId="0" fontId="0" fillId="0" borderId="1" xfId="0" applyBorder="1"/>
    <xf numFmtId="10" fontId="0" fillId="0" borderId="1" xfId="0" applyNumberFormat="1" applyBorder="1"/>
    <xf numFmtId="10" fontId="0" fillId="0" borderId="0" xfId="0" applyNumberFormat="1"/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10" fontId="0" fillId="4" borderId="0" xfId="0" applyNumberFormat="1" applyFill="1" applyAlignment="1">
      <alignment horizontal="right" vertical="center"/>
    </xf>
    <xf numFmtId="176" fontId="0" fillId="4" borderId="0" xfId="0" applyNumberFormat="1" applyFill="1" applyAlignment="1">
      <alignment horizontal="right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10" fontId="0" fillId="5" borderId="0" xfId="0" applyNumberFormat="1" applyFill="1" applyAlignment="1">
      <alignment horizontal="right" vertical="center"/>
    </xf>
    <xf numFmtId="176" fontId="0" fillId="5" borderId="0" xfId="0" applyNumberForma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76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61"/>
  <sheetViews>
    <sheetView tabSelected="1" workbookViewId="0">
      <pane ySplit="1" topLeftCell="A2" activePane="bottomLeft" state="frozen"/>
      <selection/>
      <selection pane="bottomLeft" activeCell="M9" sqref="M9"/>
    </sheetView>
  </sheetViews>
  <sheetFormatPr defaultColWidth="9" defaultRowHeight="13.5"/>
  <cols>
    <col min="1" max="10" width="15.625" customWidth="1"/>
    <col min="11" max="12" width="20.625" style="4" customWidth="1"/>
    <col min="13" max="13" width="20.625" customWidth="1"/>
  </cols>
  <sheetData>
    <row r="1" s="16" customFormat="1" spans="1:1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7" t="s">
        <v>10</v>
      </c>
      <c r="L1" s="17" t="s">
        <v>11</v>
      </c>
      <c r="M1" s="16" t="s">
        <v>12</v>
      </c>
    </row>
    <row r="2" spans="1:13">
      <c r="A2" t="s">
        <v>13</v>
      </c>
      <c r="B2" t="s">
        <v>14</v>
      </c>
      <c r="C2" t="s">
        <v>15</v>
      </c>
      <c r="D2">
        <v>1734.2761</v>
      </c>
      <c r="E2">
        <v>1721.4253</v>
      </c>
      <c r="F2">
        <v>100</v>
      </c>
      <c r="G2">
        <v>12.8508</v>
      </c>
      <c r="H2">
        <v>17.342761</v>
      </c>
      <c r="I2">
        <v>17.214253</v>
      </c>
      <c r="J2">
        <v>0.128508</v>
      </c>
      <c r="K2" s="4">
        <f t="shared" ref="K2:K65" si="0">IFERROR(J2/I2,"")</f>
        <v>0.00746520920774198</v>
      </c>
      <c r="L2" s="4">
        <f t="shared" ref="L2:L65" si="1">IFERROR((D2-E2)/E2,"")</f>
        <v>0.00746520920774194</v>
      </c>
      <c r="M2" s="18">
        <f t="shared" ref="M2:M65" si="2">IFERROR(F2*G2/10000,"")</f>
        <v>0.128508</v>
      </c>
    </row>
    <row r="3" spans="1:13">
      <c r="A3" t="s">
        <v>13</v>
      </c>
      <c r="B3" t="s">
        <v>16</v>
      </c>
      <c r="C3" t="s">
        <v>17</v>
      </c>
      <c r="D3">
        <v>186.6341</v>
      </c>
      <c r="E3">
        <v>182.5932</v>
      </c>
      <c r="F3">
        <v>100</v>
      </c>
      <c r="G3">
        <v>4.0409</v>
      </c>
      <c r="H3">
        <v>1.866341</v>
      </c>
      <c r="I3">
        <v>1.825932</v>
      </c>
      <c r="J3">
        <v>0.040409</v>
      </c>
      <c r="K3" s="4">
        <f t="shared" si="0"/>
        <v>0.0221306160360846</v>
      </c>
      <c r="L3" s="4">
        <f t="shared" si="1"/>
        <v>0.0221306160360846</v>
      </c>
      <c r="M3" s="18">
        <f t="shared" si="2"/>
        <v>0.040409</v>
      </c>
    </row>
    <row r="4" spans="1:13">
      <c r="A4" t="s">
        <v>13</v>
      </c>
      <c r="B4" t="s">
        <v>18</v>
      </c>
      <c r="C4" t="s">
        <v>19</v>
      </c>
      <c r="D4">
        <v>111.7235</v>
      </c>
      <c r="E4">
        <v>114.6613</v>
      </c>
      <c r="F4">
        <v>100</v>
      </c>
      <c r="G4">
        <v>-2.9378</v>
      </c>
      <c r="H4">
        <v>1.117235</v>
      </c>
      <c r="I4">
        <v>1.146613</v>
      </c>
      <c r="J4">
        <v>-0.029378</v>
      </c>
      <c r="K4" s="4">
        <f t="shared" si="0"/>
        <v>-0.02562154798524</v>
      </c>
      <c r="L4" s="4">
        <f t="shared" si="1"/>
        <v>-0.02562154798524</v>
      </c>
      <c r="M4" s="18">
        <f t="shared" si="2"/>
        <v>-0.029378</v>
      </c>
    </row>
    <row r="5" spans="1:13">
      <c r="A5" t="s">
        <v>13</v>
      </c>
      <c r="B5" t="s">
        <v>20</v>
      </c>
      <c r="C5" t="s">
        <v>21</v>
      </c>
      <c r="D5">
        <v>20260.3274</v>
      </c>
      <c r="E5">
        <v>20560.3274</v>
      </c>
      <c r="F5">
        <v>0.8081</v>
      </c>
      <c r="G5">
        <v>-300</v>
      </c>
      <c r="H5">
        <v>1.637237</v>
      </c>
      <c r="I5">
        <v>1.685124</v>
      </c>
      <c r="J5">
        <v>-0.047887</v>
      </c>
      <c r="K5" s="4">
        <f t="shared" si="0"/>
        <v>-0.0284174933120649</v>
      </c>
      <c r="L5" s="4">
        <f t="shared" si="1"/>
        <v>-0.0145912073365135</v>
      </c>
      <c r="M5" s="18">
        <f t="shared" si="2"/>
        <v>-0.024243</v>
      </c>
    </row>
    <row r="6" spans="1:13">
      <c r="A6" t="s">
        <v>13</v>
      </c>
      <c r="B6" t="s">
        <v>22</v>
      </c>
      <c r="C6" t="s">
        <v>23</v>
      </c>
      <c r="D6">
        <v>16428.4531</v>
      </c>
      <c r="E6">
        <v>16428.4531</v>
      </c>
      <c r="F6">
        <v>1.0097</v>
      </c>
      <c r="G6">
        <v>0</v>
      </c>
      <c r="H6">
        <v>1.658781</v>
      </c>
      <c r="I6">
        <v>1.661081</v>
      </c>
      <c r="J6">
        <v>-0.0023</v>
      </c>
      <c r="K6" s="4">
        <f t="shared" si="0"/>
        <v>-0.00138464048411847</v>
      </c>
      <c r="L6" s="4">
        <f t="shared" si="1"/>
        <v>0</v>
      </c>
      <c r="M6" s="18">
        <f t="shared" si="2"/>
        <v>0</v>
      </c>
    </row>
    <row r="7" spans="1:13">
      <c r="A7" t="s">
        <v>13</v>
      </c>
      <c r="B7" t="s">
        <v>24</v>
      </c>
      <c r="C7" t="s">
        <v>25</v>
      </c>
      <c r="D7">
        <v>5339.2703</v>
      </c>
      <c r="E7">
        <v>5539.2703</v>
      </c>
      <c r="F7">
        <v>1.0994</v>
      </c>
      <c r="G7">
        <v>-200</v>
      </c>
      <c r="H7">
        <v>0.586999</v>
      </c>
      <c r="I7">
        <v>0.610705</v>
      </c>
      <c r="J7">
        <v>-0.023706</v>
      </c>
      <c r="K7" s="4">
        <f t="shared" si="0"/>
        <v>-0.0388174323118363</v>
      </c>
      <c r="L7" s="4">
        <f t="shared" si="1"/>
        <v>-0.0361058387058671</v>
      </c>
      <c r="M7" s="18">
        <f t="shared" si="2"/>
        <v>-0.021988</v>
      </c>
    </row>
    <row r="8" spans="1:13">
      <c r="A8" t="s">
        <v>13</v>
      </c>
      <c r="B8" t="s">
        <v>26</v>
      </c>
      <c r="C8" t="s">
        <v>27</v>
      </c>
      <c r="D8">
        <v>25609.7611</v>
      </c>
      <c r="E8">
        <v>25259.7611</v>
      </c>
      <c r="F8">
        <v>0.9401</v>
      </c>
      <c r="G8">
        <v>350</v>
      </c>
      <c r="H8">
        <v>2.407574</v>
      </c>
      <c r="I8">
        <v>2.353452</v>
      </c>
      <c r="J8">
        <v>0.054122</v>
      </c>
      <c r="K8" s="4">
        <f t="shared" si="0"/>
        <v>0.0229968573822623</v>
      </c>
      <c r="L8" s="4">
        <f t="shared" si="1"/>
        <v>0.0138560296993466</v>
      </c>
      <c r="M8" s="18">
        <f t="shared" si="2"/>
        <v>0.0329035</v>
      </c>
    </row>
    <row r="9" spans="1:13">
      <c r="A9" t="s">
        <v>13</v>
      </c>
      <c r="B9" t="s">
        <v>28</v>
      </c>
      <c r="C9" t="s">
        <v>29</v>
      </c>
      <c r="D9">
        <v>11150.5168</v>
      </c>
      <c r="E9">
        <v>12250.5168</v>
      </c>
      <c r="F9">
        <v>0.9779</v>
      </c>
      <c r="G9">
        <v>-1100</v>
      </c>
      <c r="H9">
        <v>1.090409</v>
      </c>
      <c r="I9">
        <v>1.214516</v>
      </c>
      <c r="J9">
        <v>-0.124107</v>
      </c>
      <c r="K9" s="4">
        <f t="shared" si="0"/>
        <v>-0.102186385358447</v>
      </c>
      <c r="L9" s="4">
        <f t="shared" si="1"/>
        <v>-0.0897921302389463</v>
      </c>
      <c r="M9" s="18">
        <f t="shared" si="2"/>
        <v>-0.107569</v>
      </c>
    </row>
    <row r="10" spans="1:13">
      <c r="A10" t="s">
        <v>13</v>
      </c>
      <c r="B10" t="s">
        <v>30</v>
      </c>
      <c r="C10" t="s">
        <v>31</v>
      </c>
      <c r="D10">
        <v>7788.1148</v>
      </c>
      <c r="E10">
        <v>8688.1148</v>
      </c>
      <c r="F10">
        <v>1.1024</v>
      </c>
      <c r="G10">
        <v>-900</v>
      </c>
      <c r="H10">
        <v>0.858562</v>
      </c>
      <c r="I10">
        <v>0.9318</v>
      </c>
      <c r="J10">
        <v>-0.073238</v>
      </c>
      <c r="K10" s="4">
        <f t="shared" si="0"/>
        <v>-0.0785984116763254</v>
      </c>
      <c r="L10" s="4">
        <f t="shared" si="1"/>
        <v>-0.103589791424027</v>
      </c>
      <c r="M10" s="18">
        <f t="shared" si="2"/>
        <v>-0.099216</v>
      </c>
    </row>
    <row r="11" spans="1:13">
      <c r="A11" t="s">
        <v>13</v>
      </c>
      <c r="B11" t="s">
        <v>32</v>
      </c>
      <c r="C11" t="s">
        <v>33</v>
      </c>
      <c r="D11">
        <v>5057.8881</v>
      </c>
      <c r="E11">
        <v>5457.8881</v>
      </c>
      <c r="F11">
        <v>1.1427</v>
      </c>
      <c r="G11">
        <v>-400</v>
      </c>
      <c r="H11">
        <v>0.577965</v>
      </c>
      <c r="I11">
        <v>0.610792</v>
      </c>
      <c r="J11">
        <v>-0.032827</v>
      </c>
      <c r="K11" s="4">
        <f t="shared" si="0"/>
        <v>-0.0537449737390143</v>
      </c>
      <c r="L11" s="4">
        <f t="shared" si="1"/>
        <v>-0.0732884208454182</v>
      </c>
      <c r="M11" s="18">
        <f t="shared" si="2"/>
        <v>-0.045708</v>
      </c>
    </row>
    <row r="12" spans="1:13">
      <c r="A12" t="s">
        <v>13</v>
      </c>
      <c r="B12" t="s">
        <v>34</v>
      </c>
      <c r="C12" t="s">
        <v>35</v>
      </c>
      <c r="D12">
        <v>13335.2934</v>
      </c>
      <c r="E12">
        <v>13335.2934</v>
      </c>
      <c r="F12">
        <v>0.9273</v>
      </c>
      <c r="G12">
        <v>0</v>
      </c>
      <c r="H12">
        <v>1.236582</v>
      </c>
      <c r="I12">
        <v>1.225513</v>
      </c>
      <c r="J12">
        <v>0.011069</v>
      </c>
      <c r="K12" s="4">
        <f t="shared" si="0"/>
        <v>0.00903213593001461</v>
      </c>
      <c r="L12" s="4">
        <f t="shared" si="1"/>
        <v>0</v>
      </c>
      <c r="M12" s="18">
        <f t="shared" si="2"/>
        <v>0</v>
      </c>
    </row>
    <row r="13" spans="1:13">
      <c r="A13" t="s">
        <v>13</v>
      </c>
      <c r="B13" t="s">
        <v>36</v>
      </c>
      <c r="C13" t="s">
        <v>37</v>
      </c>
      <c r="D13">
        <v>21204.0154</v>
      </c>
      <c r="E13">
        <v>21254.0154</v>
      </c>
      <c r="F13">
        <v>1.0045</v>
      </c>
      <c r="G13">
        <v>-50</v>
      </c>
      <c r="H13">
        <v>2.129943</v>
      </c>
      <c r="I13">
        <v>2.137091</v>
      </c>
      <c r="J13">
        <v>-0.007148</v>
      </c>
      <c r="K13" s="4">
        <f t="shared" si="0"/>
        <v>-0.00334473356539333</v>
      </c>
      <c r="L13" s="4">
        <f t="shared" si="1"/>
        <v>-0.00235249664870385</v>
      </c>
      <c r="M13" s="18">
        <f t="shared" si="2"/>
        <v>-0.0050225</v>
      </c>
    </row>
    <row r="14" spans="1:13">
      <c r="A14" t="s">
        <v>13</v>
      </c>
      <c r="B14" t="s">
        <v>38</v>
      </c>
      <c r="C14" t="s">
        <v>39</v>
      </c>
      <c r="D14">
        <v>16725.6813</v>
      </c>
      <c r="E14">
        <v>16725.6813</v>
      </c>
      <c r="F14">
        <v>0.8935</v>
      </c>
      <c r="G14">
        <v>0</v>
      </c>
      <c r="H14">
        <v>1.49444</v>
      </c>
      <c r="I14">
        <v>1.48591</v>
      </c>
      <c r="J14">
        <v>0.00853</v>
      </c>
      <c r="K14" s="4">
        <f t="shared" si="0"/>
        <v>0.00574058994151732</v>
      </c>
      <c r="L14" s="4">
        <f t="shared" si="1"/>
        <v>0</v>
      </c>
      <c r="M14" s="18">
        <f t="shared" si="2"/>
        <v>0</v>
      </c>
    </row>
    <row r="15" spans="1:13">
      <c r="A15" t="s">
        <v>13</v>
      </c>
      <c r="B15" t="s">
        <v>40</v>
      </c>
      <c r="C15" t="s">
        <v>41</v>
      </c>
      <c r="D15">
        <v>3290.4203</v>
      </c>
      <c r="E15">
        <v>3390.4203</v>
      </c>
      <c r="F15">
        <v>0.8847</v>
      </c>
      <c r="G15">
        <v>-100</v>
      </c>
      <c r="H15">
        <v>0.291103</v>
      </c>
      <c r="I15">
        <v>0.298221</v>
      </c>
      <c r="J15">
        <v>-0.007118</v>
      </c>
      <c r="K15" s="4">
        <f t="shared" si="0"/>
        <v>-0.0238682051230463</v>
      </c>
      <c r="L15" s="4">
        <f t="shared" si="1"/>
        <v>-0.0294948682321186</v>
      </c>
      <c r="M15" s="18">
        <f t="shared" si="2"/>
        <v>-0.008847</v>
      </c>
    </row>
    <row r="16" spans="1:13">
      <c r="A16" t="s">
        <v>13</v>
      </c>
      <c r="B16" t="s">
        <v>42</v>
      </c>
      <c r="C16" t="s">
        <v>43</v>
      </c>
      <c r="D16">
        <v>6332.7711</v>
      </c>
      <c r="E16">
        <v>6832.7711</v>
      </c>
      <c r="F16">
        <v>0.9024</v>
      </c>
      <c r="G16">
        <v>-500</v>
      </c>
      <c r="H16">
        <v>0.571469</v>
      </c>
      <c r="I16">
        <v>0.613036</v>
      </c>
      <c r="J16">
        <v>-0.041567</v>
      </c>
      <c r="K16" s="4">
        <f t="shared" si="0"/>
        <v>-0.0678051533678283</v>
      </c>
      <c r="L16" s="4">
        <f t="shared" si="1"/>
        <v>-0.0731767525477328</v>
      </c>
      <c r="M16" s="18">
        <f t="shared" si="2"/>
        <v>-0.04512</v>
      </c>
    </row>
    <row r="17" spans="1:13">
      <c r="A17" t="s">
        <v>13</v>
      </c>
      <c r="B17" t="s">
        <v>44</v>
      </c>
      <c r="C17" t="s">
        <v>45</v>
      </c>
      <c r="D17">
        <v>10756.7082</v>
      </c>
      <c r="E17">
        <v>10756.7082</v>
      </c>
      <c r="F17">
        <v>0.835</v>
      </c>
      <c r="G17">
        <v>0</v>
      </c>
      <c r="H17">
        <v>0.898185</v>
      </c>
      <c r="I17">
        <v>0.910986</v>
      </c>
      <c r="J17">
        <v>-0.012801</v>
      </c>
      <c r="K17" s="4">
        <f t="shared" si="0"/>
        <v>-0.0140518076018731</v>
      </c>
      <c r="L17" s="4">
        <f t="shared" si="1"/>
        <v>0</v>
      </c>
      <c r="M17" s="18">
        <f t="shared" si="2"/>
        <v>0</v>
      </c>
    </row>
    <row r="18" spans="1:13">
      <c r="A18" t="s">
        <v>13</v>
      </c>
      <c r="B18" t="s">
        <v>46</v>
      </c>
      <c r="C18" t="s">
        <v>47</v>
      </c>
      <c r="D18">
        <v>19090.7712</v>
      </c>
      <c r="E18">
        <v>19090.7712</v>
      </c>
      <c r="F18">
        <v>0.9553</v>
      </c>
      <c r="G18">
        <v>0</v>
      </c>
      <c r="H18">
        <v>1.823741</v>
      </c>
      <c r="I18">
        <v>1.83405</v>
      </c>
      <c r="J18">
        <v>-0.010309</v>
      </c>
      <c r="K18" s="4">
        <f t="shared" si="0"/>
        <v>-0.00562089365066383</v>
      </c>
      <c r="L18" s="4">
        <f t="shared" si="1"/>
        <v>0</v>
      </c>
      <c r="M18" s="18">
        <f t="shared" si="2"/>
        <v>0</v>
      </c>
    </row>
    <row r="19" spans="1:13">
      <c r="A19" t="s">
        <v>13</v>
      </c>
      <c r="B19" t="s">
        <v>48</v>
      </c>
      <c r="C19" t="s">
        <v>49</v>
      </c>
      <c r="D19">
        <v>11163.0967</v>
      </c>
      <c r="E19">
        <v>11463.0967</v>
      </c>
      <c r="F19">
        <v>1.1664</v>
      </c>
      <c r="G19">
        <v>-300</v>
      </c>
      <c r="H19">
        <v>1.302064</v>
      </c>
      <c r="I19">
        <v>1.300488</v>
      </c>
      <c r="J19">
        <v>0.001576</v>
      </c>
      <c r="K19" s="4">
        <f t="shared" si="0"/>
        <v>0.00121185278141744</v>
      </c>
      <c r="L19" s="4">
        <f t="shared" si="1"/>
        <v>-0.0261709386085873</v>
      </c>
      <c r="M19" s="18">
        <f t="shared" si="2"/>
        <v>-0.034992</v>
      </c>
    </row>
    <row r="20" spans="1:13">
      <c r="A20" t="s">
        <v>13</v>
      </c>
      <c r="B20" t="s">
        <v>50</v>
      </c>
      <c r="C20" t="s">
        <v>51</v>
      </c>
      <c r="D20">
        <v>12777.7943</v>
      </c>
      <c r="E20">
        <v>12977.7943</v>
      </c>
      <c r="F20">
        <v>0.9837</v>
      </c>
      <c r="G20">
        <v>-200</v>
      </c>
      <c r="H20">
        <v>1.256952</v>
      </c>
      <c r="I20">
        <v>1.294924</v>
      </c>
      <c r="J20">
        <v>-0.037972</v>
      </c>
      <c r="K20" s="4">
        <f t="shared" si="0"/>
        <v>-0.0293237286512568</v>
      </c>
      <c r="L20" s="4">
        <f t="shared" si="1"/>
        <v>-0.0154109392841895</v>
      </c>
      <c r="M20" s="18">
        <f t="shared" si="2"/>
        <v>-0.019674</v>
      </c>
    </row>
    <row r="21" spans="1:13">
      <c r="A21" t="s">
        <v>13</v>
      </c>
      <c r="B21" t="s">
        <v>52</v>
      </c>
      <c r="C21" t="s">
        <v>53</v>
      </c>
      <c r="D21">
        <v>6051.3446</v>
      </c>
      <c r="E21">
        <v>6051.3446</v>
      </c>
      <c r="F21">
        <v>0.8991</v>
      </c>
      <c r="G21">
        <v>0</v>
      </c>
      <c r="H21">
        <v>0.544076</v>
      </c>
      <c r="I21">
        <v>0.54093</v>
      </c>
      <c r="J21">
        <v>0.003146</v>
      </c>
      <c r="K21" s="4">
        <f t="shared" si="0"/>
        <v>0.00581590963710646</v>
      </c>
      <c r="L21" s="4">
        <f t="shared" si="1"/>
        <v>0</v>
      </c>
      <c r="M21" s="18">
        <f t="shared" si="2"/>
        <v>0</v>
      </c>
    </row>
    <row r="22" spans="1:13">
      <c r="A22" t="s">
        <v>13</v>
      </c>
      <c r="B22" t="s">
        <v>54</v>
      </c>
      <c r="C22" t="s">
        <v>55</v>
      </c>
      <c r="D22">
        <v>13647.2283</v>
      </c>
      <c r="E22">
        <v>13547.2283</v>
      </c>
      <c r="F22">
        <v>0.8353</v>
      </c>
      <c r="G22">
        <v>100</v>
      </c>
      <c r="H22">
        <v>1.139953</v>
      </c>
      <c r="I22">
        <v>1.147721</v>
      </c>
      <c r="J22">
        <v>-0.007768</v>
      </c>
      <c r="K22" s="4">
        <f t="shared" si="0"/>
        <v>-0.00676819540637489</v>
      </c>
      <c r="L22" s="4">
        <f t="shared" si="1"/>
        <v>0.00738158372956629</v>
      </c>
      <c r="M22" s="18">
        <f t="shared" si="2"/>
        <v>0.008353</v>
      </c>
    </row>
    <row r="23" spans="1:13">
      <c r="A23" t="s">
        <v>13</v>
      </c>
      <c r="B23" t="s">
        <v>56</v>
      </c>
      <c r="C23" t="s">
        <v>57</v>
      </c>
      <c r="D23">
        <v>14244.9016</v>
      </c>
      <c r="E23">
        <v>14444.9016</v>
      </c>
      <c r="F23">
        <v>0.8344</v>
      </c>
      <c r="G23">
        <v>-200</v>
      </c>
      <c r="H23">
        <v>1.188595</v>
      </c>
      <c r="I23">
        <v>1.226805</v>
      </c>
      <c r="J23">
        <v>-0.03821</v>
      </c>
      <c r="K23" s="4">
        <f t="shared" si="0"/>
        <v>-0.0311459441394517</v>
      </c>
      <c r="L23" s="4">
        <f t="shared" si="1"/>
        <v>-0.0138457156399044</v>
      </c>
      <c r="M23" s="18">
        <f t="shared" si="2"/>
        <v>-0.016688</v>
      </c>
    </row>
    <row r="24" spans="1:13">
      <c r="A24" t="s">
        <v>13</v>
      </c>
      <c r="B24" t="s">
        <v>58</v>
      </c>
      <c r="C24" t="s">
        <v>59</v>
      </c>
      <c r="D24">
        <v>29512.7717</v>
      </c>
      <c r="E24">
        <v>30512.7717</v>
      </c>
      <c r="F24">
        <v>0.984</v>
      </c>
      <c r="G24">
        <v>-1000</v>
      </c>
      <c r="H24">
        <v>2.904057</v>
      </c>
      <c r="I24">
        <v>3.010085</v>
      </c>
      <c r="J24">
        <v>-0.106028</v>
      </c>
      <c r="K24" s="4">
        <f t="shared" si="0"/>
        <v>-0.0352242544645749</v>
      </c>
      <c r="L24" s="4">
        <f t="shared" si="1"/>
        <v>-0.032773161672494</v>
      </c>
      <c r="M24" s="18">
        <f t="shared" si="2"/>
        <v>-0.0984</v>
      </c>
    </row>
    <row r="25" spans="1:13">
      <c r="A25" t="s">
        <v>13</v>
      </c>
      <c r="B25" t="s">
        <v>60</v>
      </c>
      <c r="C25" t="s">
        <v>61</v>
      </c>
      <c r="D25">
        <v>34796.8176</v>
      </c>
      <c r="E25">
        <v>34946.8176</v>
      </c>
      <c r="F25">
        <v>0.8323</v>
      </c>
      <c r="G25">
        <v>-150</v>
      </c>
      <c r="H25">
        <v>2.896139</v>
      </c>
      <c r="I25">
        <v>2.96349</v>
      </c>
      <c r="J25">
        <v>-0.067351</v>
      </c>
      <c r="K25" s="4">
        <f t="shared" si="0"/>
        <v>-0.022726919949114</v>
      </c>
      <c r="L25" s="4">
        <f t="shared" si="1"/>
        <v>-0.00429223632654894</v>
      </c>
      <c r="M25" s="18">
        <f t="shared" si="2"/>
        <v>-0.0124845</v>
      </c>
    </row>
    <row r="26" spans="1:13">
      <c r="A26" t="s">
        <v>13</v>
      </c>
      <c r="B26" t="s">
        <v>62</v>
      </c>
      <c r="C26" t="s">
        <v>63</v>
      </c>
      <c r="D26">
        <v>55952.8624</v>
      </c>
      <c r="E26">
        <v>56102.8624</v>
      </c>
      <c r="F26">
        <v>0.9274</v>
      </c>
      <c r="G26">
        <v>-150</v>
      </c>
      <c r="H26">
        <v>5.189068</v>
      </c>
      <c r="I26">
        <v>5.298915</v>
      </c>
      <c r="J26">
        <v>-0.109847</v>
      </c>
      <c r="K26" s="4">
        <f t="shared" si="0"/>
        <v>-0.0207300928586324</v>
      </c>
      <c r="L26" s="4">
        <f t="shared" si="1"/>
        <v>-0.00267366037280836</v>
      </c>
      <c r="M26" s="18">
        <f t="shared" si="2"/>
        <v>-0.013911</v>
      </c>
    </row>
    <row r="27" spans="1:13">
      <c r="A27" t="s">
        <v>13</v>
      </c>
      <c r="B27" t="s">
        <v>64</v>
      </c>
      <c r="C27" t="s">
        <v>65</v>
      </c>
      <c r="D27">
        <v>26284.5019</v>
      </c>
      <c r="E27">
        <v>26584.5019</v>
      </c>
      <c r="F27">
        <v>0.9688</v>
      </c>
      <c r="G27">
        <v>-300</v>
      </c>
      <c r="H27">
        <v>2.546443</v>
      </c>
      <c r="I27">
        <v>2.575772</v>
      </c>
      <c r="J27">
        <v>-0.029329</v>
      </c>
      <c r="K27" s="4">
        <f t="shared" si="0"/>
        <v>-0.0113864891768371</v>
      </c>
      <c r="L27" s="4">
        <f t="shared" si="1"/>
        <v>-0.0112847703947389</v>
      </c>
      <c r="M27" s="18">
        <f t="shared" si="2"/>
        <v>-0.029064</v>
      </c>
    </row>
    <row r="28" spans="1:13">
      <c r="A28" t="s">
        <v>13</v>
      </c>
      <c r="B28" t="s">
        <v>66</v>
      </c>
      <c r="C28" t="s">
        <v>67</v>
      </c>
      <c r="D28">
        <v>20832.3473</v>
      </c>
      <c r="E28">
        <v>20932.3473</v>
      </c>
      <c r="F28">
        <v>0.9454</v>
      </c>
      <c r="G28">
        <v>-100</v>
      </c>
      <c r="H28">
        <v>1.96949</v>
      </c>
      <c r="I28">
        <v>2.015994</v>
      </c>
      <c r="J28">
        <v>-0.046504</v>
      </c>
      <c r="K28" s="4">
        <f t="shared" si="0"/>
        <v>-0.0230675289708203</v>
      </c>
      <c r="L28" s="4">
        <f t="shared" si="1"/>
        <v>-0.0047772950910288</v>
      </c>
      <c r="M28" s="18">
        <f t="shared" si="2"/>
        <v>-0.009454</v>
      </c>
    </row>
    <row r="29" spans="1:13">
      <c r="A29" t="s">
        <v>13</v>
      </c>
      <c r="B29" t="s">
        <v>68</v>
      </c>
      <c r="C29" t="s">
        <v>69</v>
      </c>
      <c r="D29">
        <v>34885.9726</v>
      </c>
      <c r="E29">
        <v>34885.9726</v>
      </c>
      <c r="F29">
        <v>0.8429</v>
      </c>
      <c r="G29">
        <v>0</v>
      </c>
      <c r="H29">
        <v>2.940539</v>
      </c>
      <c r="I29">
        <v>2.951702</v>
      </c>
      <c r="J29">
        <v>-0.011163</v>
      </c>
      <c r="K29" s="4">
        <f t="shared" si="0"/>
        <v>-0.00378188584077932</v>
      </c>
      <c r="L29" s="4">
        <f t="shared" si="1"/>
        <v>0</v>
      </c>
      <c r="M29" s="18">
        <f t="shared" si="2"/>
        <v>0</v>
      </c>
    </row>
    <row r="30" spans="1:13">
      <c r="A30" t="s">
        <v>13</v>
      </c>
      <c r="B30" t="s">
        <v>70</v>
      </c>
      <c r="C30" t="s">
        <v>71</v>
      </c>
      <c r="D30">
        <v>40274.0164</v>
      </c>
      <c r="E30">
        <v>40774.0164</v>
      </c>
      <c r="F30">
        <v>0.9808</v>
      </c>
      <c r="G30">
        <v>-500</v>
      </c>
      <c r="H30">
        <v>3.950076</v>
      </c>
      <c r="I30">
        <v>4.021133</v>
      </c>
      <c r="J30">
        <v>-0.071057</v>
      </c>
      <c r="K30" s="4">
        <f t="shared" si="0"/>
        <v>-0.0176708902689864</v>
      </c>
      <c r="L30" s="4">
        <f t="shared" si="1"/>
        <v>-0.0122627115046729</v>
      </c>
      <c r="M30" s="18">
        <f t="shared" si="2"/>
        <v>-0.04904</v>
      </c>
    </row>
    <row r="31" spans="1:13">
      <c r="A31" t="s">
        <v>13</v>
      </c>
      <c r="B31" t="s">
        <v>72</v>
      </c>
      <c r="C31" t="s">
        <v>73</v>
      </c>
      <c r="D31">
        <v>18124.9832</v>
      </c>
      <c r="E31">
        <v>19224.9832</v>
      </c>
      <c r="F31">
        <v>0.9625</v>
      </c>
      <c r="G31">
        <v>-1100</v>
      </c>
      <c r="H31">
        <v>1.74453</v>
      </c>
      <c r="I31">
        <v>1.86367</v>
      </c>
      <c r="J31">
        <v>-0.11914</v>
      </c>
      <c r="K31" s="4">
        <f t="shared" si="0"/>
        <v>-0.063927626672104</v>
      </c>
      <c r="L31" s="4">
        <f t="shared" si="1"/>
        <v>-0.057217215149504</v>
      </c>
      <c r="M31" s="18">
        <f t="shared" si="2"/>
        <v>-0.105875</v>
      </c>
    </row>
    <row r="32" spans="1:13">
      <c r="A32" t="s">
        <v>13</v>
      </c>
      <c r="B32" t="s">
        <v>74</v>
      </c>
      <c r="C32" t="s">
        <v>75</v>
      </c>
      <c r="D32">
        <v>18902.6939</v>
      </c>
      <c r="E32">
        <v>19102.6939</v>
      </c>
      <c r="F32">
        <v>0.8909</v>
      </c>
      <c r="G32">
        <v>-200</v>
      </c>
      <c r="H32">
        <v>1.684041</v>
      </c>
      <c r="I32">
        <v>1.73376</v>
      </c>
      <c r="J32">
        <v>-0.049719</v>
      </c>
      <c r="K32" s="4">
        <f t="shared" si="0"/>
        <v>-0.0286769795127353</v>
      </c>
      <c r="L32" s="4">
        <f t="shared" si="1"/>
        <v>-0.010469727518379</v>
      </c>
      <c r="M32" s="18">
        <f t="shared" si="2"/>
        <v>-0.017818</v>
      </c>
    </row>
    <row r="33" spans="1:13">
      <c r="A33" t="s">
        <v>13</v>
      </c>
      <c r="B33" t="s">
        <v>76</v>
      </c>
      <c r="C33" t="s">
        <v>77</v>
      </c>
      <c r="D33">
        <v>16847.1832</v>
      </c>
      <c r="E33">
        <v>17247.1832</v>
      </c>
      <c r="F33">
        <v>0.9546</v>
      </c>
      <c r="G33">
        <v>-400</v>
      </c>
      <c r="H33">
        <v>1.608232</v>
      </c>
      <c r="I33">
        <v>1.668837</v>
      </c>
      <c r="J33">
        <v>-0.060605</v>
      </c>
      <c r="K33" s="4">
        <f t="shared" si="0"/>
        <v>-0.036315709682851</v>
      </c>
      <c r="L33" s="4">
        <f t="shared" si="1"/>
        <v>-0.023192192914145</v>
      </c>
      <c r="M33" s="18">
        <f t="shared" si="2"/>
        <v>-0.038184</v>
      </c>
    </row>
    <row r="34" spans="1:13">
      <c r="A34" t="s">
        <v>13</v>
      </c>
      <c r="B34" t="s">
        <v>78</v>
      </c>
      <c r="C34" t="s">
        <v>79</v>
      </c>
      <c r="D34">
        <v>19480.1105</v>
      </c>
      <c r="E34">
        <v>19780.1105</v>
      </c>
      <c r="F34">
        <v>0.9637</v>
      </c>
      <c r="G34">
        <v>-300</v>
      </c>
      <c r="H34">
        <v>1.877298</v>
      </c>
      <c r="I34">
        <v>1.920055</v>
      </c>
      <c r="J34">
        <v>-0.042757</v>
      </c>
      <c r="K34" s="4">
        <f t="shared" si="0"/>
        <v>-0.0222686329297859</v>
      </c>
      <c r="L34" s="4">
        <f t="shared" si="1"/>
        <v>-0.01516675045875</v>
      </c>
      <c r="M34" s="18">
        <f t="shared" si="2"/>
        <v>-0.028911</v>
      </c>
    </row>
    <row r="35" spans="1:13">
      <c r="A35" t="s">
        <v>13</v>
      </c>
      <c r="B35" t="s">
        <v>80</v>
      </c>
      <c r="C35" t="s">
        <v>81</v>
      </c>
      <c r="D35">
        <v>46197.6854</v>
      </c>
      <c r="E35">
        <v>47147.6854</v>
      </c>
      <c r="F35">
        <v>0.9877</v>
      </c>
      <c r="G35">
        <v>-950</v>
      </c>
      <c r="H35">
        <v>4.562945</v>
      </c>
      <c r="I35">
        <v>4.68978</v>
      </c>
      <c r="J35">
        <v>-0.126835</v>
      </c>
      <c r="K35" s="4">
        <f t="shared" si="0"/>
        <v>-0.0270449786557152</v>
      </c>
      <c r="L35" s="4">
        <f t="shared" si="1"/>
        <v>-0.0201494514935403</v>
      </c>
      <c r="M35" s="18">
        <f t="shared" si="2"/>
        <v>-0.0938315</v>
      </c>
    </row>
    <row r="36" spans="1:13">
      <c r="A36" t="s">
        <v>13</v>
      </c>
      <c r="B36" t="s">
        <v>82</v>
      </c>
      <c r="C36" t="s">
        <v>83</v>
      </c>
      <c r="D36">
        <v>18080.3897</v>
      </c>
      <c r="E36">
        <v>20080.3897</v>
      </c>
      <c r="F36">
        <v>1.0271</v>
      </c>
      <c r="G36">
        <v>-2000</v>
      </c>
      <c r="H36">
        <v>1.857037</v>
      </c>
      <c r="I36">
        <v>2.079124</v>
      </c>
      <c r="J36">
        <v>-0.222087</v>
      </c>
      <c r="K36" s="4">
        <f t="shared" si="0"/>
        <v>-0.106817582789675</v>
      </c>
      <c r="L36" s="4">
        <f t="shared" si="1"/>
        <v>-0.0995996606579802</v>
      </c>
      <c r="M36" s="18">
        <f t="shared" si="2"/>
        <v>-0.20542</v>
      </c>
    </row>
    <row r="37" spans="1:13">
      <c r="A37" t="s">
        <v>13</v>
      </c>
      <c r="B37" t="s">
        <v>84</v>
      </c>
      <c r="C37" t="s">
        <v>85</v>
      </c>
      <c r="D37">
        <v>23270.3612</v>
      </c>
      <c r="E37">
        <v>24370.3612</v>
      </c>
      <c r="F37">
        <v>1.0134</v>
      </c>
      <c r="G37">
        <v>-1100</v>
      </c>
      <c r="H37">
        <v>2.358218</v>
      </c>
      <c r="I37">
        <v>2.48992</v>
      </c>
      <c r="J37">
        <v>-0.131702</v>
      </c>
      <c r="K37" s="4">
        <f t="shared" si="0"/>
        <v>-0.0528940688857473</v>
      </c>
      <c r="L37" s="4">
        <f t="shared" si="1"/>
        <v>-0.0451367951001071</v>
      </c>
      <c r="M37" s="18">
        <f t="shared" si="2"/>
        <v>-0.111474</v>
      </c>
    </row>
    <row r="38" spans="1:13">
      <c r="A38" t="s">
        <v>13</v>
      </c>
      <c r="B38" t="s">
        <v>86</v>
      </c>
      <c r="C38" t="s">
        <v>87</v>
      </c>
      <c r="D38">
        <v>22511.7894</v>
      </c>
      <c r="E38">
        <v>22911.7894</v>
      </c>
      <c r="F38">
        <v>0.9814</v>
      </c>
      <c r="G38">
        <v>-400</v>
      </c>
      <c r="H38">
        <v>2.209307</v>
      </c>
      <c r="I38">
        <v>2.262081</v>
      </c>
      <c r="J38">
        <v>-0.052774</v>
      </c>
      <c r="K38" s="4">
        <f t="shared" si="0"/>
        <v>-0.0233298453945725</v>
      </c>
      <c r="L38" s="4">
        <f t="shared" si="1"/>
        <v>-0.0174582610295816</v>
      </c>
      <c r="M38" s="18">
        <f t="shared" si="2"/>
        <v>-0.039256</v>
      </c>
    </row>
    <row r="39" spans="1:13">
      <c r="A39" t="s">
        <v>13</v>
      </c>
      <c r="B39" t="s">
        <v>88</v>
      </c>
      <c r="C39" t="s">
        <v>89</v>
      </c>
      <c r="D39">
        <v>25292.6092</v>
      </c>
      <c r="E39">
        <v>30292.6092</v>
      </c>
      <c r="F39">
        <v>1.0533</v>
      </c>
      <c r="G39">
        <v>-5000</v>
      </c>
      <c r="H39">
        <v>2.664071</v>
      </c>
      <c r="I39">
        <v>3.173151</v>
      </c>
      <c r="J39">
        <v>-0.50908</v>
      </c>
      <c r="K39" s="4">
        <f t="shared" si="0"/>
        <v>-0.160433587938299</v>
      </c>
      <c r="L39" s="4">
        <f t="shared" si="1"/>
        <v>-0.165056762426394</v>
      </c>
      <c r="M39" s="18">
        <f t="shared" si="2"/>
        <v>-0.52665</v>
      </c>
    </row>
    <row r="40" spans="1:13">
      <c r="A40" t="s">
        <v>13</v>
      </c>
      <c r="B40" t="s">
        <v>90</v>
      </c>
      <c r="C40" t="s">
        <v>91</v>
      </c>
      <c r="D40">
        <v>12169.8132</v>
      </c>
      <c r="E40">
        <v>12319.8132</v>
      </c>
      <c r="F40">
        <v>1.102</v>
      </c>
      <c r="G40">
        <v>-150</v>
      </c>
      <c r="H40">
        <v>1.341113</v>
      </c>
      <c r="I40">
        <v>1.370702</v>
      </c>
      <c r="J40">
        <v>-0.029589</v>
      </c>
      <c r="K40" s="4">
        <f t="shared" si="0"/>
        <v>-0.0215867489797199</v>
      </c>
      <c r="L40" s="4">
        <f t="shared" si="1"/>
        <v>-0.0121755092845077</v>
      </c>
      <c r="M40" s="18">
        <f t="shared" si="2"/>
        <v>-0.01653</v>
      </c>
    </row>
    <row r="41" spans="1:13">
      <c r="A41" t="s">
        <v>13</v>
      </c>
      <c r="B41" t="s">
        <v>92</v>
      </c>
      <c r="C41" t="s">
        <v>93</v>
      </c>
      <c r="D41">
        <v>9729.3952</v>
      </c>
      <c r="E41">
        <v>9929.3952</v>
      </c>
      <c r="F41">
        <v>1.1235</v>
      </c>
      <c r="G41">
        <v>-200</v>
      </c>
      <c r="H41">
        <v>1.093098</v>
      </c>
      <c r="I41">
        <v>1.126291</v>
      </c>
      <c r="J41">
        <v>-0.033193</v>
      </c>
      <c r="K41" s="4">
        <f t="shared" si="0"/>
        <v>-0.0294710691997006</v>
      </c>
      <c r="L41" s="4">
        <f t="shared" si="1"/>
        <v>-0.0201422136969631</v>
      </c>
      <c r="M41" s="18">
        <f t="shared" si="2"/>
        <v>-0.02247</v>
      </c>
    </row>
    <row r="42" spans="1:13">
      <c r="A42" t="s">
        <v>13</v>
      </c>
      <c r="B42" t="s">
        <v>94</v>
      </c>
      <c r="C42" t="s">
        <v>95</v>
      </c>
      <c r="D42">
        <v>23793.4358</v>
      </c>
      <c r="E42">
        <v>24493.4358</v>
      </c>
      <c r="F42">
        <v>0.9798</v>
      </c>
      <c r="G42">
        <v>-700</v>
      </c>
      <c r="H42">
        <v>2.331281</v>
      </c>
      <c r="I42">
        <v>2.414318</v>
      </c>
      <c r="J42">
        <v>-0.083037</v>
      </c>
      <c r="K42" s="4">
        <f t="shared" si="0"/>
        <v>-0.0343935637310412</v>
      </c>
      <c r="L42" s="4">
        <f t="shared" si="1"/>
        <v>-0.0285790856666993</v>
      </c>
      <c r="M42" s="18">
        <f t="shared" si="2"/>
        <v>-0.068586</v>
      </c>
    </row>
    <row r="43" spans="1:13">
      <c r="A43" t="s">
        <v>13</v>
      </c>
      <c r="B43" t="s">
        <v>96</v>
      </c>
      <c r="C43" t="s">
        <v>97</v>
      </c>
      <c r="D43">
        <v>14071.5334</v>
      </c>
      <c r="E43">
        <v>14671.5334</v>
      </c>
      <c r="F43">
        <v>0.9828</v>
      </c>
      <c r="G43">
        <v>-600</v>
      </c>
      <c r="H43">
        <v>1.38295</v>
      </c>
      <c r="I43">
        <v>1.450721</v>
      </c>
      <c r="J43">
        <v>-0.067771</v>
      </c>
      <c r="K43" s="4">
        <f t="shared" si="0"/>
        <v>-0.0467153918637698</v>
      </c>
      <c r="L43" s="4">
        <f t="shared" si="1"/>
        <v>-0.0408955208458306</v>
      </c>
      <c r="M43" s="18">
        <f t="shared" si="2"/>
        <v>-0.058968</v>
      </c>
    </row>
    <row r="44" spans="1:13">
      <c r="A44" t="s">
        <v>13</v>
      </c>
      <c r="B44" t="s">
        <v>98</v>
      </c>
      <c r="C44" t="s">
        <v>99</v>
      </c>
      <c r="D44">
        <v>14048.3423</v>
      </c>
      <c r="E44">
        <v>14548.3423</v>
      </c>
      <c r="F44">
        <v>0.9854</v>
      </c>
      <c r="G44">
        <v>-500</v>
      </c>
      <c r="H44">
        <v>1.384324</v>
      </c>
      <c r="I44">
        <v>1.460654</v>
      </c>
      <c r="J44">
        <v>-0.07633</v>
      </c>
      <c r="K44" s="4">
        <f t="shared" si="0"/>
        <v>-0.0522574134599981</v>
      </c>
      <c r="L44" s="4">
        <f t="shared" si="1"/>
        <v>-0.0343681767784636</v>
      </c>
      <c r="M44" s="18">
        <f t="shared" si="2"/>
        <v>-0.04927</v>
      </c>
    </row>
    <row r="45" spans="1:13">
      <c r="A45" t="s">
        <v>13</v>
      </c>
      <c r="B45" t="s">
        <v>100</v>
      </c>
      <c r="C45" t="s">
        <v>101</v>
      </c>
      <c r="D45">
        <v>9598.6647</v>
      </c>
      <c r="E45">
        <v>9498.6647</v>
      </c>
      <c r="F45">
        <v>0.9996</v>
      </c>
      <c r="G45">
        <v>100</v>
      </c>
      <c r="H45">
        <v>0.959483</v>
      </c>
      <c r="I45">
        <v>0.967534</v>
      </c>
      <c r="J45">
        <v>-0.008051</v>
      </c>
      <c r="K45" s="4">
        <f t="shared" si="0"/>
        <v>-0.00832115460541955</v>
      </c>
      <c r="L45" s="4">
        <f t="shared" si="1"/>
        <v>0.010527795554253</v>
      </c>
      <c r="M45" s="18">
        <f t="shared" si="2"/>
        <v>0.009996</v>
      </c>
    </row>
    <row r="46" spans="1:13">
      <c r="A46" t="s">
        <v>13</v>
      </c>
      <c r="B46" t="s">
        <v>102</v>
      </c>
      <c r="C46" t="s">
        <v>103</v>
      </c>
      <c r="D46">
        <v>47354.6935</v>
      </c>
      <c r="E46">
        <v>47354.6935</v>
      </c>
      <c r="F46">
        <v>1.079</v>
      </c>
      <c r="G46">
        <v>0</v>
      </c>
      <c r="H46">
        <v>5.109571</v>
      </c>
      <c r="I46">
        <v>5.173027</v>
      </c>
      <c r="J46">
        <v>-0.063456</v>
      </c>
      <c r="K46" s="4">
        <f t="shared" si="0"/>
        <v>-0.0122667057411454</v>
      </c>
      <c r="L46" s="4">
        <f t="shared" si="1"/>
        <v>0</v>
      </c>
      <c r="M46" s="18">
        <f t="shared" si="2"/>
        <v>0</v>
      </c>
    </row>
    <row r="47" spans="1:13">
      <c r="A47" t="s">
        <v>13</v>
      </c>
      <c r="B47" t="s">
        <v>104</v>
      </c>
      <c r="C47" t="s">
        <v>105</v>
      </c>
      <c r="D47">
        <v>350131.1457</v>
      </c>
      <c r="E47">
        <v>350731.1457</v>
      </c>
      <c r="F47">
        <v>0.7122</v>
      </c>
      <c r="G47">
        <v>-600</v>
      </c>
      <c r="H47">
        <v>24.93634</v>
      </c>
      <c r="I47">
        <v>25.007131</v>
      </c>
      <c r="J47">
        <v>-0.070791</v>
      </c>
      <c r="K47" s="4">
        <f t="shared" si="0"/>
        <v>-0.00283083253332819</v>
      </c>
      <c r="L47" s="4">
        <f t="shared" si="1"/>
        <v>-0.00171071205781426</v>
      </c>
      <c r="M47" s="18">
        <f t="shared" si="2"/>
        <v>-0.042732</v>
      </c>
    </row>
    <row r="48" spans="1:13">
      <c r="A48" t="s">
        <v>13</v>
      </c>
      <c r="B48" t="s">
        <v>106</v>
      </c>
      <c r="C48" t="s">
        <v>107</v>
      </c>
      <c r="D48">
        <v>82362.2004</v>
      </c>
      <c r="E48">
        <v>82362.2004</v>
      </c>
      <c r="F48">
        <v>0.645</v>
      </c>
      <c r="G48">
        <v>0</v>
      </c>
      <c r="H48">
        <v>5.312362</v>
      </c>
      <c r="I48">
        <v>5.384841</v>
      </c>
      <c r="J48">
        <v>-0.072479</v>
      </c>
      <c r="K48" s="4">
        <f t="shared" si="0"/>
        <v>-0.0134598217477545</v>
      </c>
      <c r="L48" s="4">
        <f t="shared" si="1"/>
        <v>0</v>
      </c>
      <c r="M48" s="18">
        <f t="shared" si="2"/>
        <v>0</v>
      </c>
    </row>
    <row r="49" spans="1:13">
      <c r="A49" t="s">
        <v>13</v>
      </c>
      <c r="B49" t="s">
        <v>108</v>
      </c>
      <c r="C49" t="s">
        <v>109</v>
      </c>
      <c r="D49">
        <v>29540.6771</v>
      </c>
      <c r="E49">
        <v>29640.6771</v>
      </c>
      <c r="F49">
        <v>0.6891</v>
      </c>
      <c r="G49">
        <v>-100</v>
      </c>
      <c r="H49">
        <v>2.035648</v>
      </c>
      <c r="I49">
        <v>2.049949</v>
      </c>
      <c r="J49">
        <v>-0.014301</v>
      </c>
      <c r="K49" s="4">
        <f t="shared" si="0"/>
        <v>-0.00697627111698876</v>
      </c>
      <c r="L49" s="4">
        <f t="shared" si="1"/>
        <v>-0.00337374209309139</v>
      </c>
      <c r="M49" s="18">
        <f t="shared" si="2"/>
        <v>-0.006891</v>
      </c>
    </row>
    <row r="50" spans="1:13">
      <c r="A50" t="s">
        <v>13</v>
      </c>
      <c r="B50" t="s">
        <v>110</v>
      </c>
      <c r="C50" t="s">
        <v>111</v>
      </c>
      <c r="D50">
        <v>21827.2984</v>
      </c>
      <c r="E50">
        <v>21827.2984</v>
      </c>
      <c r="F50">
        <v>0.7278</v>
      </c>
      <c r="G50">
        <v>0</v>
      </c>
      <c r="H50">
        <v>1.588591</v>
      </c>
      <c r="I50">
        <v>1.610636</v>
      </c>
      <c r="J50">
        <v>-0.022045</v>
      </c>
      <c r="K50" s="4">
        <f t="shared" si="0"/>
        <v>-0.0136871397385877</v>
      </c>
      <c r="L50" s="4">
        <f t="shared" si="1"/>
        <v>0</v>
      </c>
      <c r="M50" s="18">
        <f t="shared" si="2"/>
        <v>0</v>
      </c>
    </row>
    <row r="51" spans="1:13">
      <c r="A51" t="s">
        <v>13</v>
      </c>
      <c r="B51" t="s">
        <v>112</v>
      </c>
      <c r="C51" t="s">
        <v>113</v>
      </c>
      <c r="D51">
        <v>3957.9488</v>
      </c>
      <c r="E51">
        <v>3957.9488</v>
      </c>
      <c r="F51">
        <v>1.2112</v>
      </c>
      <c r="G51">
        <v>0</v>
      </c>
      <c r="H51">
        <v>0.479387</v>
      </c>
      <c r="I51">
        <v>0.472896</v>
      </c>
      <c r="J51">
        <v>0.006491</v>
      </c>
      <c r="K51" s="4">
        <f t="shared" si="0"/>
        <v>0.0137260623900392</v>
      </c>
      <c r="L51" s="4">
        <f t="shared" si="1"/>
        <v>0</v>
      </c>
      <c r="M51" s="18">
        <f t="shared" si="2"/>
        <v>0</v>
      </c>
    </row>
    <row r="52" spans="1:13">
      <c r="A52" t="s">
        <v>13</v>
      </c>
      <c r="B52" t="s">
        <v>114</v>
      </c>
      <c r="C52" t="s">
        <v>115</v>
      </c>
      <c r="D52">
        <v>67182.3006</v>
      </c>
      <c r="E52">
        <v>67782.3006</v>
      </c>
      <c r="F52">
        <v>0.7857</v>
      </c>
      <c r="G52">
        <v>-600</v>
      </c>
      <c r="H52">
        <v>5.278513</v>
      </c>
      <c r="I52">
        <v>5.316844</v>
      </c>
      <c r="J52">
        <v>-0.038331</v>
      </c>
      <c r="K52" s="4">
        <f t="shared" si="0"/>
        <v>-0.00720935201408956</v>
      </c>
      <c r="L52" s="4">
        <f t="shared" si="1"/>
        <v>-0.00885186832976867</v>
      </c>
      <c r="M52" s="18">
        <f t="shared" si="2"/>
        <v>-0.047142</v>
      </c>
    </row>
    <row r="53" spans="1:13">
      <c r="A53" t="s">
        <v>13</v>
      </c>
      <c r="B53" t="s">
        <v>116</v>
      </c>
      <c r="C53" t="s">
        <v>117</v>
      </c>
      <c r="D53">
        <v>12073.8511</v>
      </c>
      <c r="E53">
        <v>12173.8511</v>
      </c>
      <c r="F53">
        <v>1.1195</v>
      </c>
      <c r="G53">
        <v>-100</v>
      </c>
      <c r="H53">
        <v>1.351668</v>
      </c>
      <c r="I53">
        <v>1.341437</v>
      </c>
      <c r="J53">
        <v>0.010231</v>
      </c>
      <c r="K53" s="4">
        <f t="shared" si="0"/>
        <v>0.00762689563505405</v>
      </c>
      <c r="L53" s="4">
        <f t="shared" si="1"/>
        <v>-0.0082143275105443</v>
      </c>
      <c r="M53" s="18">
        <f t="shared" si="2"/>
        <v>-0.011195</v>
      </c>
    </row>
    <row r="54" spans="1:13">
      <c r="A54" t="s">
        <v>13</v>
      </c>
      <c r="B54" t="s">
        <v>118</v>
      </c>
      <c r="C54" t="s">
        <v>119</v>
      </c>
      <c r="D54">
        <v>64716.3854</v>
      </c>
      <c r="E54">
        <v>62116.3854</v>
      </c>
      <c r="F54">
        <v>0.7973</v>
      </c>
      <c r="G54">
        <v>2600</v>
      </c>
      <c r="H54">
        <v>5.159837</v>
      </c>
      <c r="I54">
        <v>4.992915</v>
      </c>
      <c r="J54">
        <v>0.166922</v>
      </c>
      <c r="K54" s="4">
        <f t="shared" si="0"/>
        <v>0.0334317728220889</v>
      </c>
      <c r="L54" s="4">
        <f t="shared" si="1"/>
        <v>0.0418569107532133</v>
      </c>
      <c r="M54" s="18">
        <f t="shared" si="2"/>
        <v>0.207298</v>
      </c>
    </row>
    <row r="55" spans="1:13">
      <c r="A55" t="s">
        <v>13</v>
      </c>
      <c r="B55" t="s">
        <v>120</v>
      </c>
      <c r="C55" t="s">
        <v>121</v>
      </c>
      <c r="D55">
        <v>2211.7093</v>
      </c>
      <c r="E55">
        <v>2211.7093</v>
      </c>
      <c r="F55">
        <v>101.9429</v>
      </c>
      <c r="G55">
        <v>0</v>
      </c>
      <c r="H55">
        <v>22.546806</v>
      </c>
      <c r="I55">
        <v>22.542316</v>
      </c>
      <c r="J55">
        <v>0.00449</v>
      </c>
      <c r="K55" s="4">
        <f t="shared" si="0"/>
        <v>0.000199180953722767</v>
      </c>
      <c r="L55" s="4">
        <f t="shared" si="1"/>
        <v>0</v>
      </c>
      <c r="M55" s="18">
        <f t="shared" si="2"/>
        <v>0</v>
      </c>
    </row>
    <row r="56" spans="1:13">
      <c r="A56" t="s">
        <v>13</v>
      </c>
      <c r="B56" t="s">
        <v>122</v>
      </c>
      <c r="C56" t="s">
        <v>123</v>
      </c>
      <c r="D56">
        <v>12524.6676</v>
      </c>
      <c r="E56">
        <v>12524.6676</v>
      </c>
      <c r="F56">
        <v>101.8321</v>
      </c>
      <c r="G56">
        <v>0</v>
      </c>
      <c r="H56">
        <v>127.54132</v>
      </c>
      <c r="I56">
        <v>127.514017</v>
      </c>
      <c r="J56">
        <v>0.027303</v>
      </c>
      <c r="K56" s="4">
        <f t="shared" si="0"/>
        <v>0.000214117636965354</v>
      </c>
      <c r="L56" s="4">
        <f t="shared" si="1"/>
        <v>0</v>
      </c>
      <c r="M56" s="18">
        <f t="shared" si="2"/>
        <v>0</v>
      </c>
    </row>
    <row r="57" spans="1:13">
      <c r="A57" t="s">
        <v>13</v>
      </c>
      <c r="B57" t="s">
        <v>124</v>
      </c>
      <c r="C57" t="s">
        <v>125</v>
      </c>
      <c r="D57">
        <v>23768.783</v>
      </c>
      <c r="E57">
        <v>23468.783</v>
      </c>
      <c r="F57">
        <v>101.7252</v>
      </c>
      <c r="G57">
        <v>300</v>
      </c>
      <c r="H57">
        <v>241.78842</v>
      </c>
      <c r="I57">
        <v>238.681278</v>
      </c>
      <c r="J57">
        <v>3.107142</v>
      </c>
      <c r="K57" s="4">
        <f t="shared" si="0"/>
        <v>0.0130179544287508</v>
      </c>
      <c r="L57" s="4">
        <f t="shared" si="1"/>
        <v>0.0127829380841776</v>
      </c>
      <c r="M57" s="18">
        <f t="shared" si="2"/>
        <v>3.051756</v>
      </c>
    </row>
    <row r="58" spans="1:13">
      <c r="A58" t="s">
        <v>13</v>
      </c>
      <c r="B58" t="s">
        <v>126</v>
      </c>
      <c r="C58" t="s">
        <v>127</v>
      </c>
      <c r="D58">
        <v>8766.6237</v>
      </c>
      <c r="E58">
        <v>8466.6237</v>
      </c>
      <c r="F58">
        <v>101.6738</v>
      </c>
      <c r="G58">
        <v>300</v>
      </c>
      <c r="H58">
        <v>89.133594</v>
      </c>
      <c r="I58">
        <v>86.060436</v>
      </c>
      <c r="J58">
        <v>3.073158</v>
      </c>
      <c r="K58" s="4">
        <f t="shared" si="0"/>
        <v>0.0357093008452804</v>
      </c>
      <c r="L58" s="4">
        <f t="shared" si="1"/>
        <v>0.0354332506829139</v>
      </c>
      <c r="M58" s="18">
        <f t="shared" si="2"/>
        <v>3.050214</v>
      </c>
    </row>
    <row r="59" spans="1:13">
      <c r="A59" t="s">
        <v>13</v>
      </c>
      <c r="B59" t="s">
        <v>128</v>
      </c>
      <c r="C59" t="s">
        <v>129</v>
      </c>
      <c r="D59">
        <v>5152.3487</v>
      </c>
      <c r="E59">
        <v>5152.3487</v>
      </c>
      <c r="F59">
        <v>101.7104</v>
      </c>
      <c r="G59">
        <v>0</v>
      </c>
      <c r="H59">
        <v>52.404745</v>
      </c>
      <c r="I59">
        <v>52.392328</v>
      </c>
      <c r="J59">
        <v>0.012417</v>
      </c>
      <c r="K59" s="4">
        <f t="shared" si="0"/>
        <v>0.000237000348600658</v>
      </c>
      <c r="L59" s="4">
        <f t="shared" si="1"/>
        <v>0</v>
      </c>
      <c r="M59" s="18">
        <f t="shared" si="2"/>
        <v>0</v>
      </c>
    </row>
    <row r="60" spans="1:13">
      <c r="A60" t="s">
        <v>13</v>
      </c>
      <c r="B60" t="s">
        <v>130</v>
      </c>
      <c r="C60" t="s">
        <v>131</v>
      </c>
      <c r="D60">
        <v>10516.2743</v>
      </c>
      <c r="E60">
        <v>10516.2743</v>
      </c>
      <c r="F60">
        <v>101.9</v>
      </c>
      <c r="G60">
        <v>0</v>
      </c>
      <c r="H60">
        <v>107.160835</v>
      </c>
      <c r="I60">
        <v>107.134755</v>
      </c>
      <c r="J60">
        <v>0.02608</v>
      </c>
      <c r="K60" s="4">
        <f t="shared" si="0"/>
        <v>0.000243431741641636</v>
      </c>
      <c r="L60" s="4">
        <f t="shared" si="1"/>
        <v>0</v>
      </c>
      <c r="M60" s="18">
        <f t="shared" si="2"/>
        <v>0</v>
      </c>
    </row>
    <row r="61" spans="1:13">
      <c r="A61" t="s">
        <v>13</v>
      </c>
      <c r="B61" t="s">
        <v>132</v>
      </c>
      <c r="C61" t="s">
        <v>133</v>
      </c>
      <c r="D61">
        <v>6240.1153</v>
      </c>
      <c r="E61">
        <v>6240.1153</v>
      </c>
      <c r="F61">
        <v>0.9937</v>
      </c>
      <c r="G61">
        <v>0</v>
      </c>
      <c r="H61">
        <v>0.62008</v>
      </c>
      <c r="I61">
        <v>0.630252</v>
      </c>
      <c r="J61">
        <v>-0.010172</v>
      </c>
      <c r="K61" s="4">
        <f t="shared" si="0"/>
        <v>-0.0161395759156655</v>
      </c>
      <c r="L61" s="4">
        <f t="shared" si="1"/>
        <v>0</v>
      </c>
      <c r="M61" s="18">
        <f t="shared" si="2"/>
        <v>0</v>
      </c>
    </row>
    <row r="62" spans="1:13">
      <c r="A62" t="s">
        <v>13</v>
      </c>
      <c r="B62" t="s">
        <v>134</v>
      </c>
      <c r="C62" t="s">
        <v>135</v>
      </c>
      <c r="D62">
        <v>7767.702</v>
      </c>
      <c r="E62">
        <v>7767.702</v>
      </c>
      <c r="F62">
        <v>0.9479</v>
      </c>
      <c r="G62">
        <v>0</v>
      </c>
      <c r="H62">
        <v>0.7363</v>
      </c>
      <c r="I62">
        <v>0.748418</v>
      </c>
      <c r="J62">
        <v>-0.012118</v>
      </c>
      <c r="K62" s="4">
        <f t="shared" si="0"/>
        <v>-0.0161914865756836</v>
      </c>
      <c r="L62" s="4">
        <f t="shared" si="1"/>
        <v>0</v>
      </c>
      <c r="M62" s="18">
        <f t="shared" si="2"/>
        <v>0</v>
      </c>
    </row>
    <row r="63" spans="1:13">
      <c r="A63" t="s">
        <v>13</v>
      </c>
      <c r="B63" t="s">
        <v>136</v>
      </c>
      <c r="C63" t="s">
        <v>137</v>
      </c>
      <c r="D63">
        <v>17805.4229</v>
      </c>
      <c r="E63">
        <v>17905.4229</v>
      </c>
      <c r="F63">
        <v>0.9562</v>
      </c>
      <c r="G63">
        <v>-100</v>
      </c>
      <c r="H63">
        <v>1.702555</v>
      </c>
      <c r="I63">
        <v>1.715519</v>
      </c>
      <c r="J63">
        <v>-0.012964</v>
      </c>
      <c r="K63" s="4">
        <f t="shared" si="0"/>
        <v>-0.00755689677584451</v>
      </c>
      <c r="L63" s="4">
        <f t="shared" si="1"/>
        <v>-0.00558490020361373</v>
      </c>
      <c r="M63" s="18">
        <f t="shared" si="2"/>
        <v>-0.009562</v>
      </c>
    </row>
    <row r="64" spans="1:13">
      <c r="A64" t="s">
        <v>13</v>
      </c>
      <c r="B64" t="s">
        <v>138</v>
      </c>
      <c r="C64" t="s">
        <v>139</v>
      </c>
      <c r="D64">
        <v>17002.4466</v>
      </c>
      <c r="E64">
        <v>17002.4466</v>
      </c>
      <c r="F64">
        <v>0.769</v>
      </c>
      <c r="G64">
        <v>0</v>
      </c>
      <c r="H64">
        <v>1.307488</v>
      </c>
      <c r="I64">
        <v>1.295586</v>
      </c>
      <c r="J64">
        <v>0.011902</v>
      </c>
      <c r="K64" s="4">
        <f t="shared" si="0"/>
        <v>0.00918657657615936</v>
      </c>
      <c r="L64" s="4">
        <f t="shared" si="1"/>
        <v>0</v>
      </c>
      <c r="M64" s="18">
        <f t="shared" si="2"/>
        <v>0</v>
      </c>
    </row>
    <row r="65" spans="1:13">
      <c r="A65" t="s">
        <v>13</v>
      </c>
      <c r="B65" t="s">
        <v>140</v>
      </c>
      <c r="C65" t="s">
        <v>141</v>
      </c>
      <c r="D65">
        <v>10948.1127</v>
      </c>
      <c r="E65">
        <v>10948.1127</v>
      </c>
      <c r="F65">
        <v>0.8055</v>
      </c>
      <c r="G65">
        <v>0</v>
      </c>
      <c r="H65">
        <v>0.88187</v>
      </c>
      <c r="I65">
        <v>0.897636</v>
      </c>
      <c r="J65">
        <v>-0.015766</v>
      </c>
      <c r="K65" s="4">
        <f t="shared" si="0"/>
        <v>-0.0175639123208071</v>
      </c>
      <c r="L65" s="4">
        <f t="shared" si="1"/>
        <v>0</v>
      </c>
      <c r="M65" s="18">
        <f t="shared" si="2"/>
        <v>0</v>
      </c>
    </row>
    <row r="66" spans="1:13">
      <c r="A66" t="s">
        <v>13</v>
      </c>
      <c r="B66" t="s">
        <v>142</v>
      </c>
      <c r="C66" t="s">
        <v>143</v>
      </c>
      <c r="D66">
        <v>7116.0935</v>
      </c>
      <c r="E66">
        <v>7116.0935</v>
      </c>
      <c r="F66">
        <v>1.1259</v>
      </c>
      <c r="G66">
        <v>0</v>
      </c>
      <c r="H66">
        <v>0.801201</v>
      </c>
      <c r="I66">
        <v>0.803407</v>
      </c>
      <c r="J66">
        <v>-0.002206</v>
      </c>
      <c r="K66" s="4">
        <f t="shared" ref="K66:K129" si="3">IFERROR(J66/I66,"")</f>
        <v>-0.00274580629743082</v>
      </c>
      <c r="L66" s="4">
        <f t="shared" ref="L66:L129" si="4">IFERROR((D66-E66)/E66,"")</f>
        <v>0</v>
      </c>
      <c r="M66" s="18">
        <f t="shared" ref="M66:M129" si="5">IFERROR(F66*G66/10000,"")</f>
        <v>0</v>
      </c>
    </row>
    <row r="67" spans="1:13">
      <c r="A67" t="s">
        <v>13</v>
      </c>
      <c r="B67" t="s">
        <v>144</v>
      </c>
      <c r="C67" t="s">
        <v>145</v>
      </c>
      <c r="D67">
        <v>41204.7026</v>
      </c>
      <c r="E67">
        <v>41404.7026</v>
      </c>
      <c r="F67">
        <v>1.09</v>
      </c>
      <c r="G67">
        <v>-200</v>
      </c>
      <c r="H67">
        <v>4.491313</v>
      </c>
      <c r="I67">
        <v>4.534643</v>
      </c>
      <c r="J67">
        <v>-0.04333</v>
      </c>
      <c r="K67" s="4">
        <f t="shared" si="3"/>
        <v>-0.00955532772921705</v>
      </c>
      <c r="L67" s="4">
        <f t="shared" si="4"/>
        <v>-0.00483036919579275</v>
      </c>
      <c r="M67" s="18">
        <f t="shared" si="5"/>
        <v>-0.0218</v>
      </c>
    </row>
    <row r="68" spans="1:13">
      <c r="A68" t="s">
        <v>13</v>
      </c>
      <c r="B68" t="s">
        <v>146</v>
      </c>
      <c r="C68" t="s">
        <v>147</v>
      </c>
      <c r="D68">
        <v>99724.5883</v>
      </c>
      <c r="E68">
        <v>100824.5883</v>
      </c>
      <c r="F68">
        <v>0.6905</v>
      </c>
      <c r="G68">
        <v>-1100</v>
      </c>
      <c r="H68">
        <v>6.885983</v>
      </c>
      <c r="I68">
        <v>6.968996</v>
      </c>
      <c r="J68">
        <v>-0.083013</v>
      </c>
      <c r="K68" s="4">
        <f t="shared" si="3"/>
        <v>-0.0119117588817672</v>
      </c>
      <c r="L68" s="4">
        <f t="shared" si="4"/>
        <v>-0.0109100371104615</v>
      </c>
      <c r="M68" s="18">
        <f t="shared" si="5"/>
        <v>-0.075955</v>
      </c>
    </row>
    <row r="69" spans="1:13">
      <c r="A69" t="s">
        <v>13</v>
      </c>
      <c r="B69" t="s">
        <v>148</v>
      </c>
      <c r="C69" t="s">
        <v>149</v>
      </c>
      <c r="D69">
        <v>28861.6546</v>
      </c>
      <c r="E69">
        <v>28861.6546</v>
      </c>
      <c r="F69">
        <v>0.9102</v>
      </c>
      <c r="G69">
        <v>0</v>
      </c>
      <c r="H69">
        <v>2.626988</v>
      </c>
      <c r="I69">
        <v>2.645459</v>
      </c>
      <c r="J69">
        <v>-0.018471</v>
      </c>
      <c r="K69" s="4">
        <f t="shared" si="3"/>
        <v>-0.00698215319156336</v>
      </c>
      <c r="L69" s="4">
        <f t="shared" si="4"/>
        <v>0</v>
      </c>
      <c r="M69" s="18">
        <f t="shared" si="5"/>
        <v>0</v>
      </c>
    </row>
    <row r="70" spans="1:13">
      <c r="A70" t="s">
        <v>13</v>
      </c>
      <c r="B70" t="s">
        <v>150</v>
      </c>
      <c r="C70" t="s">
        <v>151</v>
      </c>
      <c r="D70">
        <v>19634.4268</v>
      </c>
      <c r="E70">
        <v>19634.4268</v>
      </c>
      <c r="F70">
        <v>0.9378</v>
      </c>
      <c r="G70">
        <v>0</v>
      </c>
      <c r="H70">
        <v>1.841317</v>
      </c>
      <c r="I70">
        <v>1.867823</v>
      </c>
      <c r="J70">
        <v>-0.026506</v>
      </c>
      <c r="K70" s="4">
        <f t="shared" si="3"/>
        <v>-0.0141908521310638</v>
      </c>
      <c r="L70" s="4">
        <f t="shared" si="4"/>
        <v>0</v>
      </c>
      <c r="M70" s="18">
        <f t="shared" si="5"/>
        <v>0</v>
      </c>
    </row>
    <row r="71" spans="1:13">
      <c r="A71" t="s">
        <v>13</v>
      </c>
      <c r="B71" t="s">
        <v>152</v>
      </c>
      <c r="C71" t="s">
        <v>153</v>
      </c>
      <c r="D71">
        <v>228476.0841</v>
      </c>
      <c r="E71">
        <v>228976.0841</v>
      </c>
      <c r="F71">
        <v>0.699</v>
      </c>
      <c r="G71">
        <v>-500</v>
      </c>
      <c r="H71">
        <v>15.970478</v>
      </c>
      <c r="I71">
        <v>16.021457</v>
      </c>
      <c r="J71">
        <v>-0.050979</v>
      </c>
      <c r="K71" s="4">
        <f t="shared" si="3"/>
        <v>-0.00318192034594606</v>
      </c>
      <c r="L71" s="4">
        <f t="shared" si="4"/>
        <v>-0.00218363416408867</v>
      </c>
      <c r="M71" s="18">
        <f t="shared" si="5"/>
        <v>-0.03495</v>
      </c>
    </row>
    <row r="72" spans="1:13">
      <c r="A72" t="s">
        <v>13</v>
      </c>
      <c r="B72" t="s">
        <v>154</v>
      </c>
      <c r="C72" t="s">
        <v>155</v>
      </c>
      <c r="D72">
        <v>125790.6595</v>
      </c>
      <c r="E72">
        <v>133790.6595</v>
      </c>
      <c r="F72">
        <v>1.1242</v>
      </c>
      <c r="G72">
        <v>-8000</v>
      </c>
      <c r="H72">
        <v>14.141386</v>
      </c>
      <c r="I72">
        <v>15.039408</v>
      </c>
      <c r="J72">
        <v>-0.898022</v>
      </c>
      <c r="K72" s="4">
        <f t="shared" si="3"/>
        <v>-0.0597112599112944</v>
      </c>
      <c r="L72" s="4">
        <f t="shared" si="4"/>
        <v>-0.05979490668405</v>
      </c>
      <c r="M72" s="18">
        <f t="shared" si="5"/>
        <v>-0.89936</v>
      </c>
    </row>
    <row r="73" spans="1:13">
      <c r="A73" t="s">
        <v>13</v>
      </c>
      <c r="B73" t="s">
        <v>156</v>
      </c>
      <c r="C73" t="s">
        <v>157</v>
      </c>
      <c r="D73">
        <v>26038.9466</v>
      </c>
      <c r="E73">
        <v>26038.9466</v>
      </c>
      <c r="F73">
        <v>0.7299</v>
      </c>
      <c r="G73">
        <v>0</v>
      </c>
      <c r="H73">
        <v>1.900583</v>
      </c>
      <c r="I73">
        <v>1.926882</v>
      </c>
      <c r="J73">
        <v>-0.026299</v>
      </c>
      <c r="K73" s="4">
        <f t="shared" si="3"/>
        <v>-0.0136484745822526</v>
      </c>
      <c r="L73" s="4">
        <f t="shared" si="4"/>
        <v>0</v>
      </c>
      <c r="M73" s="18">
        <f t="shared" si="5"/>
        <v>0</v>
      </c>
    </row>
    <row r="74" spans="1:13">
      <c r="A74" t="s">
        <v>13</v>
      </c>
      <c r="B74" t="s">
        <v>158</v>
      </c>
      <c r="C74" t="s">
        <v>159</v>
      </c>
      <c r="D74">
        <v>123391.9902</v>
      </c>
      <c r="E74">
        <v>123391.9902</v>
      </c>
      <c r="F74">
        <v>1.1129</v>
      </c>
      <c r="G74">
        <v>0</v>
      </c>
      <c r="H74">
        <v>13.732295</v>
      </c>
      <c r="I74">
        <v>13.369522</v>
      </c>
      <c r="J74">
        <v>0.362773</v>
      </c>
      <c r="K74" s="4">
        <f t="shared" si="3"/>
        <v>0.0271343283626744</v>
      </c>
      <c r="L74" s="4">
        <f t="shared" si="4"/>
        <v>0</v>
      </c>
      <c r="M74" s="18">
        <f t="shared" si="5"/>
        <v>0</v>
      </c>
    </row>
    <row r="75" spans="1:13">
      <c r="A75" t="s">
        <v>13</v>
      </c>
      <c r="B75" t="s">
        <v>160</v>
      </c>
      <c r="C75" t="s">
        <v>161</v>
      </c>
      <c r="D75">
        <v>10396.3558</v>
      </c>
      <c r="E75">
        <v>10396.3558</v>
      </c>
      <c r="F75">
        <v>0.7523</v>
      </c>
      <c r="G75">
        <v>0</v>
      </c>
      <c r="H75">
        <v>0.782118</v>
      </c>
      <c r="I75">
        <v>0.793034</v>
      </c>
      <c r="J75">
        <v>-0.010916</v>
      </c>
      <c r="K75" s="4">
        <f t="shared" si="3"/>
        <v>-0.0137648574966521</v>
      </c>
      <c r="L75" s="4">
        <f t="shared" si="4"/>
        <v>0</v>
      </c>
      <c r="M75" s="18">
        <f t="shared" si="5"/>
        <v>0</v>
      </c>
    </row>
    <row r="76" spans="1:13">
      <c r="A76" t="s">
        <v>13</v>
      </c>
      <c r="B76" t="s">
        <v>162</v>
      </c>
      <c r="C76" t="s">
        <v>163</v>
      </c>
      <c r="D76">
        <v>180541.3345</v>
      </c>
      <c r="E76">
        <v>181891.3345</v>
      </c>
      <c r="F76">
        <v>1.1559</v>
      </c>
      <c r="G76">
        <v>-1350</v>
      </c>
      <c r="H76">
        <v>20.868773</v>
      </c>
      <c r="I76">
        <v>21.023</v>
      </c>
      <c r="J76">
        <v>-0.154227</v>
      </c>
      <c r="K76" s="4">
        <f t="shared" si="3"/>
        <v>-0.0073361080721115</v>
      </c>
      <c r="L76" s="4">
        <f t="shared" si="4"/>
        <v>-0.00742201382881162</v>
      </c>
      <c r="M76" s="18">
        <f t="shared" si="5"/>
        <v>-0.1560465</v>
      </c>
    </row>
    <row r="77" spans="1:13">
      <c r="A77" t="s">
        <v>13</v>
      </c>
      <c r="B77" t="s">
        <v>164</v>
      </c>
      <c r="C77" t="s">
        <v>165</v>
      </c>
      <c r="D77">
        <v>74846.6376</v>
      </c>
      <c r="E77">
        <v>74946.6376</v>
      </c>
      <c r="F77">
        <v>0.8185</v>
      </c>
      <c r="G77">
        <v>-100</v>
      </c>
      <c r="H77">
        <v>6.126197</v>
      </c>
      <c r="I77">
        <v>6.079671</v>
      </c>
      <c r="J77">
        <v>0.046526</v>
      </c>
      <c r="K77" s="4">
        <f t="shared" si="3"/>
        <v>0.00765271673417854</v>
      </c>
      <c r="L77" s="4">
        <f t="shared" si="4"/>
        <v>-0.00133428267367661</v>
      </c>
      <c r="M77" s="18">
        <f t="shared" si="5"/>
        <v>-0.008185</v>
      </c>
    </row>
    <row r="78" spans="1:13">
      <c r="A78" t="s">
        <v>13</v>
      </c>
      <c r="B78" t="s">
        <v>166</v>
      </c>
      <c r="C78" t="s">
        <v>167</v>
      </c>
      <c r="D78">
        <v>11391.4074</v>
      </c>
      <c r="E78">
        <v>11391.4074</v>
      </c>
      <c r="F78">
        <v>1.0468</v>
      </c>
      <c r="G78">
        <v>0</v>
      </c>
      <c r="H78">
        <v>1.192453</v>
      </c>
      <c r="I78">
        <v>1.188466</v>
      </c>
      <c r="J78">
        <v>0.003987</v>
      </c>
      <c r="K78" s="4">
        <f t="shared" si="3"/>
        <v>0.00335474468768985</v>
      </c>
      <c r="L78" s="4">
        <f t="shared" si="4"/>
        <v>0</v>
      </c>
      <c r="M78" s="18">
        <f t="shared" si="5"/>
        <v>0</v>
      </c>
    </row>
    <row r="79" spans="1:13">
      <c r="A79" t="s">
        <v>13</v>
      </c>
      <c r="B79" t="s">
        <v>168</v>
      </c>
      <c r="C79" t="s">
        <v>169</v>
      </c>
      <c r="D79">
        <v>19163.2607</v>
      </c>
      <c r="E79">
        <v>19163.2607</v>
      </c>
      <c r="F79">
        <v>0.7408</v>
      </c>
      <c r="G79">
        <v>0</v>
      </c>
      <c r="H79">
        <v>1.419614</v>
      </c>
      <c r="I79">
        <v>1.434178</v>
      </c>
      <c r="J79">
        <v>-0.014564</v>
      </c>
      <c r="K79" s="4">
        <f t="shared" si="3"/>
        <v>-0.0101549458993235</v>
      </c>
      <c r="L79" s="4">
        <f t="shared" si="4"/>
        <v>0</v>
      </c>
      <c r="M79" s="18">
        <f t="shared" si="5"/>
        <v>0</v>
      </c>
    </row>
    <row r="80" spans="1:13">
      <c r="A80" t="s">
        <v>13</v>
      </c>
      <c r="B80" t="s">
        <v>170</v>
      </c>
      <c r="C80" t="s">
        <v>171</v>
      </c>
      <c r="D80">
        <v>6676.7924</v>
      </c>
      <c r="E80">
        <v>6726.7924</v>
      </c>
      <c r="F80">
        <v>0.9909</v>
      </c>
      <c r="G80">
        <v>-50</v>
      </c>
      <c r="H80">
        <v>0.661603</v>
      </c>
      <c r="I80">
        <v>0.660369</v>
      </c>
      <c r="J80">
        <v>0.001234</v>
      </c>
      <c r="K80" s="4">
        <f t="shared" si="3"/>
        <v>0.00186865222322671</v>
      </c>
      <c r="L80" s="4">
        <f t="shared" si="4"/>
        <v>-0.00743296314600106</v>
      </c>
      <c r="M80" s="18">
        <f t="shared" si="5"/>
        <v>-0.0049545</v>
      </c>
    </row>
    <row r="81" spans="1:13">
      <c r="A81" t="s">
        <v>13</v>
      </c>
      <c r="B81" t="s">
        <v>172</v>
      </c>
      <c r="C81" t="s">
        <v>173</v>
      </c>
      <c r="D81">
        <v>13210.921</v>
      </c>
      <c r="E81">
        <v>13410.921</v>
      </c>
      <c r="F81">
        <v>1.4566</v>
      </c>
      <c r="G81">
        <v>-200</v>
      </c>
      <c r="H81">
        <v>1.924303</v>
      </c>
      <c r="I81">
        <v>1.900059</v>
      </c>
      <c r="J81">
        <v>0.024244</v>
      </c>
      <c r="K81" s="4">
        <f t="shared" si="3"/>
        <v>0.0127596037807247</v>
      </c>
      <c r="L81" s="4">
        <f t="shared" si="4"/>
        <v>-0.0149132188609567</v>
      </c>
      <c r="M81" s="18">
        <f t="shared" si="5"/>
        <v>-0.029132</v>
      </c>
    </row>
    <row r="82" spans="1:13">
      <c r="A82" t="s">
        <v>13</v>
      </c>
      <c r="B82" t="s">
        <v>174</v>
      </c>
      <c r="C82" t="s">
        <v>175</v>
      </c>
      <c r="D82">
        <v>40993.6834</v>
      </c>
      <c r="E82">
        <v>34993.6834</v>
      </c>
      <c r="F82">
        <v>1.464</v>
      </c>
      <c r="G82">
        <v>6000</v>
      </c>
      <c r="H82">
        <v>6.001475</v>
      </c>
      <c r="I82">
        <v>4.981351</v>
      </c>
      <c r="J82">
        <v>1.020124</v>
      </c>
      <c r="K82" s="4">
        <f t="shared" si="3"/>
        <v>0.204788620597103</v>
      </c>
      <c r="L82" s="4">
        <f t="shared" si="4"/>
        <v>0.171459515462153</v>
      </c>
      <c r="M82" s="18">
        <f t="shared" si="5"/>
        <v>0.8784</v>
      </c>
    </row>
    <row r="83" spans="1:13">
      <c r="A83" t="s">
        <v>13</v>
      </c>
      <c r="B83" t="s">
        <v>176</v>
      </c>
      <c r="C83" t="s">
        <v>177</v>
      </c>
      <c r="D83">
        <v>111106.073</v>
      </c>
      <c r="E83">
        <v>111106.073</v>
      </c>
      <c r="F83">
        <v>1.383</v>
      </c>
      <c r="G83">
        <v>0</v>
      </c>
      <c r="H83">
        <v>15.36597</v>
      </c>
      <c r="I83">
        <v>14.944878</v>
      </c>
      <c r="J83">
        <v>0.421092</v>
      </c>
      <c r="K83" s="4">
        <f t="shared" si="3"/>
        <v>0.0281763424231365</v>
      </c>
      <c r="L83" s="4">
        <f t="shared" si="4"/>
        <v>0</v>
      </c>
      <c r="M83" s="18">
        <f t="shared" si="5"/>
        <v>0</v>
      </c>
    </row>
    <row r="84" spans="1:13">
      <c r="A84" t="s">
        <v>13</v>
      </c>
      <c r="B84" t="s">
        <v>178</v>
      </c>
      <c r="C84" t="s">
        <v>179</v>
      </c>
      <c r="D84">
        <v>85726.0142</v>
      </c>
      <c r="E84">
        <v>86126.0142</v>
      </c>
      <c r="F84">
        <v>1.405</v>
      </c>
      <c r="G84">
        <v>-400</v>
      </c>
      <c r="H84">
        <v>12.044505</v>
      </c>
      <c r="I84">
        <v>11.770842</v>
      </c>
      <c r="J84">
        <v>0.273663</v>
      </c>
      <c r="K84" s="4">
        <f t="shared" si="3"/>
        <v>0.0232492288996828</v>
      </c>
      <c r="L84" s="4">
        <f t="shared" si="4"/>
        <v>-0.00464435750005949</v>
      </c>
      <c r="M84" s="18">
        <f t="shared" si="5"/>
        <v>-0.0562</v>
      </c>
    </row>
    <row r="85" spans="1:13">
      <c r="A85" t="s">
        <v>13</v>
      </c>
      <c r="B85" t="s">
        <v>180</v>
      </c>
      <c r="C85" t="s">
        <v>181</v>
      </c>
      <c r="D85">
        <v>5455.4456</v>
      </c>
      <c r="E85">
        <v>5455.4456</v>
      </c>
      <c r="F85">
        <v>0.9617</v>
      </c>
      <c r="G85">
        <v>0</v>
      </c>
      <c r="H85">
        <v>0.52465</v>
      </c>
      <c r="I85">
        <v>0.533433</v>
      </c>
      <c r="J85">
        <v>-0.008783</v>
      </c>
      <c r="K85" s="4">
        <f t="shared" si="3"/>
        <v>-0.0164650480941374</v>
      </c>
      <c r="L85" s="4">
        <f t="shared" si="4"/>
        <v>0</v>
      </c>
      <c r="M85" s="18">
        <f t="shared" si="5"/>
        <v>0</v>
      </c>
    </row>
    <row r="86" spans="1:13">
      <c r="A86" t="s">
        <v>13</v>
      </c>
      <c r="B86" t="s">
        <v>182</v>
      </c>
      <c r="C86" t="s">
        <v>183</v>
      </c>
      <c r="D86">
        <v>7158.1845</v>
      </c>
      <c r="E86">
        <v>7258.1845</v>
      </c>
      <c r="F86">
        <v>0.9737</v>
      </c>
      <c r="G86">
        <v>-100</v>
      </c>
      <c r="H86">
        <v>0.696992</v>
      </c>
      <c r="I86">
        <v>0.695624</v>
      </c>
      <c r="J86">
        <v>0.001368</v>
      </c>
      <c r="K86" s="4">
        <f t="shared" si="3"/>
        <v>0.00196657964647568</v>
      </c>
      <c r="L86" s="4">
        <f t="shared" si="4"/>
        <v>-0.0137775500195676</v>
      </c>
      <c r="M86" s="18">
        <f t="shared" si="5"/>
        <v>-0.009737</v>
      </c>
    </row>
    <row r="87" spans="1:13">
      <c r="A87" t="s">
        <v>13</v>
      </c>
      <c r="B87" t="s">
        <v>184</v>
      </c>
      <c r="C87" t="s">
        <v>185</v>
      </c>
      <c r="D87">
        <v>93044.0849</v>
      </c>
      <c r="E87">
        <v>93944.0849</v>
      </c>
      <c r="F87">
        <v>1.095</v>
      </c>
      <c r="G87">
        <v>-900</v>
      </c>
      <c r="H87">
        <v>10.188327</v>
      </c>
      <c r="I87">
        <v>10.369548</v>
      </c>
      <c r="J87">
        <v>-0.181221</v>
      </c>
      <c r="K87" s="4">
        <f t="shared" si="3"/>
        <v>-0.0174762680109104</v>
      </c>
      <c r="L87" s="4">
        <f t="shared" si="4"/>
        <v>-0.00958016676577367</v>
      </c>
      <c r="M87" s="18">
        <f t="shared" si="5"/>
        <v>-0.09855</v>
      </c>
    </row>
    <row r="88" spans="1:13">
      <c r="A88" t="s">
        <v>13</v>
      </c>
      <c r="B88" t="s">
        <v>186</v>
      </c>
      <c r="C88" t="s">
        <v>187</v>
      </c>
      <c r="D88">
        <v>218640.9552</v>
      </c>
      <c r="E88">
        <v>214440.9552</v>
      </c>
      <c r="F88">
        <v>1.0681</v>
      </c>
      <c r="G88">
        <v>4200</v>
      </c>
      <c r="H88">
        <v>23.35304</v>
      </c>
      <c r="I88">
        <v>22.98807</v>
      </c>
      <c r="J88">
        <v>0.36497</v>
      </c>
      <c r="K88" s="4">
        <f t="shared" si="3"/>
        <v>0.0158764959389805</v>
      </c>
      <c r="L88" s="4">
        <f t="shared" si="4"/>
        <v>0.0195858109104338</v>
      </c>
      <c r="M88" s="18">
        <f t="shared" si="5"/>
        <v>0.448602</v>
      </c>
    </row>
    <row r="89" spans="1:13">
      <c r="A89" t="s">
        <v>13</v>
      </c>
      <c r="B89" t="s">
        <v>188</v>
      </c>
      <c r="C89" t="s">
        <v>189</v>
      </c>
      <c r="D89">
        <v>23646.6601</v>
      </c>
      <c r="E89">
        <v>23646.6601</v>
      </c>
      <c r="F89">
        <v>0.9579</v>
      </c>
      <c r="G89">
        <v>0</v>
      </c>
      <c r="H89">
        <v>2.265114</v>
      </c>
      <c r="I89">
        <v>2.252344</v>
      </c>
      <c r="J89">
        <v>0.01277</v>
      </c>
      <c r="K89" s="4">
        <f t="shared" si="3"/>
        <v>0.00566964904117666</v>
      </c>
      <c r="L89" s="4">
        <f t="shared" si="4"/>
        <v>0</v>
      </c>
      <c r="M89" s="18">
        <f t="shared" si="5"/>
        <v>0</v>
      </c>
    </row>
    <row r="90" spans="1:13">
      <c r="A90" t="s">
        <v>13</v>
      </c>
      <c r="B90" t="s">
        <v>190</v>
      </c>
      <c r="C90" t="s">
        <v>191</v>
      </c>
      <c r="D90">
        <v>5551.5298</v>
      </c>
      <c r="E90">
        <v>5551.5298</v>
      </c>
      <c r="F90">
        <v>1.0754</v>
      </c>
      <c r="G90">
        <v>0</v>
      </c>
      <c r="H90">
        <v>0.597012</v>
      </c>
      <c r="I90">
        <v>0.598566</v>
      </c>
      <c r="J90">
        <v>-0.001554</v>
      </c>
      <c r="K90" s="4">
        <f t="shared" si="3"/>
        <v>-0.00259620492978218</v>
      </c>
      <c r="L90" s="4">
        <f t="shared" si="4"/>
        <v>0</v>
      </c>
      <c r="M90" s="18">
        <f t="shared" si="5"/>
        <v>0</v>
      </c>
    </row>
    <row r="91" spans="1:13">
      <c r="A91" t="s">
        <v>13</v>
      </c>
      <c r="B91" t="s">
        <v>192</v>
      </c>
      <c r="C91" t="s">
        <v>193</v>
      </c>
      <c r="D91">
        <v>8599.7623</v>
      </c>
      <c r="E91">
        <v>8599.7623</v>
      </c>
      <c r="F91">
        <v>1.7767</v>
      </c>
      <c r="G91">
        <v>0</v>
      </c>
      <c r="H91">
        <v>1.52792</v>
      </c>
      <c r="I91">
        <v>1.512354</v>
      </c>
      <c r="J91">
        <v>0.015566</v>
      </c>
      <c r="K91" s="4">
        <f t="shared" si="3"/>
        <v>0.0102925637780573</v>
      </c>
      <c r="L91" s="4">
        <f t="shared" si="4"/>
        <v>0</v>
      </c>
      <c r="M91" s="18">
        <f t="shared" si="5"/>
        <v>0</v>
      </c>
    </row>
    <row r="92" spans="1:13">
      <c r="A92" t="s">
        <v>13</v>
      </c>
      <c r="B92" t="s">
        <v>194</v>
      </c>
      <c r="C92" t="s">
        <v>195</v>
      </c>
      <c r="D92">
        <v>13425.1063</v>
      </c>
      <c r="E92">
        <v>13425.1063</v>
      </c>
      <c r="F92">
        <v>0.8876</v>
      </c>
      <c r="G92">
        <v>0</v>
      </c>
      <c r="H92">
        <v>1.191612</v>
      </c>
      <c r="I92">
        <v>1.200607</v>
      </c>
      <c r="J92">
        <v>-0.008995</v>
      </c>
      <c r="K92" s="4">
        <f t="shared" si="3"/>
        <v>-0.00749204360794165</v>
      </c>
      <c r="L92" s="4">
        <f t="shared" si="4"/>
        <v>0</v>
      </c>
      <c r="M92" s="18">
        <f t="shared" si="5"/>
        <v>0</v>
      </c>
    </row>
    <row r="93" spans="1:13">
      <c r="A93" t="s">
        <v>13</v>
      </c>
      <c r="B93" t="s">
        <v>196</v>
      </c>
      <c r="C93" t="s">
        <v>197</v>
      </c>
      <c r="D93">
        <v>90955.6093</v>
      </c>
      <c r="E93">
        <v>90955.6093</v>
      </c>
      <c r="F93">
        <v>0.7921</v>
      </c>
      <c r="G93">
        <v>0</v>
      </c>
      <c r="H93">
        <v>7.204594</v>
      </c>
      <c r="I93">
        <v>7.139106</v>
      </c>
      <c r="J93">
        <v>0.065488</v>
      </c>
      <c r="K93" s="4">
        <f t="shared" si="3"/>
        <v>0.00917313736481851</v>
      </c>
      <c r="L93" s="4">
        <f t="shared" si="4"/>
        <v>0</v>
      </c>
      <c r="M93" s="18">
        <f t="shared" si="5"/>
        <v>0</v>
      </c>
    </row>
    <row r="94" spans="1:13">
      <c r="A94" t="s">
        <v>13</v>
      </c>
      <c r="B94" t="s">
        <v>198</v>
      </c>
      <c r="C94" t="s">
        <v>199</v>
      </c>
      <c r="D94">
        <v>9422.5988</v>
      </c>
      <c r="E94">
        <v>8822.5988</v>
      </c>
      <c r="F94">
        <v>1.4773</v>
      </c>
      <c r="G94">
        <v>600</v>
      </c>
      <c r="H94">
        <v>1.392001</v>
      </c>
      <c r="I94">
        <v>1.245133</v>
      </c>
      <c r="J94">
        <v>0.146868</v>
      </c>
      <c r="K94" s="4">
        <f t="shared" si="3"/>
        <v>0.11795366438766</v>
      </c>
      <c r="L94" s="4">
        <f t="shared" si="4"/>
        <v>0.0680071726711635</v>
      </c>
      <c r="M94" s="18">
        <f t="shared" si="5"/>
        <v>0.088638</v>
      </c>
    </row>
    <row r="95" spans="1:13">
      <c r="A95" t="s">
        <v>13</v>
      </c>
      <c r="B95" t="s">
        <v>200</v>
      </c>
      <c r="C95" t="s">
        <v>201</v>
      </c>
      <c r="D95">
        <v>54451.3298</v>
      </c>
      <c r="E95">
        <v>54251.3298</v>
      </c>
      <c r="F95">
        <v>1.0639</v>
      </c>
      <c r="G95">
        <v>200</v>
      </c>
      <c r="H95">
        <v>5.793077</v>
      </c>
      <c r="I95">
        <v>5.791872</v>
      </c>
      <c r="J95">
        <v>0.001205</v>
      </c>
      <c r="K95" s="4">
        <f t="shared" si="3"/>
        <v>0.000208050177904484</v>
      </c>
      <c r="L95" s="4">
        <f t="shared" si="4"/>
        <v>0.00368654557846433</v>
      </c>
      <c r="M95" s="18">
        <f t="shared" si="5"/>
        <v>0.021278</v>
      </c>
    </row>
    <row r="96" spans="1:13">
      <c r="A96" t="s">
        <v>13</v>
      </c>
      <c r="B96" t="s">
        <v>202</v>
      </c>
      <c r="C96" t="s">
        <v>203</v>
      </c>
      <c r="D96">
        <v>21946.1253</v>
      </c>
      <c r="E96">
        <v>22046.1253</v>
      </c>
      <c r="F96">
        <v>1.0613</v>
      </c>
      <c r="G96">
        <v>-100</v>
      </c>
      <c r="H96">
        <v>2.329142</v>
      </c>
      <c r="I96">
        <v>2.34218</v>
      </c>
      <c r="J96">
        <v>-0.013038</v>
      </c>
      <c r="K96" s="4">
        <f t="shared" si="3"/>
        <v>-0.00556660888573893</v>
      </c>
      <c r="L96" s="4">
        <f t="shared" si="4"/>
        <v>-0.00453594446367408</v>
      </c>
      <c r="M96" s="18">
        <f t="shared" si="5"/>
        <v>-0.010613</v>
      </c>
    </row>
    <row r="97" spans="1:13">
      <c r="A97" t="s">
        <v>13</v>
      </c>
      <c r="B97" t="s">
        <v>204</v>
      </c>
      <c r="C97" t="s">
        <v>205</v>
      </c>
      <c r="D97">
        <v>875675.876</v>
      </c>
      <c r="E97">
        <v>885075.876</v>
      </c>
      <c r="F97">
        <v>0.9168</v>
      </c>
      <c r="G97">
        <v>-9400</v>
      </c>
      <c r="H97">
        <v>80.281964</v>
      </c>
      <c r="I97">
        <v>81.143756</v>
      </c>
      <c r="J97">
        <v>-0.861792</v>
      </c>
      <c r="K97" s="4">
        <f t="shared" si="3"/>
        <v>-0.0106205584074762</v>
      </c>
      <c r="L97" s="4">
        <f t="shared" si="4"/>
        <v>-0.0106205583666818</v>
      </c>
      <c r="M97" s="18">
        <f t="shared" si="5"/>
        <v>-0.861792</v>
      </c>
    </row>
    <row r="98" spans="1:13">
      <c r="A98" t="s">
        <v>13</v>
      </c>
      <c r="B98" t="s">
        <v>206</v>
      </c>
      <c r="C98" t="s">
        <v>207</v>
      </c>
      <c r="D98">
        <v>98653.5344</v>
      </c>
      <c r="E98">
        <v>98453.5344</v>
      </c>
      <c r="F98">
        <v>1.0842</v>
      </c>
      <c r="G98">
        <v>200</v>
      </c>
      <c r="H98">
        <v>10.696016</v>
      </c>
      <c r="I98">
        <v>10.759987</v>
      </c>
      <c r="J98">
        <v>-0.063971</v>
      </c>
      <c r="K98" s="4">
        <f t="shared" si="3"/>
        <v>-0.00594526740599222</v>
      </c>
      <c r="L98" s="4">
        <f t="shared" si="4"/>
        <v>0.0020314151362757</v>
      </c>
      <c r="M98" s="18">
        <f t="shared" si="5"/>
        <v>0.021684</v>
      </c>
    </row>
    <row r="99" spans="1:13">
      <c r="A99" t="s">
        <v>13</v>
      </c>
      <c r="B99" t="s">
        <v>208</v>
      </c>
      <c r="C99" t="s">
        <v>209</v>
      </c>
      <c r="D99">
        <v>11981.8582</v>
      </c>
      <c r="E99">
        <v>11981.8582</v>
      </c>
      <c r="F99">
        <v>1.0642</v>
      </c>
      <c r="G99">
        <v>0</v>
      </c>
      <c r="H99">
        <v>1.275109</v>
      </c>
      <c r="I99">
        <v>1.283497</v>
      </c>
      <c r="J99">
        <v>-0.008388</v>
      </c>
      <c r="K99" s="4">
        <f t="shared" si="3"/>
        <v>-0.00653527043693908</v>
      </c>
      <c r="L99" s="4">
        <f t="shared" si="4"/>
        <v>0</v>
      </c>
      <c r="M99" s="18">
        <f t="shared" si="5"/>
        <v>0</v>
      </c>
    </row>
    <row r="100" spans="1:13">
      <c r="A100" t="s">
        <v>13</v>
      </c>
      <c r="B100" t="s">
        <v>210</v>
      </c>
      <c r="C100" t="s">
        <v>211</v>
      </c>
      <c r="D100">
        <v>15581.9254</v>
      </c>
      <c r="E100">
        <v>15381.9254</v>
      </c>
      <c r="F100">
        <v>1.055</v>
      </c>
      <c r="G100">
        <v>200</v>
      </c>
      <c r="H100">
        <v>1.643893</v>
      </c>
      <c r="I100">
        <v>1.628638</v>
      </c>
      <c r="J100">
        <v>0.015255</v>
      </c>
      <c r="K100" s="4">
        <f t="shared" si="3"/>
        <v>0.00936672237783964</v>
      </c>
      <c r="L100" s="4">
        <f t="shared" si="4"/>
        <v>0.0130022734345078</v>
      </c>
      <c r="M100" s="18">
        <f t="shared" si="5"/>
        <v>0.0211</v>
      </c>
    </row>
    <row r="101" spans="1:13">
      <c r="A101" t="s">
        <v>13</v>
      </c>
      <c r="B101" t="s">
        <v>212</v>
      </c>
      <c r="C101" t="s">
        <v>213</v>
      </c>
      <c r="D101">
        <v>45393.9837</v>
      </c>
      <c r="E101">
        <v>45893.9837</v>
      </c>
      <c r="F101">
        <v>0.9044</v>
      </c>
      <c r="G101">
        <v>-500</v>
      </c>
      <c r="H101">
        <v>4.105432</v>
      </c>
      <c r="I101">
        <v>4.151111</v>
      </c>
      <c r="J101">
        <v>-0.045679</v>
      </c>
      <c r="K101" s="4">
        <f t="shared" si="3"/>
        <v>-0.0110040420504294</v>
      </c>
      <c r="L101" s="4">
        <f t="shared" si="4"/>
        <v>-0.0108946741966965</v>
      </c>
      <c r="M101" s="18">
        <f t="shared" si="5"/>
        <v>-0.04522</v>
      </c>
    </row>
    <row r="102" spans="1:13">
      <c r="A102" t="s">
        <v>13</v>
      </c>
      <c r="B102" t="s">
        <v>214</v>
      </c>
      <c r="C102" t="s">
        <v>215</v>
      </c>
      <c r="D102">
        <v>22880.7013</v>
      </c>
      <c r="E102">
        <v>23180.7013</v>
      </c>
      <c r="F102">
        <v>0.8189</v>
      </c>
      <c r="G102">
        <v>-300</v>
      </c>
      <c r="H102">
        <v>1.873701</v>
      </c>
      <c r="I102">
        <v>1.902904</v>
      </c>
      <c r="J102">
        <v>-0.029203</v>
      </c>
      <c r="K102" s="4">
        <f t="shared" si="3"/>
        <v>-0.0153465440190362</v>
      </c>
      <c r="L102" s="4">
        <f t="shared" si="4"/>
        <v>-0.0129417999963616</v>
      </c>
      <c r="M102" s="18">
        <f t="shared" si="5"/>
        <v>-0.024567</v>
      </c>
    </row>
    <row r="103" spans="1:13">
      <c r="A103" t="s">
        <v>13</v>
      </c>
      <c r="B103" t="s">
        <v>216</v>
      </c>
      <c r="C103" t="s">
        <v>217</v>
      </c>
      <c r="D103">
        <v>11157.1257</v>
      </c>
      <c r="E103">
        <v>11257.1257</v>
      </c>
      <c r="F103">
        <v>0.7983</v>
      </c>
      <c r="G103">
        <v>-100</v>
      </c>
      <c r="H103">
        <v>0.890673</v>
      </c>
      <c r="I103">
        <v>0.911602</v>
      </c>
      <c r="J103">
        <v>-0.020929</v>
      </c>
      <c r="K103" s="4">
        <f t="shared" si="3"/>
        <v>-0.0229584840752872</v>
      </c>
      <c r="L103" s="4">
        <f t="shared" si="4"/>
        <v>-0.00888326227004821</v>
      </c>
      <c r="M103" s="18">
        <f t="shared" si="5"/>
        <v>-0.007983</v>
      </c>
    </row>
    <row r="104" spans="1:13">
      <c r="A104" t="s">
        <v>13</v>
      </c>
      <c r="B104" t="s">
        <v>218</v>
      </c>
      <c r="C104" t="s">
        <v>219</v>
      </c>
      <c r="D104">
        <v>64381.6059</v>
      </c>
      <c r="E104">
        <v>65381.6059</v>
      </c>
      <c r="F104">
        <v>0.8298</v>
      </c>
      <c r="G104">
        <v>-1000</v>
      </c>
      <c r="H104">
        <v>5.342386</v>
      </c>
      <c r="I104">
        <v>5.444326</v>
      </c>
      <c r="J104">
        <v>-0.10194</v>
      </c>
      <c r="K104" s="4">
        <f t="shared" si="3"/>
        <v>-0.0187240808136765</v>
      </c>
      <c r="L104" s="4">
        <f t="shared" si="4"/>
        <v>-0.0152948216281118</v>
      </c>
      <c r="M104" s="18">
        <f t="shared" si="5"/>
        <v>-0.08298</v>
      </c>
    </row>
    <row r="105" spans="1:13">
      <c r="A105" t="s">
        <v>13</v>
      </c>
      <c r="B105" t="s">
        <v>220</v>
      </c>
      <c r="C105" t="s">
        <v>221</v>
      </c>
      <c r="D105">
        <v>24154.9164</v>
      </c>
      <c r="E105">
        <v>24154.9164</v>
      </c>
      <c r="F105">
        <v>0.7313</v>
      </c>
      <c r="G105">
        <v>0</v>
      </c>
      <c r="H105">
        <v>1.766449</v>
      </c>
      <c r="I105">
        <v>1.785048</v>
      </c>
      <c r="J105">
        <v>-0.018599</v>
      </c>
      <c r="K105" s="4">
        <f t="shared" si="3"/>
        <v>-0.0104193276595363</v>
      </c>
      <c r="L105" s="4">
        <f t="shared" si="4"/>
        <v>0</v>
      </c>
      <c r="M105" s="18">
        <f t="shared" si="5"/>
        <v>0</v>
      </c>
    </row>
    <row r="106" spans="1:13">
      <c r="A106" t="s">
        <v>13</v>
      </c>
      <c r="B106" t="s">
        <v>222</v>
      </c>
      <c r="C106" t="s">
        <v>223</v>
      </c>
      <c r="D106">
        <v>28145.506</v>
      </c>
      <c r="E106">
        <v>28745.506</v>
      </c>
      <c r="F106">
        <v>0.954</v>
      </c>
      <c r="G106">
        <v>-600</v>
      </c>
      <c r="H106">
        <v>2.685081</v>
      </c>
      <c r="I106">
        <v>2.742609</v>
      </c>
      <c r="J106">
        <v>-0.057528</v>
      </c>
      <c r="K106" s="4">
        <f t="shared" si="3"/>
        <v>-0.0209756476406225</v>
      </c>
      <c r="L106" s="4">
        <f t="shared" si="4"/>
        <v>-0.0208728279126483</v>
      </c>
      <c r="M106" s="18">
        <f t="shared" si="5"/>
        <v>-0.05724</v>
      </c>
    </row>
    <row r="107" spans="1:13">
      <c r="A107" t="s">
        <v>13</v>
      </c>
      <c r="B107" t="s">
        <v>224</v>
      </c>
      <c r="C107" t="s">
        <v>225</v>
      </c>
      <c r="D107">
        <v>19487.4485</v>
      </c>
      <c r="E107">
        <v>19487.4485</v>
      </c>
      <c r="F107">
        <v>0.7739</v>
      </c>
      <c r="G107">
        <v>0</v>
      </c>
      <c r="H107">
        <v>1.508134</v>
      </c>
      <c r="I107">
        <v>1.528985</v>
      </c>
      <c r="J107">
        <v>-0.020851</v>
      </c>
      <c r="K107" s="4">
        <f t="shared" si="3"/>
        <v>-0.0136371514436047</v>
      </c>
      <c r="L107" s="4">
        <f t="shared" si="4"/>
        <v>0</v>
      </c>
      <c r="M107" s="18">
        <f t="shared" si="5"/>
        <v>0</v>
      </c>
    </row>
    <row r="108" spans="1:13">
      <c r="A108" t="s">
        <v>13</v>
      </c>
      <c r="B108" t="s">
        <v>226</v>
      </c>
      <c r="C108" t="s">
        <v>227</v>
      </c>
      <c r="D108">
        <v>40463.8357</v>
      </c>
      <c r="E108">
        <v>40463.8357</v>
      </c>
      <c r="F108">
        <v>0.8467</v>
      </c>
      <c r="G108">
        <v>0</v>
      </c>
      <c r="H108">
        <v>3.426073</v>
      </c>
      <c r="I108">
        <v>3.445496</v>
      </c>
      <c r="J108">
        <v>-0.019423</v>
      </c>
      <c r="K108" s="4">
        <f t="shared" si="3"/>
        <v>-0.00563721449683877</v>
      </c>
      <c r="L108" s="4">
        <f t="shared" si="4"/>
        <v>0</v>
      </c>
      <c r="M108" s="18">
        <f t="shared" si="5"/>
        <v>0</v>
      </c>
    </row>
    <row r="109" spans="1:13">
      <c r="A109" t="s">
        <v>13</v>
      </c>
      <c r="B109" t="s">
        <v>228</v>
      </c>
      <c r="C109" t="s">
        <v>229</v>
      </c>
      <c r="D109">
        <v>22253.2934</v>
      </c>
      <c r="E109">
        <v>22553.2934</v>
      </c>
      <c r="F109">
        <v>0.8782</v>
      </c>
      <c r="G109">
        <v>-300</v>
      </c>
      <c r="H109">
        <v>1.954284</v>
      </c>
      <c r="I109">
        <v>1.98063</v>
      </c>
      <c r="J109">
        <v>-0.026346</v>
      </c>
      <c r="K109" s="4">
        <f t="shared" si="3"/>
        <v>-0.0133018282061768</v>
      </c>
      <c r="L109" s="4">
        <f t="shared" si="4"/>
        <v>-0.0133018266857647</v>
      </c>
      <c r="M109" s="18">
        <f t="shared" si="5"/>
        <v>-0.026346</v>
      </c>
    </row>
    <row r="110" spans="1:13">
      <c r="A110" t="s">
        <v>13</v>
      </c>
      <c r="B110" t="s">
        <v>230</v>
      </c>
      <c r="C110" t="s">
        <v>231</v>
      </c>
      <c r="D110">
        <v>39582.9293</v>
      </c>
      <c r="E110">
        <v>39682.9293</v>
      </c>
      <c r="F110">
        <v>0.7677</v>
      </c>
      <c r="G110">
        <v>-100</v>
      </c>
      <c r="H110">
        <v>3.038781</v>
      </c>
      <c r="I110">
        <v>3.09011</v>
      </c>
      <c r="J110">
        <v>-0.051329</v>
      </c>
      <c r="K110" s="4">
        <f t="shared" si="3"/>
        <v>-0.0166107355401588</v>
      </c>
      <c r="L110" s="4">
        <f t="shared" si="4"/>
        <v>-0.00251997525797573</v>
      </c>
      <c r="M110" s="18">
        <f t="shared" si="5"/>
        <v>-0.007677</v>
      </c>
    </row>
    <row r="111" spans="1:13">
      <c r="A111" t="s">
        <v>13</v>
      </c>
      <c r="B111" t="s">
        <v>232</v>
      </c>
      <c r="C111" t="s">
        <v>233</v>
      </c>
      <c r="D111">
        <v>5545.5388</v>
      </c>
      <c r="E111">
        <v>5745.5388</v>
      </c>
      <c r="F111">
        <v>0.8108</v>
      </c>
      <c r="G111">
        <v>-200</v>
      </c>
      <c r="H111">
        <v>0.449632</v>
      </c>
      <c r="I111">
        <v>0.473203</v>
      </c>
      <c r="J111">
        <v>-0.023571</v>
      </c>
      <c r="K111" s="4">
        <f t="shared" si="3"/>
        <v>-0.0498116030540804</v>
      </c>
      <c r="L111" s="4">
        <f t="shared" si="4"/>
        <v>-0.0348096161146801</v>
      </c>
      <c r="M111" s="18">
        <f t="shared" si="5"/>
        <v>-0.016216</v>
      </c>
    </row>
    <row r="112" spans="1:13">
      <c r="A112" t="s">
        <v>13</v>
      </c>
      <c r="B112" t="s">
        <v>234</v>
      </c>
      <c r="C112" t="s">
        <v>235</v>
      </c>
      <c r="D112">
        <v>29327.0382</v>
      </c>
      <c r="E112">
        <v>22827.0382</v>
      </c>
      <c r="F112">
        <v>1.1304</v>
      </c>
      <c r="G112">
        <v>6500</v>
      </c>
      <c r="H112">
        <v>3.315128</v>
      </c>
      <c r="I112">
        <v>2.589271</v>
      </c>
      <c r="J112">
        <v>0.725857</v>
      </c>
      <c r="K112" s="4">
        <f t="shared" si="3"/>
        <v>0.280332572372687</v>
      </c>
      <c r="L112" s="4">
        <f t="shared" si="4"/>
        <v>0.284750038224407</v>
      </c>
      <c r="M112" s="18">
        <f t="shared" si="5"/>
        <v>0.73476</v>
      </c>
    </row>
    <row r="113" spans="1:13">
      <c r="A113" t="s">
        <v>13</v>
      </c>
      <c r="B113" t="s">
        <v>236</v>
      </c>
      <c r="C113" t="s">
        <v>237</v>
      </c>
      <c r="D113">
        <v>2330.3341</v>
      </c>
      <c r="E113">
        <v>2230.3341</v>
      </c>
      <c r="F113">
        <v>1.021</v>
      </c>
      <c r="G113">
        <v>100</v>
      </c>
      <c r="H113">
        <v>0.237927</v>
      </c>
      <c r="I113">
        <v>0.227873</v>
      </c>
      <c r="J113">
        <v>0.010054</v>
      </c>
      <c r="K113" s="4">
        <f t="shared" si="3"/>
        <v>0.0441210674366862</v>
      </c>
      <c r="L113" s="4">
        <f t="shared" si="4"/>
        <v>0.0448363319199576</v>
      </c>
      <c r="M113" s="18">
        <f t="shared" si="5"/>
        <v>0.01021</v>
      </c>
    </row>
    <row r="114" spans="1:13">
      <c r="A114" t="s">
        <v>13</v>
      </c>
      <c r="B114" t="s">
        <v>238</v>
      </c>
      <c r="C114" t="s">
        <v>239</v>
      </c>
      <c r="D114">
        <v>4761.9279</v>
      </c>
      <c r="E114">
        <v>4761.9279</v>
      </c>
      <c r="F114">
        <v>1.0319</v>
      </c>
      <c r="G114">
        <v>0</v>
      </c>
      <c r="H114">
        <v>0.491383</v>
      </c>
      <c r="I114">
        <v>0.48686</v>
      </c>
      <c r="J114">
        <v>0.004523</v>
      </c>
      <c r="K114" s="4">
        <f t="shared" si="3"/>
        <v>0.00929014501088609</v>
      </c>
      <c r="L114" s="4">
        <f t="shared" si="4"/>
        <v>0</v>
      </c>
      <c r="M114" s="18">
        <f t="shared" si="5"/>
        <v>0</v>
      </c>
    </row>
    <row r="115" spans="1:13">
      <c r="A115" t="s">
        <v>13</v>
      </c>
      <c r="B115" t="s">
        <v>240</v>
      </c>
      <c r="C115" t="s">
        <v>241</v>
      </c>
      <c r="D115">
        <v>6443.2994</v>
      </c>
      <c r="E115">
        <v>6143.2994</v>
      </c>
      <c r="F115">
        <v>1.2975</v>
      </c>
      <c r="G115">
        <v>300</v>
      </c>
      <c r="H115">
        <v>0.836018</v>
      </c>
      <c r="I115">
        <v>0.761278</v>
      </c>
      <c r="J115">
        <v>0.07474</v>
      </c>
      <c r="K115" s="4">
        <f t="shared" si="3"/>
        <v>0.0981770128652082</v>
      </c>
      <c r="L115" s="4">
        <f t="shared" si="4"/>
        <v>0.0488336935035268</v>
      </c>
      <c r="M115" s="18">
        <f t="shared" si="5"/>
        <v>0.038925</v>
      </c>
    </row>
    <row r="116" spans="1:13">
      <c r="A116" t="s">
        <v>13</v>
      </c>
      <c r="B116" t="s">
        <v>242</v>
      </c>
      <c r="C116" t="s">
        <v>243</v>
      </c>
      <c r="D116">
        <v>9690.3568</v>
      </c>
      <c r="E116">
        <v>9490.3568</v>
      </c>
      <c r="F116">
        <v>0.8385</v>
      </c>
      <c r="G116">
        <v>200</v>
      </c>
      <c r="H116">
        <v>0.812536</v>
      </c>
      <c r="I116">
        <v>0.801176</v>
      </c>
      <c r="J116">
        <v>0.01136</v>
      </c>
      <c r="K116" s="4">
        <f t="shared" si="3"/>
        <v>0.0141791566397396</v>
      </c>
      <c r="L116" s="4">
        <f t="shared" si="4"/>
        <v>0.0210740232653845</v>
      </c>
      <c r="M116" s="18">
        <f t="shared" si="5"/>
        <v>0.01677</v>
      </c>
    </row>
    <row r="117" spans="1:13">
      <c r="A117" t="s">
        <v>13</v>
      </c>
      <c r="B117" t="s">
        <v>244</v>
      </c>
      <c r="C117" t="s">
        <v>245</v>
      </c>
      <c r="D117">
        <v>3015.5926</v>
      </c>
      <c r="E117">
        <v>3015.5926</v>
      </c>
      <c r="F117">
        <v>1.1971</v>
      </c>
      <c r="G117">
        <v>0</v>
      </c>
      <c r="H117">
        <v>0.360997</v>
      </c>
      <c r="I117">
        <v>0.355327</v>
      </c>
      <c r="J117">
        <v>0.00567</v>
      </c>
      <c r="K117" s="4">
        <f t="shared" si="3"/>
        <v>0.0159571324441993</v>
      </c>
      <c r="L117" s="4">
        <f t="shared" si="4"/>
        <v>0</v>
      </c>
      <c r="M117" s="18">
        <f t="shared" si="5"/>
        <v>0</v>
      </c>
    </row>
    <row r="118" spans="1:13">
      <c r="A118" t="s">
        <v>13</v>
      </c>
      <c r="B118" t="s">
        <v>246</v>
      </c>
      <c r="C118" t="s">
        <v>247</v>
      </c>
      <c r="D118">
        <v>15540.5335</v>
      </c>
      <c r="E118">
        <v>15940.5335</v>
      </c>
      <c r="F118">
        <v>0.8543</v>
      </c>
      <c r="G118">
        <v>-400</v>
      </c>
      <c r="H118">
        <v>1.327628</v>
      </c>
      <c r="I118">
        <v>1.35383</v>
      </c>
      <c r="J118">
        <v>-0.026202</v>
      </c>
      <c r="K118" s="4">
        <f t="shared" si="3"/>
        <v>-0.0193539809281815</v>
      </c>
      <c r="L118" s="4">
        <f t="shared" si="4"/>
        <v>-0.0250932630328841</v>
      </c>
      <c r="M118" s="18">
        <f t="shared" si="5"/>
        <v>-0.034172</v>
      </c>
    </row>
    <row r="119" spans="1:13">
      <c r="A119" t="s">
        <v>13</v>
      </c>
      <c r="B119" t="s">
        <v>248</v>
      </c>
      <c r="C119" t="s">
        <v>249</v>
      </c>
      <c r="D119">
        <v>4048.5663</v>
      </c>
      <c r="E119">
        <v>4048.5663</v>
      </c>
      <c r="F119">
        <v>0.9582</v>
      </c>
      <c r="G119">
        <v>0</v>
      </c>
      <c r="H119">
        <v>0.387934</v>
      </c>
      <c r="I119">
        <v>0.388298</v>
      </c>
      <c r="J119">
        <v>-0.000364</v>
      </c>
      <c r="K119" s="4">
        <f t="shared" si="3"/>
        <v>-0.00093742434933994</v>
      </c>
      <c r="L119" s="4">
        <f t="shared" si="4"/>
        <v>0</v>
      </c>
      <c r="M119" s="18">
        <f t="shared" si="5"/>
        <v>0</v>
      </c>
    </row>
    <row r="120" spans="1:13">
      <c r="A120" t="s">
        <v>13</v>
      </c>
      <c r="B120" t="s">
        <v>250</v>
      </c>
      <c r="C120" t="s">
        <v>251</v>
      </c>
      <c r="D120">
        <v>4838.7793</v>
      </c>
      <c r="E120">
        <v>4838.7793</v>
      </c>
      <c r="F120">
        <v>1.0412</v>
      </c>
      <c r="G120">
        <v>0</v>
      </c>
      <c r="H120">
        <v>0.503814</v>
      </c>
      <c r="I120">
        <v>0.506669</v>
      </c>
      <c r="J120">
        <v>-0.002855</v>
      </c>
      <c r="K120" s="4">
        <f t="shared" si="3"/>
        <v>-0.0056348424711202</v>
      </c>
      <c r="L120" s="4">
        <f t="shared" si="4"/>
        <v>0</v>
      </c>
      <c r="M120" s="18">
        <f t="shared" si="5"/>
        <v>0</v>
      </c>
    </row>
    <row r="121" spans="1:13">
      <c r="A121" t="s">
        <v>13</v>
      </c>
      <c r="B121" t="s">
        <v>252</v>
      </c>
      <c r="C121" t="s">
        <v>253</v>
      </c>
      <c r="D121">
        <v>16009.9035</v>
      </c>
      <c r="E121">
        <v>16409.9035</v>
      </c>
      <c r="F121">
        <v>1.2665</v>
      </c>
      <c r="G121">
        <v>-400</v>
      </c>
      <c r="H121">
        <v>2.027654</v>
      </c>
      <c r="I121">
        <v>2.025967</v>
      </c>
      <c r="J121">
        <v>0.001687</v>
      </c>
      <c r="K121" s="4">
        <f t="shared" si="3"/>
        <v>0.000832688785157902</v>
      </c>
      <c r="L121" s="4">
        <f t="shared" si="4"/>
        <v>-0.0243755242070741</v>
      </c>
      <c r="M121" s="18">
        <f t="shared" si="5"/>
        <v>-0.05066</v>
      </c>
    </row>
    <row r="122" spans="1:13">
      <c r="A122" t="s">
        <v>13</v>
      </c>
      <c r="B122" t="s">
        <v>254</v>
      </c>
      <c r="C122" t="s">
        <v>255</v>
      </c>
      <c r="D122">
        <v>10486.9245</v>
      </c>
      <c r="E122">
        <v>10486.9245</v>
      </c>
      <c r="F122">
        <v>0.8087</v>
      </c>
      <c r="G122">
        <v>0</v>
      </c>
      <c r="H122">
        <v>0.848078</v>
      </c>
      <c r="I122">
        <v>0.863074</v>
      </c>
      <c r="J122">
        <v>-0.014996</v>
      </c>
      <c r="K122" s="4">
        <f t="shared" si="3"/>
        <v>-0.0173751034094411</v>
      </c>
      <c r="L122" s="4">
        <f t="shared" si="4"/>
        <v>0</v>
      </c>
      <c r="M122" s="18">
        <f t="shared" si="5"/>
        <v>0</v>
      </c>
    </row>
    <row r="123" spans="1:13">
      <c r="A123" t="s">
        <v>13</v>
      </c>
      <c r="B123" t="s">
        <v>256</v>
      </c>
      <c r="C123" t="s">
        <v>257</v>
      </c>
      <c r="D123">
        <v>5417.6266</v>
      </c>
      <c r="E123">
        <v>5517.6266</v>
      </c>
      <c r="F123">
        <v>1.0692</v>
      </c>
      <c r="G123">
        <v>-100</v>
      </c>
      <c r="H123">
        <v>0.579253</v>
      </c>
      <c r="I123">
        <v>0.5916</v>
      </c>
      <c r="J123">
        <v>-0.012347</v>
      </c>
      <c r="K123" s="4">
        <f t="shared" si="3"/>
        <v>-0.0208705206220419</v>
      </c>
      <c r="L123" s="4">
        <f t="shared" si="4"/>
        <v>-0.0181237345781971</v>
      </c>
      <c r="M123" s="18">
        <f t="shared" si="5"/>
        <v>-0.010692</v>
      </c>
    </row>
    <row r="124" spans="1:13">
      <c r="A124" t="s">
        <v>13</v>
      </c>
      <c r="B124" t="s">
        <v>258</v>
      </c>
      <c r="C124" t="s">
        <v>259</v>
      </c>
      <c r="D124">
        <v>7260.1882</v>
      </c>
      <c r="E124">
        <v>7260.1882</v>
      </c>
      <c r="F124">
        <v>0.9293</v>
      </c>
      <c r="G124">
        <v>0</v>
      </c>
      <c r="H124">
        <v>0.674689</v>
      </c>
      <c r="I124">
        <v>0.679626</v>
      </c>
      <c r="J124">
        <v>-0.004937</v>
      </c>
      <c r="K124" s="4">
        <f t="shared" si="3"/>
        <v>-0.00726428947685933</v>
      </c>
      <c r="L124" s="4">
        <f t="shared" si="4"/>
        <v>0</v>
      </c>
      <c r="M124" s="18">
        <f t="shared" si="5"/>
        <v>0</v>
      </c>
    </row>
    <row r="125" spans="1:13">
      <c r="A125" t="s">
        <v>13</v>
      </c>
      <c r="B125" t="s">
        <v>260</v>
      </c>
      <c r="C125" t="s">
        <v>261</v>
      </c>
      <c r="D125">
        <v>12708.3187</v>
      </c>
      <c r="E125">
        <v>12908.3187</v>
      </c>
      <c r="F125">
        <v>0.8596</v>
      </c>
      <c r="G125">
        <v>-200</v>
      </c>
      <c r="H125">
        <v>1.092407</v>
      </c>
      <c r="I125">
        <v>1.103274</v>
      </c>
      <c r="J125">
        <v>-0.010867</v>
      </c>
      <c r="K125" s="4">
        <f t="shared" si="3"/>
        <v>-0.0098497743987441</v>
      </c>
      <c r="L125" s="4">
        <f t="shared" si="4"/>
        <v>-0.0154938845753785</v>
      </c>
      <c r="M125" s="18">
        <f t="shared" si="5"/>
        <v>-0.017192</v>
      </c>
    </row>
    <row r="126" spans="1:13">
      <c r="A126" t="s">
        <v>13</v>
      </c>
      <c r="B126" t="s">
        <v>262</v>
      </c>
      <c r="C126" t="s">
        <v>263</v>
      </c>
      <c r="D126">
        <v>7006.9299</v>
      </c>
      <c r="E126">
        <v>6806.9299</v>
      </c>
      <c r="F126">
        <v>1.0639</v>
      </c>
      <c r="G126">
        <v>200</v>
      </c>
      <c r="H126">
        <v>0.745467</v>
      </c>
      <c r="I126">
        <v>0.726163</v>
      </c>
      <c r="J126">
        <v>0.019304</v>
      </c>
      <c r="K126" s="4">
        <f t="shared" si="3"/>
        <v>0.0265835631944894</v>
      </c>
      <c r="L126" s="4">
        <f t="shared" si="4"/>
        <v>0.0293818216050675</v>
      </c>
      <c r="M126" s="18">
        <f t="shared" si="5"/>
        <v>0.021278</v>
      </c>
    </row>
    <row r="127" spans="1:13">
      <c r="A127" t="s">
        <v>13</v>
      </c>
      <c r="B127" t="s">
        <v>264</v>
      </c>
      <c r="C127" t="s">
        <v>265</v>
      </c>
      <c r="D127">
        <v>7810.4851</v>
      </c>
      <c r="E127">
        <v>7810.4851</v>
      </c>
      <c r="F127">
        <v>0.884</v>
      </c>
      <c r="G127">
        <v>0</v>
      </c>
      <c r="H127">
        <v>0.690447</v>
      </c>
      <c r="I127">
        <v>0.691228</v>
      </c>
      <c r="J127">
        <v>-0.000781</v>
      </c>
      <c r="K127" s="4">
        <f t="shared" si="3"/>
        <v>-0.00112987321115464</v>
      </c>
      <c r="L127" s="4">
        <f t="shared" si="4"/>
        <v>0</v>
      </c>
      <c r="M127" s="18">
        <f t="shared" si="5"/>
        <v>0</v>
      </c>
    </row>
    <row r="128" spans="1:13">
      <c r="A128" t="s">
        <v>13</v>
      </c>
      <c r="B128" t="s">
        <v>266</v>
      </c>
      <c r="C128" t="s">
        <v>267</v>
      </c>
      <c r="D128">
        <v>2298.7065</v>
      </c>
      <c r="E128">
        <v>2298.7065</v>
      </c>
      <c r="F128">
        <v>0.9889</v>
      </c>
      <c r="G128">
        <v>0</v>
      </c>
      <c r="H128">
        <v>0.227319</v>
      </c>
      <c r="I128">
        <v>0.227526</v>
      </c>
      <c r="J128">
        <v>-0.000207</v>
      </c>
      <c r="K128" s="4">
        <f t="shared" si="3"/>
        <v>-0.0009097861343319</v>
      </c>
      <c r="L128" s="4">
        <f t="shared" si="4"/>
        <v>0</v>
      </c>
      <c r="M128" s="18">
        <f t="shared" si="5"/>
        <v>0</v>
      </c>
    </row>
    <row r="129" spans="1:13">
      <c r="A129" t="s">
        <v>13</v>
      </c>
      <c r="B129" t="s">
        <v>268</v>
      </c>
      <c r="C129" t="s">
        <v>269</v>
      </c>
      <c r="D129">
        <v>23608.0335</v>
      </c>
      <c r="E129">
        <v>23608.0335</v>
      </c>
      <c r="F129">
        <v>0.9944</v>
      </c>
      <c r="G129">
        <v>0</v>
      </c>
      <c r="H129">
        <v>2.347583</v>
      </c>
      <c r="I129">
        <v>2.334835</v>
      </c>
      <c r="J129">
        <v>0.012748</v>
      </c>
      <c r="K129" s="4">
        <f t="shared" si="3"/>
        <v>0.00545991472630828</v>
      </c>
      <c r="L129" s="4">
        <f t="shared" si="4"/>
        <v>0</v>
      </c>
      <c r="M129" s="18">
        <f t="shared" si="5"/>
        <v>0</v>
      </c>
    </row>
    <row r="130" spans="1:13">
      <c r="A130" t="s">
        <v>13</v>
      </c>
      <c r="B130" t="s">
        <v>270</v>
      </c>
      <c r="C130" t="s">
        <v>271</v>
      </c>
      <c r="D130">
        <v>9749.0164</v>
      </c>
      <c r="E130">
        <v>9749.0164</v>
      </c>
      <c r="F130">
        <v>0.8785</v>
      </c>
      <c r="G130">
        <v>0</v>
      </c>
      <c r="H130">
        <v>0.856451</v>
      </c>
      <c r="I130">
        <v>0.851577</v>
      </c>
      <c r="J130">
        <v>0.004874</v>
      </c>
      <c r="K130" s="4">
        <f t="shared" ref="K130:K193" si="6">IFERROR(J130/I130,"")</f>
        <v>0.00572349887326689</v>
      </c>
      <c r="L130" s="4">
        <f t="shared" ref="L130:L193" si="7">IFERROR((D130-E130)/E130,"")</f>
        <v>0</v>
      </c>
      <c r="M130" s="18">
        <f t="shared" ref="M130:M193" si="8">IFERROR(F130*G130/10000,"")</f>
        <v>0</v>
      </c>
    </row>
    <row r="131" spans="1:13">
      <c r="A131" t="s">
        <v>13</v>
      </c>
      <c r="B131" t="s">
        <v>272</v>
      </c>
      <c r="C131" t="s">
        <v>273</v>
      </c>
      <c r="D131">
        <v>19853.0324</v>
      </c>
      <c r="E131">
        <v>19953.0324</v>
      </c>
      <c r="F131">
        <v>1.4205</v>
      </c>
      <c r="G131">
        <v>-100</v>
      </c>
      <c r="H131">
        <v>2.820123</v>
      </c>
      <c r="I131">
        <v>2.759305</v>
      </c>
      <c r="J131">
        <v>0.060818</v>
      </c>
      <c r="K131" s="4">
        <f t="shared" si="6"/>
        <v>0.0220410574401887</v>
      </c>
      <c r="L131" s="4">
        <f t="shared" si="7"/>
        <v>-0.00501176953935082</v>
      </c>
      <c r="M131" s="18">
        <f t="shared" si="8"/>
        <v>-0.014205</v>
      </c>
    </row>
    <row r="132" spans="1:13">
      <c r="A132" t="s">
        <v>13</v>
      </c>
      <c r="B132" t="s">
        <v>274</v>
      </c>
      <c r="C132" t="s">
        <v>275</v>
      </c>
      <c r="D132">
        <v>4838.829</v>
      </c>
      <c r="E132">
        <v>4838.829</v>
      </c>
      <c r="F132">
        <v>0.8771</v>
      </c>
      <c r="G132">
        <v>0</v>
      </c>
      <c r="H132">
        <v>0.424414</v>
      </c>
      <c r="I132">
        <v>0.421946</v>
      </c>
      <c r="J132">
        <v>0.002468</v>
      </c>
      <c r="K132" s="4">
        <f t="shared" si="6"/>
        <v>0.00584908969394188</v>
      </c>
      <c r="L132" s="4">
        <f t="shared" si="7"/>
        <v>0</v>
      </c>
      <c r="M132" s="18">
        <f t="shared" si="8"/>
        <v>0</v>
      </c>
    </row>
    <row r="133" spans="1:13">
      <c r="A133" t="s">
        <v>13</v>
      </c>
      <c r="B133" t="s">
        <v>276</v>
      </c>
      <c r="C133" t="s">
        <v>277</v>
      </c>
      <c r="D133">
        <v>7634.4347</v>
      </c>
      <c r="E133">
        <v>7634.4347</v>
      </c>
      <c r="F133">
        <v>1.4276</v>
      </c>
      <c r="G133">
        <v>0</v>
      </c>
      <c r="H133">
        <v>1.089892</v>
      </c>
      <c r="I133">
        <v>1.061034</v>
      </c>
      <c r="J133">
        <v>0.028858</v>
      </c>
      <c r="K133" s="4">
        <f t="shared" si="6"/>
        <v>0.0271979974251532</v>
      </c>
      <c r="L133" s="4">
        <f t="shared" si="7"/>
        <v>0</v>
      </c>
      <c r="M133" s="18">
        <f t="shared" si="8"/>
        <v>0</v>
      </c>
    </row>
    <row r="134" spans="1:13">
      <c r="A134" t="s">
        <v>13</v>
      </c>
      <c r="B134" t="s">
        <v>278</v>
      </c>
      <c r="C134" t="s">
        <v>279</v>
      </c>
      <c r="D134">
        <v>9015.4938</v>
      </c>
      <c r="E134">
        <v>9015.4938</v>
      </c>
      <c r="F134">
        <v>0.8743</v>
      </c>
      <c r="G134">
        <v>0</v>
      </c>
      <c r="H134">
        <v>0.788225</v>
      </c>
      <c r="I134">
        <v>0.783807</v>
      </c>
      <c r="J134">
        <v>0.004418</v>
      </c>
      <c r="K134" s="4">
        <f t="shared" si="6"/>
        <v>0.00563659166095735</v>
      </c>
      <c r="L134" s="4">
        <f t="shared" si="7"/>
        <v>0</v>
      </c>
      <c r="M134" s="18">
        <f t="shared" si="8"/>
        <v>0</v>
      </c>
    </row>
    <row r="135" spans="1:13">
      <c r="A135" t="s">
        <v>13</v>
      </c>
      <c r="B135" t="s">
        <v>280</v>
      </c>
      <c r="C135" t="s">
        <v>281</v>
      </c>
      <c r="D135">
        <v>15361.2633</v>
      </c>
      <c r="E135">
        <v>15258.2633</v>
      </c>
      <c r="F135">
        <v>101.661</v>
      </c>
      <c r="G135">
        <v>103</v>
      </c>
      <c r="H135">
        <v>156.164139</v>
      </c>
      <c r="I135">
        <v>155.083005</v>
      </c>
      <c r="J135">
        <v>1.081134</v>
      </c>
      <c r="K135" s="4">
        <f t="shared" si="6"/>
        <v>0.00697132480764091</v>
      </c>
      <c r="L135" s="4">
        <f t="shared" si="7"/>
        <v>0.00675044059568693</v>
      </c>
      <c r="M135" s="18">
        <f t="shared" si="8"/>
        <v>1.0471083</v>
      </c>
    </row>
    <row r="136" spans="1:13">
      <c r="A136" t="s">
        <v>13</v>
      </c>
      <c r="B136" t="s">
        <v>282</v>
      </c>
      <c r="C136" t="s">
        <v>283</v>
      </c>
      <c r="D136">
        <v>1280027.5939</v>
      </c>
      <c r="E136">
        <v>1296127.5939</v>
      </c>
      <c r="F136">
        <v>1.1419</v>
      </c>
      <c r="G136">
        <v>-16100</v>
      </c>
      <c r="H136">
        <v>146.166351</v>
      </c>
      <c r="I136">
        <v>148.549184</v>
      </c>
      <c r="J136">
        <v>-2.382833</v>
      </c>
      <c r="K136" s="4">
        <f t="shared" si="6"/>
        <v>-0.0160407007015266</v>
      </c>
      <c r="L136" s="4">
        <f t="shared" si="7"/>
        <v>-0.0124216165721429</v>
      </c>
      <c r="M136" s="18">
        <f t="shared" si="8"/>
        <v>-1.838459</v>
      </c>
    </row>
    <row r="137" spans="1:13">
      <c r="A137" t="s">
        <v>13</v>
      </c>
      <c r="B137" t="s">
        <v>284</v>
      </c>
      <c r="C137" t="s">
        <v>285</v>
      </c>
      <c r="D137">
        <v>118940.19</v>
      </c>
      <c r="E137">
        <v>118940.19</v>
      </c>
      <c r="F137">
        <v>0.8162</v>
      </c>
      <c r="G137">
        <v>0</v>
      </c>
      <c r="H137">
        <v>9.707898</v>
      </c>
      <c r="I137">
        <v>9.696004</v>
      </c>
      <c r="J137">
        <v>0.011894</v>
      </c>
      <c r="K137" s="4">
        <f t="shared" si="6"/>
        <v>0.00122669091308131</v>
      </c>
      <c r="L137" s="4">
        <f t="shared" si="7"/>
        <v>0</v>
      </c>
      <c r="M137" s="18">
        <f t="shared" si="8"/>
        <v>0</v>
      </c>
    </row>
    <row r="138" spans="1:13">
      <c r="A138" t="s">
        <v>13</v>
      </c>
      <c r="B138" t="s">
        <v>286</v>
      </c>
      <c r="C138" t="s">
        <v>287</v>
      </c>
      <c r="D138">
        <v>479.1913</v>
      </c>
      <c r="E138">
        <v>479.1913</v>
      </c>
      <c r="F138">
        <v>1.4807</v>
      </c>
      <c r="G138">
        <v>0</v>
      </c>
      <c r="H138">
        <v>0.070954</v>
      </c>
      <c r="I138">
        <v>0.070134</v>
      </c>
      <c r="J138">
        <v>0.00082</v>
      </c>
      <c r="K138" s="4">
        <f t="shared" si="6"/>
        <v>0.011691904069353</v>
      </c>
      <c r="L138" s="4">
        <f t="shared" si="7"/>
        <v>0</v>
      </c>
      <c r="M138" s="18">
        <f t="shared" si="8"/>
        <v>0</v>
      </c>
    </row>
    <row r="139" spans="1:13">
      <c r="A139" t="s">
        <v>13</v>
      </c>
      <c r="B139" t="s">
        <v>288</v>
      </c>
      <c r="C139" t="s">
        <v>289</v>
      </c>
      <c r="D139">
        <v>28105.6064</v>
      </c>
      <c r="E139">
        <v>28505.6064</v>
      </c>
      <c r="F139">
        <v>2.0409</v>
      </c>
      <c r="G139">
        <v>-400</v>
      </c>
      <c r="H139">
        <v>5.736073</v>
      </c>
      <c r="I139">
        <v>5.728487</v>
      </c>
      <c r="J139">
        <v>0.007586</v>
      </c>
      <c r="K139" s="4">
        <f t="shared" si="6"/>
        <v>0.00132425891862895</v>
      </c>
      <c r="L139" s="4">
        <f t="shared" si="7"/>
        <v>-0.0140323273389476</v>
      </c>
      <c r="M139" s="18">
        <f t="shared" si="8"/>
        <v>-0.081636</v>
      </c>
    </row>
    <row r="140" spans="1:13">
      <c r="A140" t="s">
        <v>13</v>
      </c>
      <c r="B140" t="s">
        <v>290</v>
      </c>
      <c r="C140" t="s">
        <v>291</v>
      </c>
      <c r="D140">
        <v>1055895.3365</v>
      </c>
      <c r="E140">
        <v>1061195.3365</v>
      </c>
      <c r="F140">
        <v>1.6703</v>
      </c>
      <c r="G140">
        <v>-5300</v>
      </c>
      <c r="H140">
        <v>176.366198</v>
      </c>
      <c r="I140">
        <v>173.197691</v>
      </c>
      <c r="J140">
        <v>3.168507</v>
      </c>
      <c r="K140" s="4">
        <f t="shared" si="6"/>
        <v>0.0182941642103069</v>
      </c>
      <c r="L140" s="4">
        <f t="shared" si="7"/>
        <v>-0.0049943679713862</v>
      </c>
      <c r="M140" s="18">
        <f t="shared" si="8"/>
        <v>-0.885259</v>
      </c>
    </row>
    <row r="141" spans="1:13">
      <c r="A141" t="s">
        <v>13</v>
      </c>
      <c r="B141" t="s">
        <v>292</v>
      </c>
      <c r="C141" t="s">
        <v>293</v>
      </c>
      <c r="D141">
        <v>162998.3345</v>
      </c>
      <c r="E141">
        <v>163398.3345</v>
      </c>
      <c r="F141">
        <v>1.1319</v>
      </c>
      <c r="G141">
        <v>-400</v>
      </c>
      <c r="H141">
        <v>18.449781</v>
      </c>
      <c r="I141">
        <v>18.669894</v>
      </c>
      <c r="J141">
        <v>-0.220113</v>
      </c>
      <c r="K141" s="4">
        <f t="shared" si="6"/>
        <v>-0.0117897294971252</v>
      </c>
      <c r="L141" s="4">
        <f t="shared" si="7"/>
        <v>-0.00244800536813305</v>
      </c>
      <c r="M141" s="18">
        <f t="shared" si="8"/>
        <v>-0.045276</v>
      </c>
    </row>
    <row r="142" spans="1:13">
      <c r="A142" t="s">
        <v>13</v>
      </c>
      <c r="B142" t="s">
        <v>294</v>
      </c>
      <c r="C142" t="s">
        <v>295</v>
      </c>
      <c r="D142">
        <v>32846.2783</v>
      </c>
      <c r="E142">
        <v>33046.2783</v>
      </c>
      <c r="F142">
        <v>1.1833</v>
      </c>
      <c r="G142">
        <v>-200</v>
      </c>
      <c r="H142">
        <v>3.8867</v>
      </c>
      <c r="I142">
        <v>3.894504</v>
      </c>
      <c r="J142">
        <v>-0.007804</v>
      </c>
      <c r="K142" s="4">
        <f t="shared" si="6"/>
        <v>-0.00200384952743661</v>
      </c>
      <c r="L142" s="4">
        <f t="shared" si="7"/>
        <v>-0.00605211873435079</v>
      </c>
      <c r="M142" s="18">
        <f t="shared" si="8"/>
        <v>-0.023666</v>
      </c>
    </row>
    <row r="143" spans="1:13">
      <c r="A143" t="s">
        <v>13</v>
      </c>
      <c r="B143" t="s">
        <v>296</v>
      </c>
      <c r="C143" t="s">
        <v>297</v>
      </c>
      <c r="D143">
        <v>200863.5053</v>
      </c>
      <c r="E143">
        <v>200963.5053</v>
      </c>
      <c r="F143">
        <v>1.0933</v>
      </c>
      <c r="G143">
        <v>-100</v>
      </c>
      <c r="H143">
        <v>21.960407</v>
      </c>
      <c r="I143">
        <v>22.087899</v>
      </c>
      <c r="J143">
        <v>-0.127492</v>
      </c>
      <c r="K143" s="4">
        <f t="shared" si="6"/>
        <v>-0.00577202929078949</v>
      </c>
      <c r="L143" s="4">
        <f t="shared" si="7"/>
        <v>-0.000497602785394886</v>
      </c>
      <c r="M143" s="18">
        <f t="shared" si="8"/>
        <v>-0.010933</v>
      </c>
    </row>
    <row r="144" spans="1:13">
      <c r="A144" t="s">
        <v>13</v>
      </c>
      <c r="B144" t="s">
        <v>298</v>
      </c>
      <c r="C144" t="s">
        <v>299</v>
      </c>
      <c r="D144">
        <v>3214.9802</v>
      </c>
      <c r="E144">
        <v>3214.9802</v>
      </c>
      <c r="F144">
        <v>0.9148</v>
      </c>
      <c r="G144">
        <v>0</v>
      </c>
      <c r="H144">
        <v>0.294106</v>
      </c>
      <c r="I144">
        <v>0.297868</v>
      </c>
      <c r="J144">
        <v>-0.003762</v>
      </c>
      <c r="K144" s="4">
        <f t="shared" si="6"/>
        <v>-0.012629755462151</v>
      </c>
      <c r="L144" s="4">
        <f t="shared" si="7"/>
        <v>0</v>
      </c>
      <c r="M144" s="18">
        <f t="shared" si="8"/>
        <v>0</v>
      </c>
    </row>
    <row r="145" spans="1:13">
      <c r="A145" t="s">
        <v>13</v>
      </c>
      <c r="B145" t="s">
        <v>300</v>
      </c>
      <c r="C145" t="s">
        <v>301</v>
      </c>
      <c r="D145">
        <v>1968.3294</v>
      </c>
      <c r="E145">
        <v>1968.3294</v>
      </c>
      <c r="F145">
        <v>1.622</v>
      </c>
      <c r="G145">
        <v>0</v>
      </c>
      <c r="H145">
        <v>0.319263</v>
      </c>
      <c r="I145">
        <v>0.315307</v>
      </c>
      <c r="J145">
        <v>0.003956</v>
      </c>
      <c r="K145" s="4">
        <f t="shared" si="6"/>
        <v>0.0125465022977606</v>
      </c>
      <c r="L145" s="4">
        <f t="shared" si="7"/>
        <v>0</v>
      </c>
      <c r="M145" s="18">
        <f t="shared" si="8"/>
        <v>0</v>
      </c>
    </row>
    <row r="146" spans="1:13">
      <c r="A146" t="s">
        <v>13</v>
      </c>
      <c r="B146" t="s">
        <v>302</v>
      </c>
      <c r="C146" t="s">
        <v>303</v>
      </c>
      <c r="D146">
        <v>7720.4367</v>
      </c>
      <c r="E146">
        <v>7720.4367</v>
      </c>
      <c r="F146">
        <v>1.6478</v>
      </c>
      <c r="G146">
        <v>0</v>
      </c>
      <c r="H146">
        <v>1.272174</v>
      </c>
      <c r="I146">
        <v>1.256424</v>
      </c>
      <c r="J146">
        <v>0.01575</v>
      </c>
      <c r="K146" s="4">
        <f t="shared" si="6"/>
        <v>0.0125355771618498</v>
      </c>
      <c r="L146" s="4">
        <f t="shared" si="7"/>
        <v>0</v>
      </c>
      <c r="M146" s="18">
        <f t="shared" si="8"/>
        <v>0</v>
      </c>
    </row>
    <row r="147" spans="1:13">
      <c r="A147" t="s">
        <v>13</v>
      </c>
      <c r="B147" t="s">
        <v>304</v>
      </c>
      <c r="C147" t="s">
        <v>305</v>
      </c>
      <c r="D147">
        <v>41073.7566</v>
      </c>
      <c r="E147">
        <v>41823.7566</v>
      </c>
      <c r="F147">
        <v>1.375</v>
      </c>
      <c r="G147">
        <v>-750</v>
      </c>
      <c r="H147">
        <v>5.647642</v>
      </c>
      <c r="I147">
        <v>5.74282</v>
      </c>
      <c r="J147">
        <v>-0.095178</v>
      </c>
      <c r="K147" s="4">
        <f t="shared" si="6"/>
        <v>-0.0165733907731742</v>
      </c>
      <c r="L147" s="4">
        <f t="shared" si="7"/>
        <v>-0.0179323920415126</v>
      </c>
      <c r="M147" s="18">
        <f t="shared" si="8"/>
        <v>-0.103125</v>
      </c>
    </row>
    <row r="148" spans="1:13">
      <c r="A148" t="s">
        <v>13</v>
      </c>
      <c r="B148" t="s">
        <v>306</v>
      </c>
      <c r="C148" t="s">
        <v>307</v>
      </c>
      <c r="D148">
        <v>92858.2803</v>
      </c>
      <c r="E148">
        <v>93158.2803</v>
      </c>
      <c r="F148">
        <v>1.3966</v>
      </c>
      <c r="G148">
        <v>-300</v>
      </c>
      <c r="H148">
        <v>12.968587</v>
      </c>
      <c r="I148">
        <v>12.846527</v>
      </c>
      <c r="J148">
        <v>0.12206</v>
      </c>
      <c r="K148" s="4">
        <f t="shared" si="6"/>
        <v>0.00950140065093079</v>
      </c>
      <c r="L148" s="4">
        <f t="shared" si="7"/>
        <v>-0.00322032565472336</v>
      </c>
      <c r="M148" s="18">
        <f t="shared" si="8"/>
        <v>-0.041898</v>
      </c>
    </row>
    <row r="149" spans="1:13">
      <c r="A149" t="s">
        <v>13</v>
      </c>
      <c r="B149" t="s">
        <v>308</v>
      </c>
      <c r="C149" t="s">
        <v>309</v>
      </c>
      <c r="D149">
        <v>1104.825</v>
      </c>
      <c r="E149">
        <v>1104.825</v>
      </c>
      <c r="F149">
        <v>1.6626</v>
      </c>
      <c r="G149">
        <v>0</v>
      </c>
      <c r="H149">
        <v>0.183688</v>
      </c>
      <c r="I149">
        <v>0.181346</v>
      </c>
      <c r="J149">
        <v>0.002342</v>
      </c>
      <c r="K149" s="4">
        <f t="shared" si="6"/>
        <v>0.0129145390579335</v>
      </c>
      <c r="L149" s="4">
        <f t="shared" si="7"/>
        <v>0</v>
      </c>
      <c r="M149" s="18">
        <f t="shared" si="8"/>
        <v>0</v>
      </c>
    </row>
    <row r="150" spans="1:13">
      <c r="A150" t="s">
        <v>13</v>
      </c>
      <c r="B150" t="s">
        <v>310</v>
      </c>
      <c r="C150" t="s">
        <v>311</v>
      </c>
      <c r="D150">
        <v>507115.7596</v>
      </c>
      <c r="E150">
        <v>507115.7596</v>
      </c>
      <c r="F150">
        <v>0.9884</v>
      </c>
      <c r="G150">
        <v>0</v>
      </c>
      <c r="H150">
        <v>50.123322</v>
      </c>
      <c r="I150">
        <v>51.031059</v>
      </c>
      <c r="J150">
        <v>-0.907737</v>
      </c>
      <c r="K150" s="4">
        <f t="shared" si="6"/>
        <v>-0.0177879318553824</v>
      </c>
      <c r="L150" s="4">
        <f t="shared" si="7"/>
        <v>0</v>
      </c>
      <c r="M150" s="18">
        <f t="shared" si="8"/>
        <v>0</v>
      </c>
    </row>
    <row r="151" spans="1:13">
      <c r="A151" t="s">
        <v>13</v>
      </c>
      <c r="B151" t="s">
        <v>312</v>
      </c>
      <c r="C151" t="s">
        <v>313</v>
      </c>
      <c r="D151">
        <v>234961.639</v>
      </c>
      <c r="E151">
        <v>238161.639</v>
      </c>
      <c r="F151">
        <v>1.665</v>
      </c>
      <c r="G151">
        <v>-3200</v>
      </c>
      <c r="H151">
        <v>39.121113</v>
      </c>
      <c r="I151">
        <v>39.22284</v>
      </c>
      <c r="J151">
        <v>-0.101727</v>
      </c>
      <c r="K151" s="4">
        <f t="shared" si="6"/>
        <v>-0.00259356538180305</v>
      </c>
      <c r="L151" s="4">
        <f t="shared" si="7"/>
        <v>-0.0134362528467483</v>
      </c>
      <c r="M151" s="18">
        <f t="shared" si="8"/>
        <v>-0.5328</v>
      </c>
    </row>
    <row r="152" spans="1:13">
      <c r="A152" t="s">
        <v>13</v>
      </c>
      <c r="B152" t="s">
        <v>314</v>
      </c>
      <c r="C152" t="s">
        <v>315</v>
      </c>
      <c r="D152">
        <v>838.8018</v>
      </c>
      <c r="E152">
        <v>838.8018</v>
      </c>
      <c r="F152">
        <v>1.5399</v>
      </c>
      <c r="G152">
        <v>0</v>
      </c>
      <c r="H152">
        <v>0.129167</v>
      </c>
      <c r="I152">
        <v>0.12764</v>
      </c>
      <c r="J152">
        <v>0.001527</v>
      </c>
      <c r="K152" s="4">
        <f t="shared" si="6"/>
        <v>0.0119633343779379</v>
      </c>
      <c r="L152" s="4">
        <f t="shared" si="7"/>
        <v>0</v>
      </c>
      <c r="M152" s="18">
        <f t="shared" si="8"/>
        <v>0</v>
      </c>
    </row>
    <row r="153" spans="1:13">
      <c r="A153" t="s">
        <v>13</v>
      </c>
      <c r="B153" t="s">
        <v>316</v>
      </c>
      <c r="C153" t="s">
        <v>317</v>
      </c>
      <c r="D153">
        <v>49356.9526</v>
      </c>
      <c r="E153">
        <v>49356.9526</v>
      </c>
      <c r="F153">
        <v>0.5761</v>
      </c>
      <c r="G153">
        <v>0</v>
      </c>
      <c r="H153">
        <v>2.843454</v>
      </c>
      <c r="I153">
        <v>2.88985</v>
      </c>
      <c r="J153">
        <v>-0.046396</v>
      </c>
      <c r="K153" s="4">
        <f t="shared" si="6"/>
        <v>-0.0160548125335225</v>
      </c>
      <c r="L153" s="4">
        <f t="shared" si="7"/>
        <v>0</v>
      </c>
      <c r="M153" s="18">
        <f t="shared" si="8"/>
        <v>0</v>
      </c>
    </row>
    <row r="154" spans="1:13">
      <c r="A154" t="s">
        <v>13</v>
      </c>
      <c r="B154" t="s">
        <v>318</v>
      </c>
      <c r="C154" t="s">
        <v>319</v>
      </c>
      <c r="D154">
        <v>153301.3233</v>
      </c>
      <c r="E154">
        <v>157101.3233</v>
      </c>
      <c r="F154">
        <v>1.1327</v>
      </c>
      <c r="G154">
        <v>-3800</v>
      </c>
      <c r="H154">
        <v>17.364441</v>
      </c>
      <c r="I154">
        <v>17.859278</v>
      </c>
      <c r="J154">
        <v>-0.494837</v>
      </c>
      <c r="K154" s="4">
        <f t="shared" si="6"/>
        <v>-0.027707559062578</v>
      </c>
      <c r="L154" s="4">
        <f t="shared" si="7"/>
        <v>-0.024188211277785</v>
      </c>
      <c r="M154" s="18">
        <f t="shared" si="8"/>
        <v>-0.430426</v>
      </c>
    </row>
    <row r="155" spans="1:13">
      <c r="A155" t="s">
        <v>13</v>
      </c>
      <c r="B155" t="s">
        <v>320</v>
      </c>
      <c r="C155" t="s">
        <v>321</v>
      </c>
      <c r="D155">
        <v>148437.0402</v>
      </c>
      <c r="E155">
        <v>148237.0402</v>
      </c>
      <c r="F155">
        <v>1.2142</v>
      </c>
      <c r="G155">
        <v>200</v>
      </c>
      <c r="H155">
        <v>18.023225</v>
      </c>
      <c r="I155">
        <v>18.062683</v>
      </c>
      <c r="J155">
        <v>-0.039458</v>
      </c>
      <c r="K155" s="4">
        <f t="shared" si="6"/>
        <v>-0.0021845038192831</v>
      </c>
      <c r="L155" s="4">
        <f t="shared" si="7"/>
        <v>0.00134919045692063</v>
      </c>
      <c r="M155" s="18">
        <f t="shared" si="8"/>
        <v>0.024284</v>
      </c>
    </row>
    <row r="156" spans="1:13">
      <c r="A156" t="s">
        <v>13</v>
      </c>
      <c r="B156" t="s">
        <v>322</v>
      </c>
      <c r="C156" t="s">
        <v>323</v>
      </c>
      <c r="D156">
        <v>21084.4755</v>
      </c>
      <c r="E156">
        <v>21184.4755</v>
      </c>
      <c r="F156">
        <v>1.1033</v>
      </c>
      <c r="G156">
        <v>-100</v>
      </c>
      <c r="H156">
        <v>2.32625</v>
      </c>
      <c r="I156">
        <v>2.345969</v>
      </c>
      <c r="J156">
        <v>-0.019719</v>
      </c>
      <c r="K156" s="4">
        <f t="shared" si="6"/>
        <v>-0.00840548191387013</v>
      </c>
      <c r="L156" s="4">
        <f t="shared" si="7"/>
        <v>-0.00472043785082147</v>
      </c>
      <c r="M156" s="18">
        <f t="shared" si="8"/>
        <v>-0.011033</v>
      </c>
    </row>
    <row r="157" spans="1:13">
      <c r="A157" t="s">
        <v>13</v>
      </c>
      <c r="B157" t="s">
        <v>324</v>
      </c>
      <c r="C157" t="s">
        <v>325</v>
      </c>
      <c r="D157">
        <v>30074.4804</v>
      </c>
      <c r="E157">
        <v>30974.4804</v>
      </c>
      <c r="F157">
        <v>1.1954</v>
      </c>
      <c r="G157">
        <v>-900</v>
      </c>
      <c r="H157">
        <v>3.595103</v>
      </c>
      <c r="I157">
        <v>3.716938</v>
      </c>
      <c r="J157">
        <v>-0.121835</v>
      </c>
      <c r="K157" s="4">
        <f t="shared" si="6"/>
        <v>-0.032778324524111</v>
      </c>
      <c r="L157" s="4">
        <f t="shared" si="7"/>
        <v>-0.02905617748474</v>
      </c>
      <c r="M157" s="18">
        <f t="shared" si="8"/>
        <v>-0.107586</v>
      </c>
    </row>
    <row r="158" spans="1:13">
      <c r="A158" t="s">
        <v>13</v>
      </c>
      <c r="B158" t="s">
        <v>326</v>
      </c>
      <c r="C158" t="s">
        <v>327</v>
      </c>
      <c r="D158">
        <v>8109.484</v>
      </c>
      <c r="E158">
        <v>7809.484</v>
      </c>
      <c r="F158">
        <v>1.3348</v>
      </c>
      <c r="G158">
        <v>300</v>
      </c>
      <c r="H158">
        <v>1.082454</v>
      </c>
      <c r="I158">
        <v>1.034288</v>
      </c>
      <c r="J158">
        <v>0.048166</v>
      </c>
      <c r="K158" s="4">
        <f t="shared" si="6"/>
        <v>0.0465692341011401</v>
      </c>
      <c r="L158" s="4">
        <f t="shared" si="7"/>
        <v>0.0384148299682796</v>
      </c>
      <c r="M158" s="18">
        <f t="shared" si="8"/>
        <v>0.040044</v>
      </c>
    </row>
    <row r="159" spans="1:13">
      <c r="A159" t="s">
        <v>13</v>
      </c>
      <c r="B159" t="s">
        <v>328</v>
      </c>
      <c r="C159" t="s">
        <v>329</v>
      </c>
      <c r="D159">
        <v>451991.1199</v>
      </c>
      <c r="E159">
        <v>460391.1199</v>
      </c>
      <c r="F159">
        <v>1.1424</v>
      </c>
      <c r="G159">
        <v>-8400</v>
      </c>
      <c r="H159">
        <v>51.635466</v>
      </c>
      <c r="I159">
        <v>52.383302</v>
      </c>
      <c r="J159">
        <v>-0.747836</v>
      </c>
      <c r="K159" s="4">
        <f t="shared" si="6"/>
        <v>-0.0142762287112027</v>
      </c>
      <c r="L159" s="4">
        <f t="shared" si="7"/>
        <v>-0.0182453562567074</v>
      </c>
      <c r="M159" s="18">
        <f t="shared" si="8"/>
        <v>-0.959616</v>
      </c>
    </row>
    <row r="160" spans="1:13">
      <c r="A160" t="s">
        <v>13</v>
      </c>
      <c r="B160" t="s">
        <v>330</v>
      </c>
      <c r="C160" t="s">
        <v>331</v>
      </c>
      <c r="D160">
        <v>12021.2692</v>
      </c>
      <c r="E160">
        <v>12021.2692</v>
      </c>
      <c r="F160">
        <v>1.0009</v>
      </c>
      <c r="G160">
        <v>0</v>
      </c>
      <c r="H160">
        <v>1.203209</v>
      </c>
      <c r="I160">
        <v>1.210782</v>
      </c>
      <c r="J160">
        <v>-0.007573</v>
      </c>
      <c r="K160" s="4">
        <f t="shared" si="6"/>
        <v>-0.00625463543395921</v>
      </c>
      <c r="L160" s="4">
        <f t="shared" si="7"/>
        <v>0</v>
      </c>
      <c r="M160" s="18">
        <f t="shared" si="8"/>
        <v>0</v>
      </c>
    </row>
    <row r="161" spans="1:13">
      <c r="A161" t="s">
        <v>13</v>
      </c>
      <c r="B161" t="s">
        <v>332</v>
      </c>
      <c r="C161" t="s">
        <v>333</v>
      </c>
      <c r="D161">
        <v>14255.6022</v>
      </c>
      <c r="E161">
        <v>14255.6022</v>
      </c>
      <c r="F161">
        <v>1.1637</v>
      </c>
      <c r="G161">
        <v>0</v>
      </c>
      <c r="H161">
        <v>1.658924</v>
      </c>
      <c r="I161">
        <v>1.660778</v>
      </c>
      <c r="J161">
        <v>-0.001854</v>
      </c>
      <c r="K161" s="4">
        <f t="shared" si="6"/>
        <v>-0.00111634426756616</v>
      </c>
      <c r="L161" s="4">
        <f t="shared" si="7"/>
        <v>0</v>
      </c>
      <c r="M161" s="18">
        <f t="shared" si="8"/>
        <v>0</v>
      </c>
    </row>
    <row r="162" spans="1:13">
      <c r="A162" t="s">
        <v>13</v>
      </c>
      <c r="B162" t="s">
        <v>334</v>
      </c>
      <c r="C162" t="s">
        <v>335</v>
      </c>
      <c r="D162">
        <v>32930.4228</v>
      </c>
      <c r="E162">
        <v>33130.4228</v>
      </c>
      <c r="F162">
        <v>1.1049</v>
      </c>
      <c r="G162">
        <v>-200</v>
      </c>
      <c r="H162">
        <v>3.638482</v>
      </c>
      <c r="I162">
        <v>3.656605</v>
      </c>
      <c r="J162">
        <v>-0.018123</v>
      </c>
      <c r="K162" s="4">
        <f t="shared" si="6"/>
        <v>-0.00495623672778438</v>
      </c>
      <c r="L162" s="4">
        <f t="shared" si="7"/>
        <v>-0.00603674759019375</v>
      </c>
      <c r="M162" s="18">
        <f t="shared" si="8"/>
        <v>-0.022098</v>
      </c>
    </row>
    <row r="163" spans="1:13">
      <c r="A163" t="s">
        <v>13</v>
      </c>
      <c r="B163" t="s">
        <v>336</v>
      </c>
      <c r="C163" t="s">
        <v>337</v>
      </c>
      <c r="D163">
        <v>33309.186</v>
      </c>
      <c r="E163">
        <v>33009.186</v>
      </c>
      <c r="F163">
        <v>0.5764</v>
      </c>
      <c r="G163">
        <v>300</v>
      </c>
      <c r="H163">
        <v>1.919941</v>
      </c>
      <c r="I163">
        <v>1.900669</v>
      </c>
      <c r="J163">
        <v>0.019272</v>
      </c>
      <c r="K163" s="4">
        <f t="shared" si="6"/>
        <v>0.010139587692544</v>
      </c>
      <c r="L163" s="4">
        <f t="shared" si="7"/>
        <v>0.0090883792166217</v>
      </c>
      <c r="M163" s="18">
        <f t="shared" si="8"/>
        <v>0.017292</v>
      </c>
    </row>
    <row r="164" spans="1:13">
      <c r="A164" t="s">
        <v>13</v>
      </c>
      <c r="B164" t="s">
        <v>338</v>
      </c>
      <c r="C164" t="s">
        <v>339</v>
      </c>
      <c r="D164">
        <v>277294.8566</v>
      </c>
      <c r="E164">
        <v>283494.8566</v>
      </c>
      <c r="F164">
        <v>1.1778</v>
      </c>
      <c r="G164">
        <v>-6200</v>
      </c>
      <c r="H164">
        <v>32.659788</v>
      </c>
      <c r="I164">
        <v>33.571461</v>
      </c>
      <c r="J164">
        <v>-0.911673</v>
      </c>
      <c r="K164" s="4">
        <f t="shared" si="6"/>
        <v>-0.0271561907895519</v>
      </c>
      <c r="L164" s="4">
        <f t="shared" si="7"/>
        <v>-0.0218698853106459</v>
      </c>
      <c r="M164" s="18">
        <f t="shared" si="8"/>
        <v>-0.730236</v>
      </c>
    </row>
    <row r="165" spans="1:13">
      <c r="A165" t="s">
        <v>13</v>
      </c>
      <c r="B165" t="s">
        <v>340</v>
      </c>
      <c r="C165" t="s">
        <v>341</v>
      </c>
      <c r="D165">
        <v>46862.3418</v>
      </c>
      <c r="E165">
        <v>47962.3418</v>
      </c>
      <c r="F165">
        <v>1.1647</v>
      </c>
      <c r="G165">
        <v>-1100</v>
      </c>
      <c r="H165">
        <v>5.458057</v>
      </c>
      <c r="I165">
        <v>5.61687</v>
      </c>
      <c r="J165">
        <v>-0.158813</v>
      </c>
      <c r="K165" s="4">
        <f t="shared" si="6"/>
        <v>-0.028274287993135</v>
      </c>
      <c r="L165" s="4">
        <f t="shared" si="7"/>
        <v>-0.0229346599585761</v>
      </c>
      <c r="M165" s="18">
        <f t="shared" si="8"/>
        <v>-0.128117</v>
      </c>
    </row>
    <row r="166" spans="1:13">
      <c r="A166" t="s">
        <v>13</v>
      </c>
      <c r="B166" t="s">
        <v>342</v>
      </c>
      <c r="C166" t="s">
        <v>343</v>
      </c>
      <c r="D166">
        <v>248772.9545</v>
      </c>
      <c r="E166">
        <v>251472.9545</v>
      </c>
      <c r="F166">
        <v>1.2014</v>
      </c>
      <c r="G166">
        <v>-2700</v>
      </c>
      <c r="H166">
        <v>29.887583</v>
      </c>
      <c r="I166">
        <v>30.367874</v>
      </c>
      <c r="J166">
        <v>-0.480291</v>
      </c>
      <c r="K166" s="4">
        <f t="shared" si="6"/>
        <v>-0.0158157597729759</v>
      </c>
      <c r="L166" s="4">
        <f t="shared" si="7"/>
        <v>-0.010736741075669</v>
      </c>
      <c r="M166" s="18">
        <f t="shared" si="8"/>
        <v>-0.324378</v>
      </c>
    </row>
    <row r="167" spans="1:13">
      <c r="A167" t="s">
        <v>13</v>
      </c>
      <c r="B167" t="s">
        <v>344</v>
      </c>
      <c r="C167" t="s">
        <v>345</v>
      </c>
      <c r="D167">
        <v>5472.2161</v>
      </c>
      <c r="E167">
        <v>5472.2161</v>
      </c>
      <c r="F167">
        <v>1.1639</v>
      </c>
      <c r="G167">
        <v>0</v>
      </c>
      <c r="H167">
        <v>0.636911</v>
      </c>
      <c r="I167">
        <v>0.640359</v>
      </c>
      <c r="J167">
        <v>-0.003448</v>
      </c>
      <c r="K167" s="4">
        <f t="shared" si="6"/>
        <v>-0.00538447964345</v>
      </c>
      <c r="L167" s="4">
        <f t="shared" si="7"/>
        <v>0</v>
      </c>
      <c r="M167" s="18">
        <f t="shared" si="8"/>
        <v>0</v>
      </c>
    </row>
    <row r="168" spans="1:13">
      <c r="A168" t="s">
        <v>13</v>
      </c>
      <c r="B168" t="s">
        <v>346</v>
      </c>
      <c r="C168" t="s">
        <v>347</v>
      </c>
      <c r="D168">
        <v>2833.4226</v>
      </c>
      <c r="E168">
        <v>2833.4226</v>
      </c>
      <c r="F168">
        <v>0.9504</v>
      </c>
      <c r="G168">
        <v>0</v>
      </c>
      <c r="H168">
        <v>0.269288</v>
      </c>
      <c r="I168">
        <v>0.272717</v>
      </c>
      <c r="J168">
        <v>-0.003429</v>
      </c>
      <c r="K168" s="4">
        <f t="shared" si="6"/>
        <v>-0.012573473600839</v>
      </c>
      <c r="L168" s="4">
        <f t="shared" si="7"/>
        <v>0</v>
      </c>
      <c r="M168" s="18">
        <f t="shared" si="8"/>
        <v>0</v>
      </c>
    </row>
    <row r="169" spans="1:13">
      <c r="A169" t="s">
        <v>13</v>
      </c>
      <c r="B169" t="s">
        <v>348</v>
      </c>
      <c r="C169" t="s">
        <v>349</v>
      </c>
      <c r="D169">
        <v>3701.6186</v>
      </c>
      <c r="E169">
        <v>3701.6186</v>
      </c>
      <c r="F169">
        <v>1.3855</v>
      </c>
      <c r="G169">
        <v>0</v>
      </c>
      <c r="H169">
        <v>0.512859</v>
      </c>
      <c r="I169">
        <v>0.505789</v>
      </c>
      <c r="J169">
        <v>0.00707</v>
      </c>
      <c r="K169" s="4">
        <f t="shared" si="6"/>
        <v>0.0139781608536366</v>
      </c>
      <c r="L169" s="4">
        <f t="shared" si="7"/>
        <v>0</v>
      </c>
      <c r="M169" s="18">
        <f t="shared" si="8"/>
        <v>0</v>
      </c>
    </row>
    <row r="170" spans="1:13">
      <c r="A170" t="s">
        <v>13</v>
      </c>
      <c r="B170" t="s">
        <v>350</v>
      </c>
      <c r="C170" t="s">
        <v>351</v>
      </c>
      <c r="D170">
        <v>8328.0753</v>
      </c>
      <c r="E170">
        <v>8328.0753</v>
      </c>
      <c r="F170">
        <v>0.847</v>
      </c>
      <c r="G170">
        <v>0</v>
      </c>
      <c r="H170">
        <v>0.705388</v>
      </c>
      <c r="I170">
        <v>0.718047</v>
      </c>
      <c r="J170">
        <v>-0.012659</v>
      </c>
      <c r="K170" s="4">
        <f t="shared" si="6"/>
        <v>-0.017629765182502</v>
      </c>
      <c r="L170" s="4">
        <f t="shared" si="7"/>
        <v>0</v>
      </c>
      <c r="M170" s="18">
        <f t="shared" si="8"/>
        <v>0</v>
      </c>
    </row>
    <row r="171" spans="1:13">
      <c r="A171" t="s">
        <v>13</v>
      </c>
      <c r="B171" t="s">
        <v>352</v>
      </c>
      <c r="C171" t="s">
        <v>353</v>
      </c>
      <c r="D171">
        <v>1461.9776</v>
      </c>
      <c r="E171">
        <v>1461.9776</v>
      </c>
      <c r="F171">
        <v>1.3822</v>
      </c>
      <c r="G171">
        <v>0</v>
      </c>
      <c r="H171">
        <v>0.202075</v>
      </c>
      <c r="I171">
        <v>0.19956</v>
      </c>
      <c r="J171">
        <v>0.002515</v>
      </c>
      <c r="K171" s="4">
        <f t="shared" si="6"/>
        <v>0.0126027259971938</v>
      </c>
      <c r="L171" s="4">
        <f t="shared" si="7"/>
        <v>0</v>
      </c>
      <c r="M171" s="18">
        <f t="shared" si="8"/>
        <v>0</v>
      </c>
    </row>
    <row r="172" spans="1:13">
      <c r="A172" t="s">
        <v>13</v>
      </c>
      <c r="B172" t="s">
        <v>354</v>
      </c>
      <c r="C172" t="s">
        <v>355</v>
      </c>
      <c r="D172">
        <v>108207.4265</v>
      </c>
      <c r="E172">
        <v>108207.4265</v>
      </c>
      <c r="F172">
        <v>1.1703</v>
      </c>
      <c r="G172">
        <v>0</v>
      </c>
      <c r="H172">
        <v>12.663515</v>
      </c>
      <c r="I172">
        <v>12.61374</v>
      </c>
      <c r="J172">
        <v>0.049775</v>
      </c>
      <c r="K172" s="4">
        <f t="shared" si="6"/>
        <v>0.00394609370416704</v>
      </c>
      <c r="L172" s="4">
        <f t="shared" si="7"/>
        <v>0</v>
      </c>
      <c r="M172" s="18">
        <f t="shared" si="8"/>
        <v>0</v>
      </c>
    </row>
    <row r="173" spans="1:13">
      <c r="A173" t="s">
        <v>13</v>
      </c>
      <c r="B173" t="s">
        <v>356</v>
      </c>
      <c r="C173" t="s">
        <v>357</v>
      </c>
      <c r="D173">
        <v>54727.8583</v>
      </c>
      <c r="E173">
        <v>53027.8583</v>
      </c>
      <c r="F173">
        <v>2.5024</v>
      </c>
      <c r="G173">
        <v>1700</v>
      </c>
      <c r="H173">
        <v>13.695099</v>
      </c>
      <c r="I173">
        <v>13.060231</v>
      </c>
      <c r="J173">
        <v>0.634868</v>
      </c>
      <c r="K173" s="4">
        <f t="shared" si="6"/>
        <v>0.0486107787833155</v>
      </c>
      <c r="L173" s="4">
        <f t="shared" si="7"/>
        <v>0.0320586207797119</v>
      </c>
      <c r="M173" s="18">
        <f t="shared" si="8"/>
        <v>0.425408</v>
      </c>
    </row>
    <row r="174" spans="1:13">
      <c r="A174" t="s">
        <v>13</v>
      </c>
      <c r="B174" t="s">
        <v>358</v>
      </c>
      <c r="C174" t="s">
        <v>359</v>
      </c>
      <c r="D174">
        <v>12803.0224</v>
      </c>
      <c r="E174">
        <v>13503.0224</v>
      </c>
      <c r="F174">
        <v>1.5048</v>
      </c>
      <c r="G174">
        <v>-700</v>
      </c>
      <c r="H174">
        <v>1.926599</v>
      </c>
      <c r="I174">
        <v>2.000203</v>
      </c>
      <c r="J174">
        <v>-0.073604</v>
      </c>
      <c r="K174" s="4">
        <f t="shared" si="6"/>
        <v>-0.0367982649761049</v>
      </c>
      <c r="L174" s="4">
        <f t="shared" si="7"/>
        <v>-0.0518402457808261</v>
      </c>
      <c r="M174" s="18">
        <f t="shared" si="8"/>
        <v>-0.105336</v>
      </c>
    </row>
    <row r="175" spans="1:13">
      <c r="A175" t="s">
        <v>13</v>
      </c>
      <c r="B175" t="s">
        <v>360</v>
      </c>
      <c r="C175" t="s">
        <v>361</v>
      </c>
      <c r="D175">
        <v>7911.3296</v>
      </c>
      <c r="E175">
        <v>7911.3296</v>
      </c>
      <c r="F175">
        <v>0.8021</v>
      </c>
      <c r="G175">
        <v>0</v>
      </c>
      <c r="H175">
        <v>0.634568</v>
      </c>
      <c r="I175">
        <v>0.647147</v>
      </c>
      <c r="J175">
        <v>-0.012579</v>
      </c>
      <c r="K175" s="4">
        <f t="shared" si="6"/>
        <v>-0.0194376239092509</v>
      </c>
      <c r="L175" s="4">
        <f t="shared" si="7"/>
        <v>0</v>
      </c>
      <c r="M175" s="18">
        <f t="shared" si="8"/>
        <v>0</v>
      </c>
    </row>
    <row r="176" spans="1:13">
      <c r="A176" t="s">
        <v>13</v>
      </c>
      <c r="B176" t="s">
        <v>362</v>
      </c>
      <c r="C176" t="s">
        <v>363</v>
      </c>
      <c r="D176">
        <v>298165.5606</v>
      </c>
      <c r="E176">
        <v>301565.5606</v>
      </c>
      <c r="F176">
        <v>1.3986</v>
      </c>
      <c r="G176">
        <v>-3400</v>
      </c>
      <c r="H176">
        <v>41.701435</v>
      </c>
      <c r="I176">
        <v>41.510499</v>
      </c>
      <c r="J176">
        <v>0.190936</v>
      </c>
      <c r="K176" s="4">
        <f t="shared" si="6"/>
        <v>0.00459970380023618</v>
      </c>
      <c r="L176" s="4">
        <f t="shared" si="7"/>
        <v>-0.0112744969725167</v>
      </c>
      <c r="M176" s="18">
        <f t="shared" si="8"/>
        <v>-0.475524</v>
      </c>
    </row>
    <row r="177" spans="1:13">
      <c r="A177" t="s">
        <v>13</v>
      </c>
      <c r="B177" t="s">
        <v>364</v>
      </c>
      <c r="C177" t="s">
        <v>365</v>
      </c>
      <c r="D177">
        <v>17398.4966</v>
      </c>
      <c r="E177">
        <v>17798.4966</v>
      </c>
      <c r="F177">
        <v>1.2509</v>
      </c>
      <c r="G177">
        <v>-400</v>
      </c>
      <c r="H177">
        <v>2.176378</v>
      </c>
      <c r="I177">
        <v>2.192597</v>
      </c>
      <c r="J177">
        <v>-0.016219</v>
      </c>
      <c r="K177" s="4">
        <f t="shared" si="6"/>
        <v>-0.00739716418475443</v>
      </c>
      <c r="L177" s="4">
        <f t="shared" si="7"/>
        <v>-0.0224738082653565</v>
      </c>
      <c r="M177" s="18">
        <f t="shared" si="8"/>
        <v>-0.050036</v>
      </c>
    </row>
    <row r="178" spans="1:13">
      <c r="A178" t="s">
        <v>13</v>
      </c>
      <c r="B178" t="s">
        <v>366</v>
      </c>
      <c r="C178" t="s">
        <v>367</v>
      </c>
      <c r="D178">
        <v>10509.5652</v>
      </c>
      <c r="E178">
        <v>11009.5652</v>
      </c>
      <c r="F178">
        <v>1.9817</v>
      </c>
      <c r="G178">
        <v>-500</v>
      </c>
      <c r="H178">
        <v>2.082681</v>
      </c>
      <c r="I178">
        <v>2.127378</v>
      </c>
      <c r="J178">
        <v>-0.044697</v>
      </c>
      <c r="K178" s="4">
        <f t="shared" si="6"/>
        <v>-0.0210103705124336</v>
      </c>
      <c r="L178" s="4">
        <f t="shared" si="7"/>
        <v>-0.0454150541748915</v>
      </c>
      <c r="M178" s="18">
        <f t="shared" si="8"/>
        <v>-0.099085</v>
      </c>
    </row>
    <row r="179" spans="1:13">
      <c r="A179" t="s">
        <v>13</v>
      </c>
      <c r="B179" t="s">
        <v>368</v>
      </c>
      <c r="C179" t="s">
        <v>369</v>
      </c>
      <c r="D179">
        <v>9919.1923</v>
      </c>
      <c r="E179">
        <v>9919.1923</v>
      </c>
      <c r="F179">
        <v>1.4161</v>
      </c>
      <c r="G179">
        <v>0</v>
      </c>
      <c r="H179">
        <v>1.404657</v>
      </c>
      <c r="I179">
        <v>1.385116</v>
      </c>
      <c r="J179">
        <v>0.019541</v>
      </c>
      <c r="K179" s="4">
        <f t="shared" si="6"/>
        <v>0.0141078436751868</v>
      </c>
      <c r="L179" s="4">
        <f t="shared" si="7"/>
        <v>0</v>
      </c>
      <c r="M179" s="18">
        <f t="shared" si="8"/>
        <v>0</v>
      </c>
    </row>
    <row r="180" spans="1:13">
      <c r="A180" t="s">
        <v>13</v>
      </c>
      <c r="B180" t="s">
        <v>370</v>
      </c>
      <c r="C180" t="s">
        <v>371</v>
      </c>
      <c r="D180">
        <v>24978.7744</v>
      </c>
      <c r="E180">
        <v>24978.7744</v>
      </c>
      <c r="F180">
        <v>0.7406</v>
      </c>
      <c r="G180">
        <v>0</v>
      </c>
      <c r="H180">
        <v>1.849928</v>
      </c>
      <c r="I180">
        <v>1.851926</v>
      </c>
      <c r="J180">
        <v>-0.001998</v>
      </c>
      <c r="K180" s="4">
        <f t="shared" si="6"/>
        <v>-0.00107887680177286</v>
      </c>
      <c r="L180" s="4">
        <f t="shared" si="7"/>
        <v>0</v>
      </c>
      <c r="M180" s="18">
        <f t="shared" si="8"/>
        <v>0</v>
      </c>
    </row>
    <row r="181" spans="1:13">
      <c r="A181" t="s">
        <v>13</v>
      </c>
      <c r="B181" t="s">
        <v>372</v>
      </c>
      <c r="C181" t="s">
        <v>373</v>
      </c>
      <c r="D181">
        <v>63680.4979</v>
      </c>
      <c r="E181">
        <v>63920.4979</v>
      </c>
      <c r="F181">
        <v>0.9356</v>
      </c>
      <c r="G181">
        <v>-240</v>
      </c>
      <c r="H181">
        <v>5.957947</v>
      </c>
      <c r="I181">
        <v>6.035373</v>
      </c>
      <c r="J181">
        <v>-0.077426</v>
      </c>
      <c r="K181" s="4">
        <f t="shared" si="6"/>
        <v>-0.0128287017223293</v>
      </c>
      <c r="L181" s="4">
        <f t="shared" si="7"/>
        <v>-0.00375466412003652</v>
      </c>
      <c r="M181" s="18">
        <f t="shared" si="8"/>
        <v>-0.0224544</v>
      </c>
    </row>
    <row r="182" spans="1:13">
      <c r="A182" t="s">
        <v>13</v>
      </c>
      <c r="B182" t="s">
        <v>374</v>
      </c>
      <c r="C182" t="s">
        <v>375</v>
      </c>
      <c r="D182">
        <v>7633.8868</v>
      </c>
      <c r="E182">
        <v>7633.8868</v>
      </c>
      <c r="F182">
        <v>0.9912</v>
      </c>
      <c r="G182">
        <v>0</v>
      </c>
      <c r="H182">
        <v>0.756671</v>
      </c>
      <c r="I182">
        <v>0.755907</v>
      </c>
      <c r="J182">
        <v>0.000764</v>
      </c>
      <c r="K182" s="4">
        <f t="shared" si="6"/>
        <v>0.00101070634350522</v>
      </c>
      <c r="L182" s="4">
        <f t="shared" si="7"/>
        <v>0</v>
      </c>
      <c r="M182" s="18">
        <f t="shared" si="8"/>
        <v>0</v>
      </c>
    </row>
    <row r="183" spans="1:13">
      <c r="A183" t="s">
        <v>13</v>
      </c>
      <c r="B183" t="s">
        <v>376</v>
      </c>
      <c r="C183" t="s">
        <v>377</v>
      </c>
      <c r="D183">
        <v>44518.3766</v>
      </c>
      <c r="E183">
        <v>45018.3766</v>
      </c>
      <c r="F183">
        <v>0.866</v>
      </c>
      <c r="G183">
        <v>-500</v>
      </c>
      <c r="H183">
        <v>3.855291</v>
      </c>
      <c r="I183">
        <v>3.892289</v>
      </c>
      <c r="J183">
        <v>-0.036998</v>
      </c>
      <c r="K183" s="4">
        <f t="shared" si="6"/>
        <v>-0.00950546066851665</v>
      </c>
      <c r="L183" s="4">
        <f t="shared" si="7"/>
        <v>-0.0111065755312021</v>
      </c>
      <c r="M183" s="18">
        <f t="shared" si="8"/>
        <v>-0.0433</v>
      </c>
    </row>
    <row r="184" spans="1:13">
      <c r="A184" t="s">
        <v>13</v>
      </c>
      <c r="B184" t="s">
        <v>378</v>
      </c>
      <c r="C184" t="s">
        <v>379</v>
      </c>
      <c r="D184">
        <v>15041.6949</v>
      </c>
      <c r="E184">
        <v>14941.6949</v>
      </c>
      <c r="F184">
        <v>0.9977</v>
      </c>
      <c r="G184">
        <v>100</v>
      </c>
      <c r="H184">
        <v>1.50071</v>
      </c>
      <c r="I184">
        <v>1.489239</v>
      </c>
      <c r="J184">
        <v>0.011471</v>
      </c>
      <c r="K184" s="4">
        <f t="shared" si="6"/>
        <v>0.00770259172637837</v>
      </c>
      <c r="L184" s="4">
        <f t="shared" si="7"/>
        <v>0.00669268116296499</v>
      </c>
      <c r="M184" s="18">
        <f t="shared" si="8"/>
        <v>0.009977</v>
      </c>
    </row>
    <row r="185" spans="1:13">
      <c r="A185" t="s">
        <v>13</v>
      </c>
      <c r="B185" t="s">
        <v>380</v>
      </c>
      <c r="C185" t="s">
        <v>381</v>
      </c>
      <c r="D185">
        <v>122976.5664</v>
      </c>
      <c r="E185">
        <v>122826.5664</v>
      </c>
      <c r="F185">
        <v>1.282</v>
      </c>
      <c r="G185">
        <v>150</v>
      </c>
      <c r="H185">
        <v>15.765596</v>
      </c>
      <c r="I185">
        <v>15.723029</v>
      </c>
      <c r="J185">
        <v>0.042567</v>
      </c>
      <c r="K185" s="4">
        <f t="shared" si="6"/>
        <v>0.00270730277225845</v>
      </c>
      <c r="L185" s="4">
        <f t="shared" si="7"/>
        <v>0.00122123417104657</v>
      </c>
      <c r="M185" s="18">
        <f t="shared" si="8"/>
        <v>0.01923</v>
      </c>
    </row>
    <row r="186" spans="1:13">
      <c r="A186" t="s">
        <v>13</v>
      </c>
      <c r="B186" t="s">
        <v>382</v>
      </c>
      <c r="C186" t="s">
        <v>383</v>
      </c>
      <c r="D186">
        <v>299969.6403</v>
      </c>
      <c r="E186">
        <v>282969.6403</v>
      </c>
      <c r="F186">
        <v>1.7311</v>
      </c>
      <c r="G186">
        <v>17000</v>
      </c>
      <c r="H186">
        <v>51.927744</v>
      </c>
      <c r="I186">
        <v>47.646428</v>
      </c>
      <c r="J186">
        <v>4.281316</v>
      </c>
      <c r="K186" s="4">
        <f t="shared" si="6"/>
        <v>0.0898559698955817</v>
      </c>
      <c r="L186" s="4">
        <f t="shared" si="7"/>
        <v>0.0600771163364977</v>
      </c>
      <c r="M186" s="18">
        <f t="shared" si="8"/>
        <v>2.94287</v>
      </c>
    </row>
    <row r="187" spans="1:13">
      <c r="A187" t="s">
        <v>13</v>
      </c>
      <c r="B187" t="s">
        <v>384</v>
      </c>
      <c r="C187" t="s">
        <v>385</v>
      </c>
      <c r="D187">
        <v>102521.3576</v>
      </c>
      <c r="E187">
        <v>102571.3576</v>
      </c>
      <c r="F187">
        <v>0.8528</v>
      </c>
      <c r="G187">
        <v>-50</v>
      </c>
      <c r="H187">
        <v>8.743021</v>
      </c>
      <c r="I187">
        <v>8.758568</v>
      </c>
      <c r="J187">
        <v>-0.015547</v>
      </c>
      <c r="K187" s="4">
        <f t="shared" si="6"/>
        <v>-0.00177506185942725</v>
      </c>
      <c r="L187" s="4">
        <f t="shared" si="7"/>
        <v>-0.000487465518346615</v>
      </c>
      <c r="M187" s="18">
        <f t="shared" si="8"/>
        <v>-0.004264</v>
      </c>
    </row>
    <row r="188" spans="1:13">
      <c r="A188" t="s">
        <v>13</v>
      </c>
      <c r="B188" t="s">
        <v>386</v>
      </c>
      <c r="C188" t="s">
        <v>387</v>
      </c>
      <c r="D188">
        <v>5181.4904</v>
      </c>
      <c r="E188">
        <v>5181.4904</v>
      </c>
      <c r="F188">
        <v>1.7451</v>
      </c>
      <c r="G188">
        <v>0</v>
      </c>
      <c r="H188">
        <v>0.904222</v>
      </c>
      <c r="I188">
        <v>0.906605</v>
      </c>
      <c r="J188">
        <v>-0.002383</v>
      </c>
      <c r="K188" s="4">
        <f t="shared" si="6"/>
        <v>-0.0026284875993404</v>
      </c>
      <c r="L188" s="4">
        <f t="shared" si="7"/>
        <v>0</v>
      </c>
      <c r="M188" s="18">
        <f t="shared" si="8"/>
        <v>0</v>
      </c>
    </row>
    <row r="189" spans="1:13">
      <c r="A189" t="s">
        <v>13</v>
      </c>
      <c r="B189" t="s">
        <v>388</v>
      </c>
      <c r="C189" t="s">
        <v>389</v>
      </c>
      <c r="D189">
        <v>892572.0485</v>
      </c>
      <c r="E189">
        <v>892572.0485</v>
      </c>
      <c r="F189">
        <v>0.8925</v>
      </c>
      <c r="G189">
        <v>0</v>
      </c>
      <c r="H189">
        <v>79.662055</v>
      </c>
      <c r="I189">
        <v>78.956923</v>
      </c>
      <c r="J189">
        <v>0.705132</v>
      </c>
      <c r="K189" s="4">
        <f t="shared" si="6"/>
        <v>0.00893059117817952</v>
      </c>
      <c r="L189" s="4">
        <f t="shared" si="7"/>
        <v>0</v>
      </c>
      <c r="M189" s="18">
        <f t="shared" si="8"/>
        <v>0</v>
      </c>
    </row>
    <row r="190" spans="1:13">
      <c r="A190" t="s">
        <v>13</v>
      </c>
      <c r="B190" t="s">
        <v>390</v>
      </c>
      <c r="C190" t="s">
        <v>391</v>
      </c>
      <c r="D190">
        <v>541310.5126</v>
      </c>
      <c r="E190">
        <v>546010.5126</v>
      </c>
      <c r="F190">
        <v>1.1025</v>
      </c>
      <c r="G190">
        <v>-4700</v>
      </c>
      <c r="H190">
        <v>59.679484</v>
      </c>
      <c r="I190">
        <v>60.639928</v>
      </c>
      <c r="J190">
        <v>-0.960444</v>
      </c>
      <c r="K190" s="4">
        <f t="shared" si="6"/>
        <v>-0.0158384752699574</v>
      </c>
      <c r="L190" s="4">
        <f t="shared" si="7"/>
        <v>-0.00860789287301352</v>
      </c>
      <c r="M190" s="18">
        <f t="shared" si="8"/>
        <v>-0.518175</v>
      </c>
    </row>
    <row r="191" spans="1:13">
      <c r="A191" t="s">
        <v>13</v>
      </c>
      <c r="B191" t="s">
        <v>392</v>
      </c>
      <c r="C191" t="s">
        <v>393</v>
      </c>
      <c r="D191">
        <v>20995.0894</v>
      </c>
      <c r="E191">
        <v>20995.0894</v>
      </c>
      <c r="F191">
        <v>0.8244</v>
      </c>
      <c r="G191">
        <v>0</v>
      </c>
      <c r="H191">
        <v>1.730835</v>
      </c>
      <c r="I191">
        <v>1.764217</v>
      </c>
      <c r="J191">
        <v>-0.033382</v>
      </c>
      <c r="K191" s="4">
        <f t="shared" si="6"/>
        <v>-0.0189217086106754</v>
      </c>
      <c r="L191" s="4">
        <f t="shared" si="7"/>
        <v>0</v>
      </c>
      <c r="M191" s="18">
        <f t="shared" si="8"/>
        <v>0</v>
      </c>
    </row>
    <row r="192" spans="1:13">
      <c r="A192" t="s">
        <v>13</v>
      </c>
      <c r="B192" t="s">
        <v>394</v>
      </c>
      <c r="C192" t="s">
        <v>395</v>
      </c>
      <c r="D192">
        <v>40171.0088</v>
      </c>
      <c r="E192">
        <v>40171.0088</v>
      </c>
      <c r="F192">
        <v>0.9659</v>
      </c>
      <c r="G192">
        <v>0</v>
      </c>
      <c r="H192">
        <v>3.880118</v>
      </c>
      <c r="I192">
        <v>3.917477</v>
      </c>
      <c r="J192">
        <v>-0.037359</v>
      </c>
      <c r="K192" s="4">
        <f t="shared" si="6"/>
        <v>-0.00953649504515279</v>
      </c>
      <c r="L192" s="4">
        <f t="shared" si="7"/>
        <v>0</v>
      </c>
      <c r="M192" s="18">
        <f t="shared" si="8"/>
        <v>0</v>
      </c>
    </row>
    <row r="193" spans="1:13">
      <c r="A193" t="s">
        <v>13</v>
      </c>
      <c r="B193" t="s">
        <v>396</v>
      </c>
      <c r="C193" t="s">
        <v>397</v>
      </c>
      <c r="D193">
        <v>253250.6126</v>
      </c>
      <c r="E193">
        <v>254250.6126</v>
      </c>
      <c r="F193">
        <v>0.974</v>
      </c>
      <c r="G193">
        <v>-1000</v>
      </c>
      <c r="H193">
        <v>24.66661</v>
      </c>
      <c r="I193">
        <v>24.664852</v>
      </c>
      <c r="J193">
        <v>0.001758</v>
      </c>
      <c r="K193" s="4">
        <f t="shared" si="6"/>
        <v>7.12755138364503e-5</v>
      </c>
      <c r="L193" s="4">
        <f t="shared" si="7"/>
        <v>-0.00393312719986736</v>
      </c>
      <c r="M193" s="18">
        <f t="shared" si="8"/>
        <v>-0.0974</v>
      </c>
    </row>
    <row r="194" spans="1:13">
      <c r="A194" t="s">
        <v>13</v>
      </c>
      <c r="B194" t="s">
        <v>398</v>
      </c>
      <c r="C194" t="s">
        <v>399</v>
      </c>
      <c r="D194">
        <v>45605.5027</v>
      </c>
      <c r="E194">
        <v>45705.5027</v>
      </c>
      <c r="F194">
        <v>0.795</v>
      </c>
      <c r="G194">
        <v>-100</v>
      </c>
      <c r="H194">
        <v>3.625637</v>
      </c>
      <c r="I194">
        <v>3.705802</v>
      </c>
      <c r="J194">
        <v>-0.080165</v>
      </c>
      <c r="K194" s="4">
        <f t="shared" ref="K194:K257" si="9">IFERROR(J194/I194,"")</f>
        <v>-0.021632294439908</v>
      </c>
      <c r="L194" s="4">
        <f t="shared" ref="L194:L257" si="10">IFERROR((D194-E194)/E194,"")</f>
        <v>-0.00218792036172047</v>
      </c>
      <c r="M194" s="18">
        <f t="shared" ref="M194:M257" si="11">IFERROR(F194*G194/10000,"")</f>
        <v>-0.00795</v>
      </c>
    </row>
    <row r="195" spans="1:13">
      <c r="A195" t="s">
        <v>13</v>
      </c>
      <c r="B195" t="s">
        <v>400</v>
      </c>
      <c r="C195" t="s">
        <v>401</v>
      </c>
      <c r="D195">
        <v>205031.1712</v>
      </c>
      <c r="E195">
        <v>205031.1712</v>
      </c>
      <c r="F195">
        <v>0.8453</v>
      </c>
      <c r="G195">
        <v>0</v>
      </c>
      <c r="H195">
        <v>17.331285</v>
      </c>
      <c r="I195">
        <v>17.36204</v>
      </c>
      <c r="J195">
        <v>-0.030755</v>
      </c>
      <c r="K195" s="4">
        <f t="shared" si="9"/>
        <v>-0.00177139322337698</v>
      </c>
      <c r="L195" s="4">
        <f t="shared" si="10"/>
        <v>0</v>
      </c>
      <c r="M195" s="18">
        <f t="shared" si="11"/>
        <v>0</v>
      </c>
    </row>
    <row r="196" spans="1:13">
      <c r="A196" t="s">
        <v>13</v>
      </c>
      <c r="B196" t="s">
        <v>402</v>
      </c>
      <c r="C196" t="s">
        <v>403</v>
      </c>
      <c r="D196">
        <v>9476.3649</v>
      </c>
      <c r="E196">
        <v>9676.3649</v>
      </c>
      <c r="F196">
        <v>1.298</v>
      </c>
      <c r="G196">
        <v>-200</v>
      </c>
      <c r="H196">
        <v>1.230032</v>
      </c>
      <c r="I196">
        <v>1.245832</v>
      </c>
      <c r="J196">
        <v>-0.0158</v>
      </c>
      <c r="K196" s="4">
        <f t="shared" si="9"/>
        <v>-0.0126822878205087</v>
      </c>
      <c r="L196" s="4">
        <f t="shared" si="10"/>
        <v>-0.0206689187589443</v>
      </c>
      <c r="M196" s="18">
        <f t="shared" si="11"/>
        <v>-0.02596</v>
      </c>
    </row>
    <row r="197" spans="1:13">
      <c r="A197" t="s">
        <v>13</v>
      </c>
      <c r="B197" t="s">
        <v>404</v>
      </c>
      <c r="C197" t="s">
        <v>405</v>
      </c>
      <c r="D197">
        <v>25238.6731</v>
      </c>
      <c r="E197">
        <v>24738.6731</v>
      </c>
      <c r="F197">
        <v>0.9285</v>
      </c>
      <c r="G197">
        <v>500</v>
      </c>
      <c r="H197">
        <v>2.343411</v>
      </c>
      <c r="I197">
        <v>2.314055</v>
      </c>
      <c r="J197">
        <v>0.029356</v>
      </c>
      <c r="K197" s="4">
        <f t="shared" si="9"/>
        <v>0.01268595603821</v>
      </c>
      <c r="L197" s="4">
        <f t="shared" si="10"/>
        <v>0.0202112699407471</v>
      </c>
      <c r="M197" s="18">
        <f t="shared" si="11"/>
        <v>0.046425</v>
      </c>
    </row>
    <row r="198" spans="1:13">
      <c r="A198" t="s">
        <v>13</v>
      </c>
      <c r="B198" t="s">
        <v>406</v>
      </c>
      <c r="C198" t="s">
        <v>407</v>
      </c>
      <c r="D198">
        <v>206816.469</v>
      </c>
      <c r="E198">
        <v>209516.469</v>
      </c>
      <c r="F198">
        <v>0.958</v>
      </c>
      <c r="G198">
        <v>-2700</v>
      </c>
      <c r="H198">
        <v>19.813018</v>
      </c>
      <c r="I198">
        <v>20.235101</v>
      </c>
      <c r="J198">
        <v>-0.422083</v>
      </c>
      <c r="K198" s="4">
        <f t="shared" si="9"/>
        <v>-0.0208589519765678</v>
      </c>
      <c r="L198" s="4">
        <f t="shared" si="10"/>
        <v>-0.0128868151171448</v>
      </c>
      <c r="M198" s="18">
        <f t="shared" si="11"/>
        <v>-0.25866</v>
      </c>
    </row>
    <row r="199" spans="1:13">
      <c r="A199" t="s">
        <v>13</v>
      </c>
      <c r="B199" t="s">
        <v>408</v>
      </c>
      <c r="C199" t="s">
        <v>409</v>
      </c>
      <c r="D199">
        <v>75177.7501</v>
      </c>
      <c r="E199">
        <v>75777.7501</v>
      </c>
      <c r="F199">
        <v>1.4552</v>
      </c>
      <c r="G199">
        <v>-600</v>
      </c>
      <c r="H199">
        <v>10.939866</v>
      </c>
      <c r="I199">
        <v>10.955947</v>
      </c>
      <c r="J199">
        <v>-0.016081</v>
      </c>
      <c r="K199" s="4">
        <f t="shared" si="9"/>
        <v>-0.00146778731222413</v>
      </c>
      <c r="L199" s="4">
        <f t="shared" si="10"/>
        <v>-0.0079178914550539</v>
      </c>
      <c r="M199" s="18">
        <f t="shared" si="11"/>
        <v>-0.087312</v>
      </c>
    </row>
    <row r="200" spans="1:13">
      <c r="A200" t="s">
        <v>13</v>
      </c>
      <c r="B200" t="s">
        <v>410</v>
      </c>
      <c r="C200" t="s">
        <v>411</v>
      </c>
      <c r="D200">
        <v>24230.2909</v>
      </c>
      <c r="E200">
        <v>24230.2909</v>
      </c>
      <c r="F200">
        <v>0.7845</v>
      </c>
      <c r="G200">
        <v>0</v>
      </c>
      <c r="H200">
        <v>1.900866</v>
      </c>
      <c r="I200">
        <v>1.930427</v>
      </c>
      <c r="J200">
        <v>-0.029561</v>
      </c>
      <c r="K200" s="4">
        <f t="shared" si="9"/>
        <v>-0.0153131923662485</v>
      </c>
      <c r="L200" s="4">
        <f t="shared" si="10"/>
        <v>0</v>
      </c>
      <c r="M200" s="18">
        <f t="shared" si="11"/>
        <v>0</v>
      </c>
    </row>
    <row r="201" spans="1:13">
      <c r="A201" t="s">
        <v>13</v>
      </c>
      <c r="B201" t="s">
        <v>412</v>
      </c>
      <c r="C201" t="s">
        <v>413</v>
      </c>
      <c r="D201">
        <v>42069.6658</v>
      </c>
      <c r="E201">
        <v>42469.6658</v>
      </c>
      <c r="F201">
        <v>1.0651</v>
      </c>
      <c r="G201">
        <v>-400</v>
      </c>
      <c r="H201">
        <v>4.48084</v>
      </c>
      <c r="I201">
        <v>4.539583</v>
      </c>
      <c r="J201">
        <v>-0.058743</v>
      </c>
      <c r="K201" s="4">
        <f t="shared" si="9"/>
        <v>-0.0129401753420964</v>
      </c>
      <c r="L201" s="4">
        <f t="shared" si="10"/>
        <v>-0.00941848711227673</v>
      </c>
      <c r="M201" s="18">
        <f t="shared" si="11"/>
        <v>-0.042604</v>
      </c>
    </row>
    <row r="202" spans="1:13">
      <c r="A202" t="s">
        <v>13</v>
      </c>
      <c r="B202" t="s">
        <v>414</v>
      </c>
      <c r="C202" t="s">
        <v>415</v>
      </c>
      <c r="D202">
        <v>5655.7011</v>
      </c>
      <c r="E202">
        <v>5655.7011</v>
      </c>
      <c r="F202">
        <v>0.968</v>
      </c>
      <c r="G202">
        <v>0</v>
      </c>
      <c r="H202">
        <v>0.547472</v>
      </c>
      <c r="I202">
        <v>0.55539</v>
      </c>
      <c r="J202">
        <v>-0.007918</v>
      </c>
      <c r="K202" s="4">
        <f t="shared" si="9"/>
        <v>-0.0142566484812474</v>
      </c>
      <c r="L202" s="4">
        <f t="shared" si="10"/>
        <v>0</v>
      </c>
      <c r="M202" s="18">
        <f t="shared" si="11"/>
        <v>0</v>
      </c>
    </row>
    <row r="203" spans="1:13">
      <c r="A203" t="s">
        <v>13</v>
      </c>
      <c r="B203" t="s">
        <v>416</v>
      </c>
      <c r="C203" t="s">
        <v>417</v>
      </c>
      <c r="D203">
        <v>131054.5853</v>
      </c>
      <c r="E203">
        <v>133154.5853</v>
      </c>
      <c r="F203">
        <v>1.1266</v>
      </c>
      <c r="G203">
        <v>-2100</v>
      </c>
      <c r="H203">
        <v>14.76461</v>
      </c>
      <c r="I203">
        <v>15.122366</v>
      </c>
      <c r="J203">
        <v>-0.357756</v>
      </c>
      <c r="K203" s="4">
        <f t="shared" si="9"/>
        <v>-0.023657409164677</v>
      </c>
      <c r="L203" s="4">
        <f t="shared" si="10"/>
        <v>-0.0157711429559009</v>
      </c>
      <c r="M203" s="18">
        <f t="shared" si="11"/>
        <v>-0.236586</v>
      </c>
    </row>
    <row r="204" spans="1:13">
      <c r="A204" t="s">
        <v>13</v>
      </c>
      <c r="B204" t="s">
        <v>418</v>
      </c>
      <c r="C204" t="s">
        <v>419</v>
      </c>
      <c r="D204">
        <v>11738.7534</v>
      </c>
      <c r="E204">
        <v>11738.7534</v>
      </c>
      <c r="F204">
        <v>1.6834</v>
      </c>
      <c r="G204">
        <v>0</v>
      </c>
      <c r="H204">
        <v>1.976102</v>
      </c>
      <c r="I204">
        <v>1.944994</v>
      </c>
      <c r="J204">
        <v>0.031108</v>
      </c>
      <c r="K204" s="4">
        <f t="shared" si="9"/>
        <v>0.0159938796726365</v>
      </c>
      <c r="L204" s="4">
        <f t="shared" si="10"/>
        <v>0</v>
      </c>
      <c r="M204" s="18">
        <f t="shared" si="11"/>
        <v>0</v>
      </c>
    </row>
    <row r="205" spans="1:13">
      <c r="A205" t="s">
        <v>13</v>
      </c>
      <c r="B205" t="s">
        <v>420</v>
      </c>
      <c r="C205" t="s">
        <v>421</v>
      </c>
      <c r="D205">
        <v>10271.7171</v>
      </c>
      <c r="E205">
        <v>10271.7171</v>
      </c>
      <c r="F205">
        <v>0.6965</v>
      </c>
      <c r="G205">
        <v>0</v>
      </c>
      <c r="H205">
        <v>0.715425</v>
      </c>
      <c r="I205">
        <v>0.719431</v>
      </c>
      <c r="J205">
        <v>-0.004006</v>
      </c>
      <c r="K205" s="4">
        <f t="shared" si="9"/>
        <v>-0.0055682893842495</v>
      </c>
      <c r="L205" s="4">
        <f t="shared" si="10"/>
        <v>0</v>
      </c>
      <c r="M205" s="18">
        <f t="shared" si="11"/>
        <v>0</v>
      </c>
    </row>
    <row r="206" spans="1:13">
      <c r="A206" t="s">
        <v>13</v>
      </c>
      <c r="B206" t="s">
        <v>422</v>
      </c>
      <c r="C206" t="s">
        <v>423</v>
      </c>
      <c r="D206">
        <v>37023.3059</v>
      </c>
      <c r="E206">
        <v>37123.3059</v>
      </c>
      <c r="F206">
        <v>0.9486</v>
      </c>
      <c r="G206">
        <v>-100</v>
      </c>
      <c r="H206">
        <v>3.512031</v>
      </c>
      <c r="I206">
        <v>3.555299</v>
      </c>
      <c r="J206">
        <v>-0.043268</v>
      </c>
      <c r="K206" s="4">
        <f t="shared" si="9"/>
        <v>-0.0121700031417892</v>
      </c>
      <c r="L206" s="4">
        <f t="shared" si="10"/>
        <v>-0.00269372561456064</v>
      </c>
      <c r="M206" s="18">
        <f t="shared" si="11"/>
        <v>-0.009486</v>
      </c>
    </row>
    <row r="207" spans="1:13">
      <c r="A207" t="s">
        <v>13</v>
      </c>
      <c r="B207" t="s">
        <v>424</v>
      </c>
      <c r="C207" t="s">
        <v>425</v>
      </c>
      <c r="D207">
        <v>29043.7981</v>
      </c>
      <c r="E207">
        <v>29243.7981</v>
      </c>
      <c r="F207">
        <v>0.9777</v>
      </c>
      <c r="G207">
        <v>-200</v>
      </c>
      <c r="H207">
        <v>2.839612</v>
      </c>
      <c r="I207">
        <v>2.860043</v>
      </c>
      <c r="J207">
        <v>-0.020431</v>
      </c>
      <c r="K207" s="4">
        <f t="shared" si="9"/>
        <v>-0.00714359888994676</v>
      </c>
      <c r="L207" s="4">
        <f t="shared" si="10"/>
        <v>-0.00683905692810812</v>
      </c>
      <c r="M207" s="18">
        <f t="shared" si="11"/>
        <v>-0.019554</v>
      </c>
    </row>
    <row r="208" spans="1:13">
      <c r="A208" t="s">
        <v>13</v>
      </c>
      <c r="B208" t="s">
        <v>426</v>
      </c>
      <c r="C208" t="s">
        <v>427</v>
      </c>
      <c r="D208">
        <v>27048.668</v>
      </c>
      <c r="E208">
        <v>27048.668</v>
      </c>
      <c r="F208">
        <v>0.792</v>
      </c>
      <c r="G208">
        <v>0</v>
      </c>
      <c r="H208">
        <v>2.142255</v>
      </c>
      <c r="I208">
        <v>2.18445</v>
      </c>
      <c r="J208">
        <v>-0.042195</v>
      </c>
      <c r="K208" s="4">
        <f t="shared" si="9"/>
        <v>-0.0193160749845499</v>
      </c>
      <c r="L208" s="4">
        <f t="shared" si="10"/>
        <v>0</v>
      </c>
      <c r="M208" s="18">
        <f t="shared" si="11"/>
        <v>0</v>
      </c>
    </row>
    <row r="209" spans="1:13">
      <c r="A209" t="s">
        <v>13</v>
      </c>
      <c r="B209" t="s">
        <v>428</v>
      </c>
      <c r="C209" t="s">
        <v>429</v>
      </c>
      <c r="D209">
        <v>79078.5402</v>
      </c>
      <c r="E209">
        <v>79078.5402</v>
      </c>
      <c r="F209">
        <v>0.6305</v>
      </c>
      <c r="G209">
        <v>0</v>
      </c>
      <c r="H209">
        <v>4.985902</v>
      </c>
      <c r="I209">
        <v>5.076051</v>
      </c>
      <c r="J209">
        <v>-0.090149</v>
      </c>
      <c r="K209" s="4">
        <f t="shared" si="9"/>
        <v>-0.0177596718393885</v>
      </c>
      <c r="L209" s="4">
        <f t="shared" si="10"/>
        <v>0</v>
      </c>
      <c r="M209" s="18">
        <f t="shared" si="11"/>
        <v>0</v>
      </c>
    </row>
    <row r="210" spans="1:13">
      <c r="A210" t="s">
        <v>13</v>
      </c>
      <c r="B210" t="s">
        <v>430</v>
      </c>
      <c r="C210" t="s">
        <v>431</v>
      </c>
      <c r="D210">
        <v>10156.8753</v>
      </c>
      <c r="E210">
        <v>10156.8753</v>
      </c>
      <c r="F210">
        <v>1.3097</v>
      </c>
      <c r="G210">
        <v>0</v>
      </c>
      <c r="H210">
        <v>1.330246</v>
      </c>
      <c r="I210">
        <v>1.316737</v>
      </c>
      <c r="J210">
        <v>0.013509</v>
      </c>
      <c r="K210" s="4">
        <f t="shared" si="9"/>
        <v>0.0102594519634521</v>
      </c>
      <c r="L210" s="4">
        <f t="shared" si="10"/>
        <v>0</v>
      </c>
      <c r="M210" s="18">
        <f t="shared" si="11"/>
        <v>0</v>
      </c>
    </row>
    <row r="211" spans="1:13">
      <c r="A211" t="s">
        <v>13</v>
      </c>
      <c r="B211" t="s">
        <v>432</v>
      </c>
      <c r="C211" t="s">
        <v>433</v>
      </c>
      <c r="D211">
        <v>10017.4931</v>
      </c>
      <c r="E211">
        <v>10017.4931</v>
      </c>
      <c r="F211">
        <v>1.1684</v>
      </c>
      <c r="G211">
        <v>0</v>
      </c>
      <c r="H211">
        <v>1.170444</v>
      </c>
      <c r="I211">
        <v>1.158122</v>
      </c>
      <c r="J211">
        <v>0.012322</v>
      </c>
      <c r="K211" s="4">
        <f t="shared" si="9"/>
        <v>0.0106396390017632</v>
      </c>
      <c r="L211" s="4">
        <f t="shared" si="10"/>
        <v>0</v>
      </c>
      <c r="M211" s="18">
        <f t="shared" si="11"/>
        <v>0</v>
      </c>
    </row>
    <row r="212" spans="1:13">
      <c r="A212" t="s">
        <v>13</v>
      </c>
      <c r="B212" t="s">
        <v>434</v>
      </c>
      <c r="C212" t="s">
        <v>435</v>
      </c>
      <c r="D212">
        <v>2890.264</v>
      </c>
      <c r="E212">
        <v>2890.264</v>
      </c>
      <c r="F212">
        <v>1.2799</v>
      </c>
      <c r="G212">
        <v>0</v>
      </c>
      <c r="H212">
        <v>0.369925</v>
      </c>
      <c r="I212">
        <v>0.365994</v>
      </c>
      <c r="J212">
        <v>0.003931</v>
      </c>
      <c r="K212" s="4">
        <f t="shared" si="9"/>
        <v>0.0107406132340967</v>
      </c>
      <c r="L212" s="4">
        <f t="shared" si="10"/>
        <v>0</v>
      </c>
      <c r="M212" s="18">
        <f t="shared" si="11"/>
        <v>0</v>
      </c>
    </row>
    <row r="213" spans="1:13">
      <c r="A213" t="s">
        <v>13</v>
      </c>
      <c r="B213" t="s">
        <v>436</v>
      </c>
      <c r="C213" t="s">
        <v>437</v>
      </c>
      <c r="D213">
        <v>4210.0396</v>
      </c>
      <c r="E213">
        <v>4210.0396</v>
      </c>
      <c r="F213">
        <v>1.3787</v>
      </c>
      <c r="G213">
        <v>0</v>
      </c>
      <c r="H213">
        <v>0.580438</v>
      </c>
      <c r="I213">
        <v>0.575597</v>
      </c>
      <c r="J213">
        <v>0.004841</v>
      </c>
      <c r="K213" s="4">
        <f t="shared" si="9"/>
        <v>0.00841039824738489</v>
      </c>
      <c r="L213" s="4">
        <f t="shared" si="10"/>
        <v>0</v>
      </c>
      <c r="M213" s="18">
        <f t="shared" si="11"/>
        <v>0</v>
      </c>
    </row>
    <row r="214" spans="1:13">
      <c r="A214" t="s">
        <v>13</v>
      </c>
      <c r="B214" t="s">
        <v>438</v>
      </c>
      <c r="C214" t="s">
        <v>439</v>
      </c>
      <c r="D214">
        <v>1745.7388</v>
      </c>
      <c r="E214">
        <v>1945.7388</v>
      </c>
      <c r="F214">
        <v>1.3784</v>
      </c>
      <c r="G214">
        <v>-200</v>
      </c>
      <c r="H214">
        <v>0.240633</v>
      </c>
      <c r="I214">
        <v>0.264815</v>
      </c>
      <c r="J214">
        <v>-0.024182</v>
      </c>
      <c r="K214" s="4">
        <f t="shared" si="9"/>
        <v>-0.0913165794988954</v>
      </c>
      <c r="L214" s="4">
        <f t="shared" si="10"/>
        <v>-0.102788719636983</v>
      </c>
      <c r="M214" s="18">
        <f t="shared" si="11"/>
        <v>-0.027568</v>
      </c>
    </row>
    <row r="215" spans="1:13">
      <c r="A215" t="s">
        <v>13</v>
      </c>
      <c r="B215" t="s">
        <v>440</v>
      </c>
      <c r="C215" t="s">
        <v>441</v>
      </c>
      <c r="D215">
        <v>3118.9531</v>
      </c>
      <c r="E215">
        <v>3118.9531</v>
      </c>
      <c r="F215">
        <v>1.328</v>
      </c>
      <c r="G215">
        <v>0</v>
      </c>
      <c r="H215">
        <v>0.414197</v>
      </c>
      <c r="I215">
        <v>0.409425</v>
      </c>
      <c r="J215">
        <v>0.004772</v>
      </c>
      <c r="K215" s="4">
        <f t="shared" si="9"/>
        <v>0.0116553703364475</v>
      </c>
      <c r="L215" s="4">
        <f t="shared" si="10"/>
        <v>0</v>
      </c>
      <c r="M215" s="18">
        <f t="shared" si="11"/>
        <v>0</v>
      </c>
    </row>
    <row r="216" spans="1:13">
      <c r="A216" t="s">
        <v>13</v>
      </c>
      <c r="B216" t="s">
        <v>442</v>
      </c>
      <c r="C216" t="s">
        <v>443</v>
      </c>
      <c r="D216">
        <v>2515.9397</v>
      </c>
      <c r="E216">
        <v>2515.9397</v>
      </c>
      <c r="F216">
        <v>1.2124</v>
      </c>
      <c r="G216">
        <v>0</v>
      </c>
      <c r="H216">
        <v>0.305033</v>
      </c>
      <c r="I216">
        <v>0.301963</v>
      </c>
      <c r="J216">
        <v>0.00307</v>
      </c>
      <c r="K216" s="4">
        <f t="shared" si="9"/>
        <v>0.0101668085162752</v>
      </c>
      <c r="L216" s="4">
        <f t="shared" si="10"/>
        <v>0</v>
      </c>
      <c r="M216" s="18">
        <f t="shared" si="11"/>
        <v>0</v>
      </c>
    </row>
    <row r="217" spans="1:13">
      <c r="A217" t="s">
        <v>13</v>
      </c>
      <c r="B217" t="s">
        <v>444</v>
      </c>
      <c r="C217" t="s">
        <v>445</v>
      </c>
      <c r="D217">
        <v>6695.8239</v>
      </c>
      <c r="E217">
        <v>6695.8239</v>
      </c>
      <c r="F217">
        <v>1.342</v>
      </c>
      <c r="G217">
        <v>0</v>
      </c>
      <c r="H217">
        <v>0.89858</v>
      </c>
      <c r="I217">
        <v>0.888201</v>
      </c>
      <c r="J217">
        <v>0.010379</v>
      </c>
      <c r="K217" s="4">
        <f t="shared" si="9"/>
        <v>0.0116854180528957</v>
      </c>
      <c r="L217" s="4">
        <f t="shared" si="10"/>
        <v>0</v>
      </c>
      <c r="M217" s="18">
        <f t="shared" si="11"/>
        <v>0</v>
      </c>
    </row>
    <row r="218" spans="1:13">
      <c r="A218" t="s">
        <v>13</v>
      </c>
      <c r="B218" t="s">
        <v>446</v>
      </c>
      <c r="C218" t="s">
        <v>447</v>
      </c>
      <c r="D218">
        <v>4504.2941</v>
      </c>
      <c r="E218">
        <v>4504.2941</v>
      </c>
      <c r="F218">
        <v>0.9597</v>
      </c>
      <c r="G218">
        <v>0</v>
      </c>
      <c r="H218">
        <v>0.432277</v>
      </c>
      <c r="I218">
        <v>0.434484</v>
      </c>
      <c r="J218">
        <v>-0.002207</v>
      </c>
      <c r="K218" s="4">
        <f t="shared" si="9"/>
        <v>-0.00507958866149271</v>
      </c>
      <c r="L218" s="4">
        <f t="shared" si="10"/>
        <v>0</v>
      </c>
      <c r="M218" s="18">
        <f t="shared" si="11"/>
        <v>0</v>
      </c>
    </row>
    <row r="219" spans="1:13">
      <c r="A219" t="s">
        <v>13</v>
      </c>
      <c r="B219" t="s">
        <v>448</v>
      </c>
      <c r="C219" t="s">
        <v>449</v>
      </c>
      <c r="D219">
        <v>266241.8642</v>
      </c>
      <c r="E219">
        <v>266241.8642</v>
      </c>
      <c r="F219">
        <v>0.6158</v>
      </c>
      <c r="G219">
        <v>0</v>
      </c>
      <c r="H219">
        <v>16.395174</v>
      </c>
      <c r="I219">
        <v>16.693365</v>
      </c>
      <c r="J219">
        <v>-0.298191</v>
      </c>
      <c r="K219" s="4">
        <f t="shared" si="9"/>
        <v>-0.0178628455077811</v>
      </c>
      <c r="L219" s="4">
        <f t="shared" si="10"/>
        <v>0</v>
      </c>
      <c r="M219" s="18">
        <f t="shared" si="11"/>
        <v>0</v>
      </c>
    </row>
    <row r="220" spans="1:13">
      <c r="A220" t="s">
        <v>13</v>
      </c>
      <c r="B220" t="s">
        <v>450</v>
      </c>
      <c r="C220" t="s">
        <v>451</v>
      </c>
      <c r="D220">
        <v>13028.1082</v>
      </c>
      <c r="E220">
        <v>13028.1082</v>
      </c>
      <c r="F220">
        <v>1.4887</v>
      </c>
      <c r="G220">
        <v>0</v>
      </c>
      <c r="H220">
        <v>1.939494</v>
      </c>
      <c r="I220">
        <v>1.913178</v>
      </c>
      <c r="J220">
        <v>0.026316</v>
      </c>
      <c r="K220" s="4">
        <f t="shared" si="9"/>
        <v>0.0137551236738035</v>
      </c>
      <c r="L220" s="4">
        <f t="shared" si="10"/>
        <v>0</v>
      </c>
      <c r="M220" s="18">
        <f t="shared" si="11"/>
        <v>0</v>
      </c>
    </row>
    <row r="221" spans="1:13">
      <c r="A221" t="s">
        <v>13</v>
      </c>
      <c r="B221" t="s">
        <v>452</v>
      </c>
      <c r="C221" t="s">
        <v>453</v>
      </c>
      <c r="D221">
        <v>67047.2981</v>
      </c>
      <c r="E221">
        <v>65247.2981</v>
      </c>
      <c r="F221">
        <v>0.7213</v>
      </c>
      <c r="G221">
        <v>1800</v>
      </c>
      <c r="H221">
        <v>4.836122</v>
      </c>
      <c r="I221">
        <v>4.723252</v>
      </c>
      <c r="J221">
        <v>0.11287</v>
      </c>
      <c r="K221" s="4">
        <f t="shared" si="9"/>
        <v>0.0238966711917975</v>
      </c>
      <c r="L221" s="4">
        <f t="shared" si="10"/>
        <v>0.0275873492453475</v>
      </c>
      <c r="M221" s="18">
        <f t="shared" si="11"/>
        <v>0.129834</v>
      </c>
    </row>
    <row r="222" spans="1:13">
      <c r="A222" t="s">
        <v>13</v>
      </c>
      <c r="B222" t="s">
        <v>454</v>
      </c>
      <c r="C222" t="s">
        <v>455</v>
      </c>
      <c r="D222">
        <v>17105.8097</v>
      </c>
      <c r="E222">
        <v>17285.8097</v>
      </c>
      <c r="F222">
        <v>5.2887</v>
      </c>
      <c r="G222">
        <v>-180</v>
      </c>
      <c r="H222">
        <v>9.04675</v>
      </c>
      <c r="I222">
        <v>9.05085</v>
      </c>
      <c r="J222">
        <v>-0.0041</v>
      </c>
      <c r="K222" s="4">
        <f t="shared" si="9"/>
        <v>-0.000452996127435545</v>
      </c>
      <c r="L222" s="4">
        <f t="shared" si="10"/>
        <v>-0.0104131656615426</v>
      </c>
      <c r="M222" s="18">
        <f t="shared" si="11"/>
        <v>-0.0951966</v>
      </c>
    </row>
    <row r="223" spans="1:13">
      <c r="A223" t="s">
        <v>13</v>
      </c>
      <c r="B223" t="s">
        <v>456</v>
      </c>
      <c r="C223" t="s">
        <v>457</v>
      </c>
      <c r="D223">
        <v>11445.8357</v>
      </c>
      <c r="E223">
        <v>11595.8357</v>
      </c>
      <c r="F223">
        <v>1.0181</v>
      </c>
      <c r="G223">
        <v>-150</v>
      </c>
      <c r="H223">
        <v>1.165301</v>
      </c>
      <c r="I223">
        <v>1.188457</v>
      </c>
      <c r="J223">
        <v>-0.023156</v>
      </c>
      <c r="K223" s="4">
        <f t="shared" si="9"/>
        <v>-0.0194840873502365</v>
      </c>
      <c r="L223" s="4">
        <f t="shared" si="10"/>
        <v>-0.0129356782797466</v>
      </c>
      <c r="M223" s="18">
        <f t="shared" si="11"/>
        <v>-0.0152715</v>
      </c>
    </row>
    <row r="224" spans="1:13">
      <c r="A224" t="s">
        <v>13</v>
      </c>
      <c r="B224" t="s">
        <v>458</v>
      </c>
      <c r="C224" t="s">
        <v>459</v>
      </c>
      <c r="D224">
        <v>5779.7609</v>
      </c>
      <c r="E224">
        <v>5779.7609</v>
      </c>
      <c r="F224">
        <v>1.2903</v>
      </c>
      <c r="G224">
        <v>0</v>
      </c>
      <c r="H224">
        <v>0.745763</v>
      </c>
      <c r="I224">
        <v>0.756455</v>
      </c>
      <c r="J224">
        <v>-0.010692</v>
      </c>
      <c r="K224" s="4">
        <f t="shared" si="9"/>
        <v>-0.0141343503579195</v>
      </c>
      <c r="L224" s="4">
        <f t="shared" si="10"/>
        <v>0</v>
      </c>
      <c r="M224" s="18">
        <f t="shared" si="11"/>
        <v>0</v>
      </c>
    </row>
    <row r="225" spans="1:13">
      <c r="A225" t="s">
        <v>13</v>
      </c>
      <c r="B225" t="s">
        <v>460</v>
      </c>
      <c r="C225" t="s">
        <v>461</v>
      </c>
      <c r="D225">
        <v>6599.1693</v>
      </c>
      <c r="E225">
        <v>6599.1693</v>
      </c>
      <c r="F225">
        <v>1.2898</v>
      </c>
      <c r="G225">
        <v>0</v>
      </c>
      <c r="H225">
        <v>0.851161</v>
      </c>
      <c r="I225">
        <v>0.862313</v>
      </c>
      <c r="J225">
        <v>-0.011152</v>
      </c>
      <c r="K225" s="4">
        <f t="shared" si="9"/>
        <v>-0.0129326590228838</v>
      </c>
      <c r="L225" s="4">
        <f t="shared" si="10"/>
        <v>0</v>
      </c>
      <c r="M225" s="18">
        <f t="shared" si="11"/>
        <v>0</v>
      </c>
    </row>
    <row r="226" spans="1:13">
      <c r="A226" t="s">
        <v>13</v>
      </c>
      <c r="B226" t="s">
        <v>462</v>
      </c>
      <c r="C226" t="s">
        <v>463</v>
      </c>
      <c r="D226">
        <v>113464.0302</v>
      </c>
      <c r="E226">
        <v>112164.0302</v>
      </c>
      <c r="F226">
        <v>1.0178</v>
      </c>
      <c r="G226">
        <v>1300</v>
      </c>
      <c r="H226">
        <v>11.548369</v>
      </c>
      <c r="I226">
        <v>11.353243</v>
      </c>
      <c r="J226">
        <v>0.195126</v>
      </c>
      <c r="K226" s="4">
        <f t="shared" si="9"/>
        <v>0.017186807328972</v>
      </c>
      <c r="L226" s="4">
        <f t="shared" si="10"/>
        <v>0.0115901684139021</v>
      </c>
      <c r="M226" s="18">
        <f t="shared" si="11"/>
        <v>0.132314</v>
      </c>
    </row>
    <row r="227" spans="1:13">
      <c r="A227" t="s">
        <v>13</v>
      </c>
      <c r="B227" t="s">
        <v>464</v>
      </c>
      <c r="C227" t="s">
        <v>465</v>
      </c>
      <c r="D227">
        <v>2024.4616</v>
      </c>
      <c r="E227">
        <v>2024.4616</v>
      </c>
      <c r="F227">
        <v>1.3407</v>
      </c>
      <c r="G227">
        <v>0</v>
      </c>
      <c r="H227">
        <v>0.27142</v>
      </c>
      <c r="I227">
        <v>0.271683</v>
      </c>
      <c r="J227">
        <v>-0.000263</v>
      </c>
      <c r="K227" s="4">
        <f t="shared" si="9"/>
        <v>-0.000968039958333793</v>
      </c>
      <c r="L227" s="4">
        <f t="shared" si="10"/>
        <v>0</v>
      </c>
      <c r="M227" s="18">
        <f t="shared" si="11"/>
        <v>0</v>
      </c>
    </row>
    <row r="228" spans="1:13">
      <c r="A228" t="s">
        <v>13</v>
      </c>
      <c r="B228" t="s">
        <v>466</v>
      </c>
      <c r="C228" t="s">
        <v>467</v>
      </c>
      <c r="D228">
        <v>663690.3552</v>
      </c>
      <c r="E228">
        <v>647790.3552</v>
      </c>
      <c r="F228">
        <v>1.0064</v>
      </c>
      <c r="G228">
        <v>15900</v>
      </c>
      <c r="H228">
        <v>66.793797</v>
      </c>
      <c r="I228">
        <v>65.595251</v>
      </c>
      <c r="J228">
        <v>1.198546</v>
      </c>
      <c r="K228" s="4">
        <f t="shared" si="9"/>
        <v>0.01827184105142</v>
      </c>
      <c r="L228" s="4">
        <f t="shared" si="10"/>
        <v>0.0245449779737628</v>
      </c>
      <c r="M228" s="18">
        <f t="shared" si="11"/>
        <v>1.600176</v>
      </c>
    </row>
    <row r="229" spans="1:13">
      <c r="A229" t="s">
        <v>13</v>
      </c>
      <c r="B229" t="s">
        <v>468</v>
      </c>
      <c r="C229" t="s">
        <v>469</v>
      </c>
      <c r="D229">
        <v>61437.1736</v>
      </c>
      <c r="E229">
        <v>62137.1736</v>
      </c>
      <c r="F229">
        <v>1.3524</v>
      </c>
      <c r="G229">
        <v>-700</v>
      </c>
      <c r="H229">
        <v>8.308763</v>
      </c>
      <c r="I229">
        <v>8.333216</v>
      </c>
      <c r="J229">
        <v>-0.024453</v>
      </c>
      <c r="K229" s="4">
        <f t="shared" si="9"/>
        <v>-0.00293440131637053</v>
      </c>
      <c r="L229" s="4">
        <f t="shared" si="10"/>
        <v>-0.0112653981416367</v>
      </c>
      <c r="M229" s="18">
        <f t="shared" si="11"/>
        <v>-0.094668</v>
      </c>
    </row>
    <row r="230" spans="1:13">
      <c r="A230" t="s">
        <v>13</v>
      </c>
      <c r="B230" t="s">
        <v>470</v>
      </c>
      <c r="C230" t="s">
        <v>471</v>
      </c>
      <c r="D230">
        <v>41998.108</v>
      </c>
      <c r="E230">
        <v>43398.108</v>
      </c>
      <c r="F230">
        <v>3.2494</v>
      </c>
      <c r="G230">
        <v>-1400</v>
      </c>
      <c r="H230">
        <v>13.646865</v>
      </c>
      <c r="I230">
        <v>13.30586</v>
      </c>
      <c r="J230">
        <v>0.341005</v>
      </c>
      <c r="K230" s="4">
        <f t="shared" si="9"/>
        <v>0.0256281818687405</v>
      </c>
      <c r="L230" s="4">
        <f t="shared" si="10"/>
        <v>-0.0322594708506647</v>
      </c>
      <c r="M230" s="18">
        <f t="shared" si="11"/>
        <v>-0.454916</v>
      </c>
    </row>
    <row r="231" spans="1:13">
      <c r="A231" t="s">
        <v>13</v>
      </c>
      <c r="B231" t="s">
        <v>472</v>
      </c>
      <c r="C231" t="s">
        <v>473</v>
      </c>
      <c r="D231">
        <v>3738.3993</v>
      </c>
      <c r="E231">
        <v>3738.3993</v>
      </c>
      <c r="F231">
        <v>1.6393</v>
      </c>
      <c r="G231">
        <v>0</v>
      </c>
      <c r="H231">
        <v>0.612836</v>
      </c>
      <c r="I231">
        <v>0.586069</v>
      </c>
      <c r="J231">
        <v>0.026767</v>
      </c>
      <c r="K231" s="4">
        <f t="shared" si="9"/>
        <v>0.0456720966302603</v>
      </c>
      <c r="L231" s="4">
        <f t="shared" si="10"/>
        <v>0</v>
      </c>
      <c r="M231" s="18">
        <f t="shared" si="11"/>
        <v>0</v>
      </c>
    </row>
    <row r="232" spans="1:13">
      <c r="A232" t="s">
        <v>13</v>
      </c>
      <c r="B232" t="s">
        <v>474</v>
      </c>
      <c r="C232" t="s">
        <v>475</v>
      </c>
      <c r="D232">
        <v>3822.4353</v>
      </c>
      <c r="E232">
        <v>3822.4353</v>
      </c>
      <c r="F232">
        <v>1.1446</v>
      </c>
      <c r="G232">
        <v>0</v>
      </c>
      <c r="H232">
        <v>0.437516</v>
      </c>
      <c r="I232">
        <v>0.440803</v>
      </c>
      <c r="J232">
        <v>-0.003287</v>
      </c>
      <c r="K232" s="4">
        <f t="shared" si="9"/>
        <v>-0.00745684580186614</v>
      </c>
      <c r="L232" s="4">
        <f t="shared" si="10"/>
        <v>0</v>
      </c>
      <c r="M232" s="18">
        <f t="shared" si="11"/>
        <v>0</v>
      </c>
    </row>
    <row r="233" spans="1:13">
      <c r="A233" t="s">
        <v>13</v>
      </c>
      <c r="B233" t="s">
        <v>476</v>
      </c>
      <c r="C233" t="s">
        <v>477</v>
      </c>
      <c r="D233">
        <v>19258.9621</v>
      </c>
      <c r="E233">
        <v>19408.9621</v>
      </c>
      <c r="F233">
        <v>1.5488</v>
      </c>
      <c r="G233">
        <v>-150</v>
      </c>
      <c r="H233">
        <v>2.982828</v>
      </c>
      <c r="I233">
        <v>3.004701</v>
      </c>
      <c r="J233">
        <v>-0.021873</v>
      </c>
      <c r="K233" s="4">
        <f t="shared" si="9"/>
        <v>-0.00727959287796024</v>
      </c>
      <c r="L233" s="4">
        <f t="shared" si="10"/>
        <v>-0.00772838852624685</v>
      </c>
      <c r="M233" s="18">
        <f t="shared" si="11"/>
        <v>-0.023232</v>
      </c>
    </row>
    <row r="234" spans="1:13">
      <c r="A234" t="s">
        <v>13</v>
      </c>
      <c r="B234" t="s">
        <v>478</v>
      </c>
      <c r="C234" t="s">
        <v>479</v>
      </c>
      <c r="D234">
        <v>407233.6139</v>
      </c>
      <c r="E234">
        <v>407233.6139</v>
      </c>
      <c r="F234">
        <v>0.9754</v>
      </c>
      <c r="G234">
        <v>0</v>
      </c>
      <c r="H234">
        <v>39.721567</v>
      </c>
      <c r="I234">
        <v>40.393502</v>
      </c>
      <c r="J234">
        <v>-0.671935</v>
      </c>
      <c r="K234" s="4">
        <f t="shared" si="9"/>
        <v>-0.0166347300117727</v>
      </c>
      <c r="L234" s="4">
        <f t="shared" si="10"/>
        <v>0</v>
      </c>
      <c r="M234" s="18">
        <f t="shared" si="11"/>
        <v>0</v>
      </c>
    </row>
    <row r="235" spans="1:13">
      <c r="A235" t="s">
        <v>13</v>
      </c>
      <c r="B235" t="s">
        <v>480</v>
      </c>
      <c r="C235" t="s">
        <v>481</v>
      </c>
      <c r="D235">
        <v>1860.1647</v>
      </c>
      <c r="E235">
        <v>1860.1647</v>
      </c>
      <c r="F235">
        <v>1.2681</v>
      </c>
      <c r="G235">
        <v>0</v>
      </c>
      <c r="H235">
        <v>0.235887</v>
      </c>
      <c r="I235">
        <v>0.237655</v>
      </c>
      <c r="J235">
        <v>-0.001768</v>
      </c>
      <c r="K235" s="4">
        <f t="shared" si="9"/>
        <v>-0.00743935536807557</v>
      </c>
      <c r="L235" s="4">
        <f t="shared" si="10"/>
        <v>0</v>
      </c>
      <c r="M235" s="18">
        <f t="shared" si="11"/>
        <v>0</v>
      </c>
    </row>
    <row r="236" spans="1:13">
      <c r="A236" t="s">
        <v>13</v>
      </c>
      <c r="B236" t="s">
        <v>482</v>
      </c>
      <c r="C236" t="s">
        <v>483</v>
      </c>
      <c r="D236">
        <v>42374.5173</v>
      </c>
      <c r="E236">
        <v>44074.5173</v>
      </c>
      <c r="F236">
        <v>2.3235</v>
      </c>
      <c r="G236">
        <v>-1700</v>
      </c>
      <c r="H236">
        <v>9.845719</v>
      </c>
      <c r="I236">
        <v>10.187825</v>
      </c>
      <c r="J236">
        <v>-0.342106</v>
      </c>
      <c r="K236" s="4">
        <f t="shared" si="9"/>
        <v>-0.0335798857950544</v>
      </c>
      <c r="L236" s="4">
        <f t="shared" si="10"/>
        <v>-0.0385710406861336</v>
      </c>
      <c r="M236" s="18">
        <f t="shared" si="11"/>
        <v>-0.394995</v>
      </c>
    </row>
    <row r="237" spans="1:13">
      <c r="A237" t="s">
        <v>13</v>
      </c>
      <c r="B237" t="s">
        <v>484</v>
      </c>
      <c r="C237" t="s">
        <v>485</v>
      </c>
      <c r="D237">
        <v>37740.0397</v>
      </c>
      <c r="E237">
        <v>37890.0397</v>
      </c>
      <c r="F237">
        <v>1.4527</v>
      </c>
      <c r="G237">
        <v>-150</v>
      </c>
      <c r="H237">
        <v>5.482496</v>
      </c>
      <c r="I237">
        <v>5.502013</v>
      </c>
      <c r="J237">
        <v>-0.019517</v>
      </c>
      <c r="K237" s="4">
        <f t="shared" si="9"/>
        <v>-0.00354724716208413</v>
      </c>
      <c r="L237" s="4">
        <f t="shared" si="10"/>
        <v>-0.00395882403892018</v>
      </c>
      <c r="M237" s="18">
        <f t="shared" si="11"/>
        <v>-0.0217905</v>
      </c>
    </row>
    <row r="238" spans="1:13">
      <c r="A238" t="s">
        <v>13</v>
      </c>
      <c r="B238" t="s">
        <v>486</v>
      </c>
      <c r="C238" t="s">
        <v>487</v>
      </c>
      <c r="D238">
        <v>12341.1691</v>
      </c>
      <c r="E238">
        <v>12341.1691</v>
      </c>
      <c r="F238">
        <v>1.5269</v>
      </c>
      <c r="G238">
        <v>0</v>
      </c>
      <c r="H238">
        <v>1.884373</v>
      </c>
      <c r="I238">
        <v>1.883262</v>
      </c>
      <c r="J238">
        <v>0.001111</v>
      </c>
      <c r="K238" s="4">
        <f t="shared" si="9"/>
        <v>0.000589933848821885</v>
      </c>
      <c r="L238" s="4">
        <f t="shared" si="10"/>
        <v>0</v>
      </c>
      <c r="M238" s="18">
        <f t="shared" si="11"/>
        <v>0</v>
      </c>
    </row>
    <row r="239" spans="1:13">
      <c r="A239" t="s">
        <v>13</v>
      </c>
      <c r="B239" t="s">
        <v>488</v>
      </c>
      <c r="C239" t="s">
        <v>489</v>
      </c>
      <c r="D239">
        <v>9909.7378</v>
      </c>
      <c r="E239">
        <v>9909.7378</v>
      </c>
      <c r="F239">
        <v>1.1474</v>
      </c>
      <c r="G239">
        <v>0</v>
      </c>
      <c r="H239">
        <v>1.137043</v>
      </c>
      <c r="I239">
        <v>1.15171</v>
      </c>
      <c r="J239">
        <v>-0.014667</v>
      </c>
      <c r="K239" s="4">
        <f t="shared" si="9"/>
        <v>-0.0127349766868396</v>
      </c>
      <c r="L239" s="4">
        <f t="shared" si="10"/>
        <v>0</v>
      </c>
      <c r="M239" s="18">
        <f t="shared" si="11"/>
        <v>0</v>
      </c>
    </row>
    <row r="240" spans="1:13">
      <c r="A240" t="s">
        <v>13</v>
      </c>
      <c r="B240" t="s">
        <v>490</v>
      </c>
      <c r="C240" t="s">
        <v>491</v>
      </c>
      <c r="D240">
        <v>41446.0528</v>
      </c>
      <c r="E240">
        <v>37646.0528</v>
      </c>
      <c r="F240">
        <v>2.3783</v>
      </c>
      <c r="G240">
        <v>3800</v>
      </c>
      <c r="H240">
        <v>9.857115</v>
      </c>
      <c r="I240">
        <v>8.393187</v>
      </c>
      <c r="J240">
        <v>1.463928</v>
      </c>
      <c r="K240" s="4">
        <f t="shared" si="9"/>
        <v>0.174418608807358</v>
      </c>
      <c r="L240" s="4">
        <f t="shared" si="10"/>
        <v>0.100940197374424</v>
      </c>
      <c r="M240" s="18">
        <f t="shared" si="11"/>
        <v>0.903754</v>
      </c>
    </row>
    <row r="241" spans="1:13">
      <c r="A241" t="s">
        <v>13</v>
      </c>
      <c r="B241" t="s">
        <v>492</v>
      </c>
      <c r="C241" t="s">
        <v>493</v>
      </c>
      <c r="D241">
        <v>1196326.5525</v>
      </c>
      <c r="E241">
        <v>1211126.5525</v>
      </c>
      <c r="F241">
        <v>2.142</v>
      </c>
      <c r="G241">
        <v>-14800</v>
      </c>
      <c r="H241">
        <v>256.253148</v>
      </c>
      <c r="I241">
        <v>258.357516</v>
      </c>
      <c r="J241">
        <v>-2.104368</v>
      </c>
      <c r="K241" s="4">
        <f t="shared" si="9"/>
        <v>-0.00814517817240509</v>
      </c>
      <c r="L241" s="4">
        <f t="shared" si="10"/>
        <v>-0.0122200276836883</v>
      </c>
      <c r="M241" s="18">
        <f t="shared" si="11"/>
        <v>-3.17016</v>
      </c>
    </row>
    <row r="242" spans="1:13">
      <c r="A242" t="s">
        <v>13</v>
      </c>
      <c r="B242" t="s">
        <v>494</v>
      </c>
      <c r="C242" t="s">
        <v>495</v>
      </c>
      <c r="D242">
        <v>38552.4697</v>
      </c>
      <c r="E242">
        <v>36252.4697</v>
      </c>
      <c r="F242">
        <v>3.5673</v>
      </c>
      <c r="G242">
        <v>2300</v>
      </c>
      <c r="H242">
        <v>13.752823</v>
      </c>
      <c r="I242">
        <v>12.044883</v>
      </c>
      <c r="J242">
        <v>1.70794</v>
      </c>
      <c r="K242" s="4">
        <f t="shared" si="9"/>
        <v>0.141797973463088</v>
      </c>
      <c r="L242" s="4">
        <f t="shared" si="10"/>
        <v>0.0634439534473978</v>
      </c>
      <c r="M242" s="18">
        <f t="shared" si="11"/>
        <v>0.820479</v>
      </c>
    </row>
    <row r="243" spans="1:13">
      <c r="A243" t="s">
        <v>13</v>
      </c>
      <c r="B243" t="s">
        <v>496</v>
      </c>
      <c r="C243" t="s">
        <v>497</v>
      </c>
      <c r="D243">
        <v>11655.67</v>
      </c>
      <c r="E243">
        <v>11055.67</v>
      </c>
      <c r="F243">
        <v>1.0656</v>
      </c>
      <c r="G243">
        <v>600</v>
      </c>
      <c r="H243">
        <v>1.242028</v>
      </c>
      <c r="I243">
        <v>1.178977</v>
      </c>
      <c r="J243">
        <v>0.063051</v>
      </c>
      <c r="K243" s="4">
        <f t="shared" si="9"/>
        <v>0.0534794147807803</v>
      </c>
      <c r="L243" s="4">
        <f t="shared" si="10"/>
        <v>0.0542707949857403</v>
      </c>
      <c r="M243" s="18">
        <f t="shared" si="11"/>
        <v>0.063936</v>
      </c>
    </row>
    <row r="244" spans="1:13">
      <c r="A244" t="s">
        <v>13</v>
      </c>
      <c r="B244" t="s">
        <v>498</v>
      </c>
      <c r="C244" t="s">
        <v>499</v>
      </c>
      <c r="D244">
        <v>129968.9188</v>
      </c>
      <c r="E244">
        <v>129968.9188</v>
      </c>
      <c r="F244">
        <v>0.9276</v>
      </c>
      <c r="G244">
        <v>0</v>
      </c>
      <c r="H244">
        <v>12.055917</v>
      </c>
      <c r="I244">
        <v>11.984434</v>
      </c>
      <c r="J244">
        <v>0.071483</v>
      </c>
      <c r="K244" s="4">
        <f t="shared" si="9"/>
        <v>0.005964653816776</v>
      </c>
      <c r="L244" s="4">
        <f t="shared" si="10"/>
        <v>0</v>
      </c>
      <c r="M244" s="18">
        <f t="shared" si="11"/>
        <v>0</v>
      </c>
    </row>
    <row r="245" spans="1:13">
      <c r="A245" t="s">
        <v>13</v>
      </c>
      <c r="B245" t="s">
        <v>500</v>
      </c>
      <c r="C245" t="s">
        <v>501</v>
      </c>
      <c r="D245">
        <v>31180.1009</v>
      </c>
      <c r="E245">
        <v>31480.1009</v>
      </c>
      <c r="F245">
        <v>1.5263</v>
      </c>
      <c r="G245">
        <v>-300</v>
      </c>
      <c r="H245">
        <v>4.759019</v>
      </c>
      <c r="I245">
        <v>4.758532</v>
      </c>
      <c r="J245">
        <v>0.000487</v>
      </c>
      <c r="K245" s="4">
        <f t="shared" si="9"/>
        <v>0.000102342487136789</v>
      </c>
      <c r="L245" s="4">
        <f t="shared" si="10"/>
        <v>-0.00952982968361451</v>
      </c>
      <c r="M245" s="18">
        <f t="shared" si="11"/>
        <v>-0.045789</v>
      </c>
    </row>
    <row r="246" spans="1:13">
      <c r="A246" t="s">
        <v>13</v>
      </c>
      <c r="B246" t="s">
        <v>502</v>
      </c>
      <c r="C246" t="s">
        <v>503</v>
      </c>
      <c r="D246">
        <v>15769.4179</v>
      </c>
      <c r="E246">
        <v>15769.4179</v>
      </c>
      <c r="F246">
        <v>1.2728</v>
      </c>
      <c r="G246">
        <v>0</v>
      </c>
      <c r="H246">
        <v>2.007132</v>
      </c>
      <c r="I246">
        <v>2.03599</v>
      </c>
      <c r="J246">
        <v>-0.028858</v>
      </c>
      <c r="K246" s="4">
        <f t="shared" si="9"/>
        <v>-0.0141739399505891</v>
      </c>
      <c r="L246" s="4">
        <f t="shared" si="10"/>
        <v>0</v>
      </c>
      <c r="M246" s="18">
        <f t="shared" si="11"/>
        <v>0</v>
      </c>
    </row>
    <row r="247" spans="1:13">
      <c r="A247" t="s">
        <v>13</v>
      </c>
      <c r="B247" t="s">
        <v>504</v>
      </c>
      <c r="C247" t="s">
        <v>505</v>
      </c>
      <c r="D247">
        <v>7952.1477</v>
      </c>
      <c r="E247">
        <v>7952.1477</v>
      </c>
      <c r="F247">
        <v>1.1532</v>
      </c>
      <c r="G247">
        <v>0</v>
      </c>
      <c r="H247">
        <v>0.917042</v>
      </c>
      <c r="I247">
        <v>0.921495</v>
      </c>
      <c r="J247">
        <v>-0.004453</v>
      </c>
      <c r="K247" s="4">
        <f t="shared" si="9"/>
        <v>-0.00483236479850678</v>
      </c>
      <c r="L247" s="4">
        <f t="shared" si="10"/>
        <v>0</v>
      </c>
      <c r="M247" s="18">
        <f t="shared" si="11"/>
        <v>0</v>
      </c>
    </row>
    <row r="248" spans="1:13">
      <c r="A248" t="s">
        <v>13</v>
      </c>
      <c r="B248" t="s">
        <v>506</v>
      </c>
      <c r="C248" t="s">
        <v>507</v>
      </c>
      <c r="D248">
        <v>24795.2835</v>
      </c>
      <c r="E248">
        <v>24795.2835</v>
      </c>
      <c r="F248">
        <v>1.3567</v>
      </c>
      <c r="G248">
        <v>0</v>
      </c>
      <c r="H248">
        <v>3.363976</v>
      </c>
      <c r="I248">
        <v>3.39621</v>
      </c>
      <c r="J248">
        <v>-0.032234</v>
      </c>
      <c r="K248" s="4">
        <f t="shared" si="9"/>
        <v>-0.00949116809620135</v>
      </c>
      <c r="L248" s="4">
        <f t="shared" si="10"/>
        <v>0</v>
      </c>
      <c r="M248" s="18">
        <f t="shared" si="11"/>
        <v>0</v>
      </c>
    </row>
    <row r="249" spans="1:13">
      <c r="A249" t="s">
        <v>13</v>
      </c>
      <c r="B249" t="s">
        <v>508</v>
      </c>
      <c r="C249" t="s">
        <v>509</v>
      </c>
      <c r="D249">
        <v>5808.3689</v>
      </c>
      <c r="E249">
        <v>5808.3689</v>
      </c>
      <c r="F249">
        <v>1.6477</v>
      </c>
      <c r="G249">
        <v>0</v>
      </c>
      <c r="H249">
        <v>0.957045</v>
      </c>
      <c r="I249">
        <v>0.94659</v>
      </c>
      <c r="J249">
        <v>0.010455</v>
      </c>
      <c r="K249" s="4">
        <f t="shared" si="9"/>
        <v>0.0110449085665388</v>
      </c>
      <c r="L249" s="4">
        <f t="shared" si="10"/>
        <v>0</v>
      </c>
      <c r="M249" s="18">
        <f t="shared" si="11"/>
        <v>0</v>
      </c>
    </row>
    <row r="250" spans="1:13">
      <c r="A250" t="s">
        <v>13</v>
      </c>
      <c r="B250" t="s">
        <v>510</v>
      </c>
      <c r="C250" t="s">
        <v>511</v>
      </c>
      <c r="D250">
        <v>37690.509</v>
      </c>
      <c r="E250">
        <v>37790.509</v>
      </c>
      <c r="F250">
        <v>1.15</v>
      </c>
      <c r="G250">
        <v>-100</v>
      </c>
      <c r="H250">
        <v>4.334409</v>
      </c>
      <c r="I250">
        <v>4.335705</v>
      </c>
      <c r="J250">
        <v>-0.001296</v>
      </c>
      <c r="K250" s="4">
        <f t="shared" si="9"/>
        <v>-0.000298913325514536</v>
      </c>
      <c r="L250" s="4">
        <f t="shared" si="10"/>
        <v>-0.00264616705744821</v>
      </c>
      <c r="M250" s="18">
        <f t="shared" si="11"/>
        <v>-0.0115</v>
      </c>
    </row>
    <row r="251" spans="1:13">
      <c r="A251" t="s">
        <v>13</v>
      </c>
      <c r="B251" t="s">
        <v>512</v>
      </c>
      <c r="C251" t="s">
        <v>513</v>
      </c>
      <c r="D251">
        <v>24571.0611</v>
      </c>
      <c r="E251">
        <v>24971.0611</v>
      </c>
      <c r="F251">
        <v>1.9588</v>
      </c>
      <c r="G251">
        <v>-400</v>
      </c>
      <c r="H251">
        <v>4.812979</v>
      </c>
      <c r="I251">
        <v>4.82341</v>
      </c>
      <c r="J251">
        <v>-0.010431</v>
      </c>
      <c r="K251" s="4">
        <f t="shared" si="9"/>
        <v>-0.00216257792723405</v>
      </c>
      <c r="L251" s="4">
        <f t="shared" si="10"/>
        <v>-0.0160185423598199</v>
      </c>
      <c r="M251" s="18">
        <f t="shared" si="11"/>
        <v>-0.078352</v>
      </c>
    </row>
    <row r="252" spans="1:13">
      <c r="A252" t="s">
        <v>13</v>
      </c>
      <c r="B252" t="s">
        <v>514</v>
      </c>
      <c r="C252" t="s">
        <v>515</v>
      </c>
      <c r="D252">
        <v>1831708.6664</v>
      </c>
      <c r="E252">
        <v>1825708.6664</v>
      </c>
      <c r="F252">
        <v>1.314</v>
      </c>
      <c r="G252">
        <v>6000</v>
      </c>
      <c r="H252">
        <v>240.686519</v>
      </c>
      <c r="I252">
        <v>236.922214</v>
      </c>
      <c r="J252">
        <v>3.764305</v>
      </c>
      <c r="K252" s="4">
        <f t="shared" si="9"/>
        <v>0.0158883581933773</v>
      </c>
      <c r="L252" s="4">
        <f t="shared" si="10"/>
        <v>0.00328639509162819</v>
      </c>
      <c r="M252" s="18">
        <f t="shared" si="11"/>
        <v>0.7884</v>
      </c>
    </row>
    <row r="253" spans="1:13">
      <c r="A253" t="s">
        <v>13</v>
      </c>
      <c r="B253" t="s">
        <v>516</v>
      </c>
      <c r="C253" t="s">
        <v>517</v>
      </c>
      <c r="D253">
        <v>168208.6841</v>
      </c>
      <c r="E253">
        <v>169408.6841</v>
      </c>
      <c r="F253">
        <v>1.3243</v>
      </c>
      <c r="G253">
        <v>-1200</v>
      </c>
      <c r="H253">
        <v>22.275876</v>
      </c>
      <c r="I253">
        <v>22.158656</v>
      </c>
      <c r="J253">
        <v>0.11722</v>
      </c>
      <c r="K253" s="4">
        <f t="shared" si="9"/>
        <v>0.00529003203082353</v>
      </c>
      <c r="L253" s="4">
        <f t="shared" si="10"/>
        <v>-0.00708346213994351</v>
      </c>
      <c r="M253" s="18">
        <f t="shared" si="11"/>
        <v>-0.158916</v>
      </c>
    </row>
    <row r="254" spans="1:13">
      <c r="A254" t="s">
        <v>13</v>
      </c>
      <c r="B254" t="s">
        <v>518</v>
      </c>
      <c r="C254" t="s">
        <v>519</v>
      </c>
      <c r="D254">
        <v>9300.9642</v>
      </c>
      <c r="E254">
        <v>9300.9642</v>
      </c>
      <c r="F254">
        <v>1.7384</v>
      </c>
      <c r="G254">
        <v>0</v>
      </c>
      <c r="H254">
        <v>1.61688</v>
      </c>
      <c r="I254">
        <v>1.600417</v>
      </c>
      <c r="J254">
        <v>0.016463</v>
      </c>
      <c r="K254" s="4">
        <f t="shared" si="9"/>
        <v>0.0102866940303683</v>
      </c>
      <c r="L254" s="4">
        <f t="shared" si="10"/>
        <v>0</v>
      </c>
      <c r="M254" s="18">
        <f t="shared" si="11"/>
        <v>0</v>
      </c>
    </row>
    <row r="255" spans="1:13">
      <c r="A255" t="s">
        <v>13</v>
      </c>
      <c r="B255" t="s">
        <v>520</v>
      </c>
      <c r="C255" t="s">
        <v>521</v>
      </c>
      <c r="D255">
        <v>587612.3357</v>
      </c>
      <c r="E255">
        <v>591212.3357</v>
      </c>
      <c r="F255">
        <v>1.317</v>
      </c>
      <c r="G255">
        <v>-3600</v>
      </c>
      <c r="H255">
        <v>77.388545</v>
      </c>
      <c r="I255">
        <v>76.893076</v>
      </c>
      <c r="J255">
        <v>0.495469</v>
      </c>
      <c r="K255" s="4">
        <f t="shared" si="9"/>
        <v>0.00644361008525657</v>
      </c>
      <c r="L255" s="4">
        <f t="shared" si="10"/>
        <v>-0.00608918282420067</v>
      </c>
      <c r="M255" s="18">
        <f t="shared" si="11"/>
        <v>-0.47412</v>
      </c>
    </row>
    <row r="256" spans="1:13">
      <c r="A256" t="s">
        <v>13</v>
      </c>
      <c r="B256" t="s">
        <v>522</v>
      </c>
      <c r="C256" t="s">
        <v>523</v>
      </c>
      <c r="D256">
        <v>2161810.1746</v>
      </c>
      <c r="E256">
        <v>2167810.1746</v>
      </c>
      <c r="F256">
        <v>1.3665</v>
      </c>
      <c r="G256">
        <v>-6000</v>
      </c>
      <c r="H256">
        <v>295.41136</v>
      </c>
      <c r="I256">
        <v>292.567661</v>
      </c>
      <c r="J256">
        <v>2.843699</v>
      </c>
      <c r="K256" s="4">
        <f t="shared" si="9"/>
        <v>0.00971979948255457</v>
      </c>
      <c r="L256" s="4">
        <f t="shared" si="10"/>
        <v>-0.00276777001524458</v>
      </c>
      <c r="M256" s="18">
        <f t="shared" si="11"/>
        <v>-0.8199</v>
      </c>
    </row>
    <row r="257" spans="1:13">
      <c r="A257" t="s">
        <v>13</v>
      </c>
      <c r="B257" t="s">
        <v>524</v>
      </c>
      <c r="C257" t="s">
        <v>525</v>
      </c>
      <c r="D257">
        <v>292416.1812</v>
      </c>
      <c r="E257">
        <v>295416.1812</v>
      </c>
      <c r="F257">
        <v>1.3294</v>
      </c>
      <c r="G257">
        <v>-3000</v>
      </c>
      <c r="H257">
        <v>38.873807</v>
      </c>
      <c r="I257">
        <v>38.788145</v>
      </c>
      <c r="J257">
        <v>0.085662</v>
      </c>
      <c r="K257" s="4">
        <f t="shared" si="9"/>
        <v>0.00220845828022969</v>
      </c>
      <c r="L257" s="4">
        <f t="shared" si="10"/>
        <v>-0.0101551647841828</v>
      </c>
      <c r="M257" s="18">
        <f t="shared" si="11"/>
        <v>-0.39882</v>
      </c>
    </row>
    <row r="258" spans="1:13">
      <c r="A258" t="s">
        <v>13</v>
      </c>
      <c r="B258" t="s">
        <v>526</v>
      </c>
      <c r="C258" t="s">
        <v>527</v>
      </c>
      <c r="D258">
        <v>9923.4277</v>
      </c>
      <c r="E258">
        <v>9923.4277</v>
      </c>
      <c r="F258">
        <v>1.022</v>
      </c>
      <c r="G258">
        <v>0</v>
      </c>
      <c r="H258">
        <v>1.014174</v>
      </c>
      <c r="I258">
        <v>1.019632</v>
      </c>
      <c r="J258">
        <v>-0.005458</v>
      </c>
      <c r="K258" s="4">
        <f t="shared" ref="K258:K321" si="12">IFERROR(J258/I258,"")</f>
        <v>-0.00535291163870887</v>
      </c>
      <c r="L258" s="4">
        <f t="shared" ref="L258:L321" si="13">IFERROR((D258-E258)/E258,"")</f>
        <v>0</v>
      </c>
      <c r="M258" s="18">
        <f t="shared" ref="M258:M321" si="14">IFERROR(F258*G258/10000,"")</f>
        <v>0</v>
      </c>
    </row>
    <row r="259" spans="1:13">
      <c r="A259" t="s">
        <v>13</v>
      </c>
      <c r="B259" t="s">
        <v>528</v>
      </c>
      <c r="C259" t="s">
        <v>529</v>
      </c>
      <c r="D259">
        <v>66212.0647</v>
      </c>
      <c r="E259">
        <v>68312.0647</v>
      </c>
      <c r="F259">
        <v>1.383</v>
      </c>
      <c r="G259">
        <v>-2100</v>
      </c>
      <c r="H259">
        <v>9.157129</v>
      </c>
      <c r="I259">
        <v>9.331428</v>
      </c>
      <c r="J259">
        <v>-0.174299</v>
      </c>
      <c r="K259" s="4">
        <f t="shared" si="12"/>
        <v>-0.0186787059815497</v>
      </c>
      <c r="L259" s="4">
        <f t="shared" si="13"/>
        <v>-0.0307412754865833</v>
      </c>
      <c r="M259" s="18">
        <f t="shared" si="14"/>
        <v>-0.29043</v>
      </c>
    </row>
    <row r="260" spans="1:13">
      <c r="A260" t="s">
        <v>13</v>
      </c>
      <c r="B260" t="s">
        <v>530</v>
      </c>
      <c r="C260" t="s">
        <v>531</v>
      </c>
      <c r="D260">
        <v>116583.3841</v>
      </c>
      <c r="E260">
        <v>118083.3841</v>
      </c>
      <c r="F260">
        <v>1.3824</v>
      </c>
      <c r="G260">
        <v>-1500</v>
      </c>
      <c r="H260">
        <v>16.116487</v>
      </c>
      <c r="I260">
        <v>16.121924</v>
      </c>
      <c r="J260">
        <v>-0.005437</v>
      </c>
      <c r="K260" s="4">
        <f t="shared" si="12"/>
        <v>-0.000337242626872574</v>
      </c>
      <c r="L260" s="4">
        <f t="shared" si="13"/>
        <v>-0.0127028879755827</v>
      </c>
      <c r="M260" s="18">
        <f t="shared" si="14"/>
        <v>-0.20736</v>
      </c>
    </row>
    <row r="261" spans="1:13">
      <c r="A261" t="s">
        <v>13</v>
      </c>
      <c r="B261" t="s">
        <v>532</v>
      </c>
      <c r="C261" t="s">
        <v>533</v>
      </c>
      <c r="D261">
        <v>65010.642</v>
      </c>
      <c r="E261">
        <v>65610.642</v>
      </c>
      <c r="F261">
        <v>1.4069</v>
      </c>
      <c r="G261">
        <v>-600</v>
      </c>
      <c r="H261">
        <v>9.146347</v>
      </c>
      <c r="I261">
        <v>9.117255</v>
      </c>
      <c r="J261">
        <v>0.029092</v>
      </c>
      <c r="K261" s="4">
        <f t="shared" si="12"/>
        <v>0.0031908726913967</v>
      </c>
      <c r="L261" s="4">
        <f t="shared" si="13"/>
        <v>-0.00914485793326039</v>
      </c>
      <c r="M261" s="18">
        <f t="shared" si="14"/>
        <v>-0.084414</v>
      </c>
    </row>
    <row r="262" spans="1:13">
      <c r="A262" t="s">
        <v>13</v>
      </c>
      <c r="B262" t="s">
        <v>534</v>
      </c>
      <c r="C262" t="s">
        <v>535</v>
      </c>
      <c r="D262">
        <v>68614.0424</v>
      </c>
      <c r="E262">
        <v>69514.0424</v>
      </c>
      <c r="F262">
        <v>1.3772</v>
      </c>
      <c r="G262">
        <v>-900</v>
      </c>
      <c r="H262">
        <v>9.449526</v>
      </c>
      <c r="I262">
        <v>9.4553</v>
      </c>
      <c r="J262">
        <v>-0.005774</v>
      </c>
      <c r="K262" s="4">
        <f t="shared" si="12"/>
        <v>-0.000610662802872463</v>
      </c>
      <c r="L262" s="4">
        <f t="shared" si="13"/>
        <v>-0.0129470243554704</v>
      </c>
      <c r="M262" s="18">
        <f t="shared" si="14"/>
        <v>-0.123948</v>
      </c>
    </row>
    <row r="263" spans="1:13">
      <c r="A263" t="s">
        <v>13</v>
      </c>
      <c r="B263" t="s">
        <v>536</v>
      </c>
      <c r="C263" t="s">
        <v>537</v>
      </c>
      <c r="D263">
        <v>116618.4526</v>
      </c>
      <c r="E263">
        <v>116918.4526</v>
      </c>
      <c r="F263">
        <v>1.4069</v>
      </c>
      <c r="G263">
        <v>-300</v>
      </c>
      <c r="H263">
        <v>16.40705</v>
      </c>
      <c r="I263">
        <v>16.242311</v>
      </c>
      <c r="J263">
        <v>0.164739</v>
      </c>
      <c r="K263" s="4">
        <f t="shared" si="12"/>
        <v>0.0101425837739469</v>
      </c>
      <c r="L263" s="4">
        <f t="shared" si="13"/>
        <v>-0.0025658909550091</v>
      </c>
      <c r="M263" s="18">
        <f t="shared" si="14"/>
        <v>-0.042207</v>
      </c>
    </row>
    <row r="264" spans="1:13">
      <c r="A264" t="s">
        <v>13</v>
      </c>
      <c r="B264" t="s">
        <v>538</v>
      </c>
      <c r="C264" t="s">
        <v>539</v>
      </c>
      <c r="D264">
        <v>1920209.0279</v>
      </c>
      <c r="E264">
        <v>1924109.0279</v>
      </c>
      <c r="F264">
        <v>1.3398</v>
      </c>
      <c r="G264">
        <v>-3900</v>
      </c>
      <c r="H264">
        <v>257.269606</v>
      </c>
      <c r="I264">
        <v>254.617348</v>
      </c>
      <c r="J264">
        <v>2.652258</v>
      </c>
      <c r="K264" s="4">
        <f t="shared" si="12"/>
        <v>0.0104166429382494</v>
      </c>
      <c r="L264" s="4">
        <f t="shared" si="13"/>
        <v>-0.00202691216737157</v>
      </c>
      <c r="M264" s="18">
        <f t="shared" si="14"/>
        <v>-0.522522</v>
      </c>
    </row>
    <row r="265" spans="1:13">
      <c r="A265" t="s">
        <v>13</v>
      </c>
      <c r="B265" t="s">
        <v>540</v>
      </c>
      <c r="C265" t="s">
        <v>541</v>
      </c>
      <c r="D265">
        <v>142718.0191</v>
      </c>
      <c r="E265">
        <v>145118.0191</v>
      </c>
      <c r="F265">
        <v>1.397</v>
      </c>
      <c r="G265">
        <v>-2400</v>
      </c>
      <c r="H265">
        <v>19.937707</v>
      </c>
      <c r="I265">
        <v>20.021933</v>
      </c>
      <c r="J265">
        <v>-0.084226</v>
      </c>
      <c r="K265" s="4">
        <f t="shared" si="12"/>
        <v>-0.00420668673698988</v>
      </c>
      <c r="L265" s="4">
        <f t="shared" si="13"/>
        <v>-0.016538263234879</v>
      </c>
      <c r="M265" s="18">
        <f t="shared" si="14"/>
        <v>-0.33528</v>
      </c>
    </row>
    <row r="266" spans="1:13">
      <c r="A266" t="s">
        <v>13</v>
      </c>
      <c r="B266" t="s">
        <v>542</v>
      </c>
      <c r="C266" t="s">
        <v>543</v>
      </c>
      <c r="D266">
        <v>518816.9924</v>
      </c>
      <c r="E266">
        <v>525216.9924</v>
      </c>
      <c r="F266">
        <v>1.487</v>
      </c>
      <c r="G266">
        <v>-6400</v>
      </c>
      <c r="H266">
        <v>77.148087</v>
      </c>
      <c r="I266">
        <v>76.865507</v>
      </c>
      <c r="J266">
        <v>0.28258</v>
      </c>
      <c r="K266" s="4">
        <f t="shared" si="12"/>
        <v>0.00367629136954759</v>
      </c>
      <c r="L266" s="4">
        <f t="shared" si="13"/>
        <v>-0.012185439718458</v>
      </c>
      <c r="M266" s="18">
        <f t="shared" si="14"/>
        <v>-0.95168</v>
      </c>
    </row>
    <row r="267" spans="1:13">
      <c r="A267" t="s">
        <v>13</v>
      </c>
      <c r="B267" t="s">
        <v>544</v>
      </c>
      <c r="C267" t="s">
        <v>545</v>
      </c>
      <c r="D267">
        <v>6116.2398</v>
      </c>
      <c r="E267">
        <v>6216.2398</v>
      </c>
      <c r="F267">
        <v>0.9659</v>
      </c>
      <c r="G267">
        <v>-100</v>
      </c>
      <c r="H267">
        <v>0.590768</v>
      </c>
      <c r="I267">
        <v>0.605089</v>
      </c>
      <c r="J267">
        <v>-0.014321</v>
      </c>
      <c r="K267" s="4">
        <f t="shared" si="12"/>
        <v>-0.023667592701239</v>
      </c>
      <c r="L267" s="4">
        <f t="shared" si="13"/>
        <v>-0.0160868954894565</v>
      </c>
      <c r="M267" s="18">
        <f t="shared" si="14"/>
        <v>-0.009659</v>
      </c>
    </row>
    <row r="268" spans="1:13">
      <c r="A268" t="s">
        <v>13</v>
      </c>
      <c r="B268" t="s">
        <v>546</v>
      </c>
      <c r="C268" t="s">
        <v>547</v>
      </c>
      <c r="D268">
        <v>22133.3072</v>
      </c>
      <c r="E268">
        <v>22133.3072</v>
      </c>
      <c r="F268">
        <v>1.1028</v>
      </c>
      <c r="G268">
        <v>0</v>
      </c>
      <c r="H268">
        <v>2.440861</v>
      </c>
      <c r="I268">
        <v>2.466757</v>
      </c>
      <c r="J268">
        <v>-0.025896</v>
      </c>
      <c r="K268" s="4">
        <f t="shared" si="12"/>
        <v>-0.0104979939248171</v>
      </c>
      <c r="L268" s="4">
        <f t="shared" si="13"/>
        <v>0</v>
      </c>
      <c r="M268" s="18">
        <f t="shared" si="14"/>
        <v>0</v>
      </c>
    </row>
    <row r="269" spans="1:13">
      <c r="A269" t="s">
        <v>13</v>
      </c>
      <c r="B269" t="s">
        <v>548</v>
      </c>
      <c r="C269" t="s">
        <v>549</v>
      </c>
      <c r="D269">
        <v>9407.9029</v>
      </c>
      <c r="E269">
        <v>9607.9029</v>
      </c>
      <c r="F269">
        <v>2.1178</v>
      </c>
      <c r="G269">
        <v>-200</v>
      </c>
      <c r="H269">
        <v>1.992406</v>
      </c>
      <c r="I269">
        <v>2.007091</v>
      </c>
      <c r="J269">
        <v>-0.014685</v>
      </c>
      <c r="K269" s="4">
        <f t="shared" si="12"/>
        <v>-0.00731655913957065</v>
      </c>
      <c r="L269" s="4">
        <f t="shared" si="13"/>
        <v>-0.0208161970496184</v>
      </c>
      <c r="M269" s="18">
        <f t="shared" si="14"/>
        <v>-0.042356</v>
      </c>
    </row>
    <row r="270" spans="1:13">
      <c r="A270" t="s">
        <v>13</v>
      </c>
      <c r="B270" t="s">
        <v>550</v>
      </c>
      <c r="C270" t="s">
        <v>551</v>
      </c>
      <c r="D270">
        <v>62728.9841</v>
      </c>
      <c r="E270">
        <v>62728.9841</v>
      </c>
      <c r="F270">
        <v>1.6741</v>
      </c>
      <c r="G270">
        <v>0</v>
      </c>
      <c r="H270">
        <v>10.501459</v>
      </c>
      <c r="I270">
        <v>10.529687</v>
      </c>
      <c r="J270">
        <v>-0.028228</v>
      </c>
      <c r="K270" s="4">
        <f t="shared" si="12"/>
        <v>-0.00268080143312902</v>
      </c>
      <c r="L270" s="4">
        <f t="shared" si="13"/>
        <v>0</v>
      </c>
      <c r="M270" s="18">
        <f t="shared" si="14"/>
        <v>0</v>
      </c>
    </row>
    <row r="271" spans="1:13">
      <c r="A271" t="s">
        <v>13</v>
      </c>
      <c r="B271" t="s">
        <v>552</v>
      </c>
      <c r="C271" t="s">
        <v>553</v>
      </c>
      <c r="D271">
        <v>28975.3492</v>
      </c>
      <c r="E271">
        <v>28575.3492</v>
      </c>
      <c r="F271">
        <v>1.7187</v>
      </c>
      <c r="G271">
        <v>400</v>
      </c>
      <c r="H271">
        <v>4.979993</v>
      </c>
      <c r="I271">
        <v>4.844093</v>
      </c>
      <c r="J271">
        <v>0.1359</v>
      </c>
      <c r="K271" s="4">
        <f t="shared" si="12"/>
        <v>0.0280547875525924</v>
      </c>
      <c r="L271" s="4">
        <f t="shared" si="13"/>
        <v>0.0139980791555821</v>
      </c>
      <c r="M271" s="18">
        <f t="shared" si="14"/>
        <v>0.068748</v>
      </c>
    </row>
    <row r="272" spans="1:13">
      <c r="A272" t="s">
        <v>13</v>
      </c>
      <c r="B272" t="s">
        <v>554</v>
      </c>
      <c r="C272" t="s">
        <v>555</v>
      </c>
      <c r="D272">
        <v>10931.6009</v>
      </c>
      <c r="E272">
        <v>10931.6009</v>
      </c>
      <c r="F272">
        <v>2.231</v>
      </c>
      <c r="G272">
        <v>0</v>
      </c>
      <c r="H272">
        <v>2.43884</v>
      </c>
      <c r="I272">
        <v>2.405608</v>
      </c>
      <c r="J272">
        <v>0.033232</v>
      </c>
      <c r="K272" s="4">
        <f t="shared" si="12"/>
        <v>0.013814387048929</v>
      </c>
      <c r="L272" s="4">
        <f t="shared" si="13"/>
        <v>0</v>
      </c>
      <c r="M272" s="18">
        <f t="shared" si="14"/>
        <v>0</v>
      </c>
    </row>
    <row r="273" spans="1:13">
      <c r="A273" t="s">
        <v>13</v>
      </c>
      <c r="B273" t="s">
        <v>556</v>
      </c>
      <c r="C273" t="s">
        <v>557</v>
      </c>
      <c r="D273">
        <v>14622.1172</v>
      </c>
      <c r="E273">
        <v>15022.1172</v>
      </c>
      <c r="F273">
        <v>2.1074</v>
      </c>
      <c r="G273">
        <v>-400</v>
      </c>
      <c r="H273">
        <v>3.081465</v>
      </c>
      <c r="I273">
        <v>3.122648</v>
      </c>
      <c r="J273">
        <v>-0.041183</v>
      </c>
      <c r="K273" s="4">
        <f t="shared" si="12"/>
        <v>-0.0131884861822402</v>
      </c>
      <c r="L273" s="4">
        <f t="shared" si="13"/>
        <v>-0.026627405090409</v>
      </c>
      <c r="M273" s="18">
        <f t="shared" si="14"/>
        <v>-0.084296</v>
      </c>
    </row>
    <row r="274" spans="1:13">
      <c r="A274" t="s">
        <v>13</v>
      </c>
      <c r="B274" t="s">
        <v>558</v>
      </c>
      <c r="C274" t="s">
        <v>559</v>
      </c>
      <c r="D274">
        <v>5045.1588</v>
      </c>
      <c r="E274">
        <v>5045.1588</v>
      </c>
      <c r="F274">
        <v>2.2482</v>
      </c>
      <c r="G274">
        <v>0</v>
      </c>
      <c r="H274">
        <v>1.134253</v>
      </c>
      <c r="I274">
        <v>1.118915</v>
      </c>
      <c r="J274">
        <v>0.015338</v>
      </c>
      <c r="K274" s="4">
        <f t="shared" si="12"/>
        <v>0.0137079224069746</v>
      </c>
      <c r="L274" s="4">
        <f t="shared" si="13"/>
        <v>0</v>
      </c>
      <c r="M274" s="18">
        <f t="shared" si="14"/>
        <v>0</v>
      </c>
    </row>
    <row r="275" spans="1:13">
      <c r="A275" t="s">
        <v>13</v>
      </c>
      <c r="B275" t="s">
        <v>560</v>
      </c>
      <c r="C275" t="s">
        <v>561</v>
      </c>
      <c r="D275">
        <v>12955.7494</v>
      </c>
      <c r="E275">
        <v>13455.7494</v>
      </c>
      <c r="F275">
        <v>2.1506</v>
      </c>
      <c r="G275">
        <v>-500</v>
      </c>
      <c r="H275">
        <v>2.786263</v>
      </c>
      <c r="I275">
        <v>2.854234</v>
      </c>
      <c r="J275">
        <v>-0.067971</v>
      </c>
      <c r="K275" s="4">
        <f t="shared" si="12"/>
        <v>-0.0238140951302521</v>
      </c>
      <c r="L275" s="4">
        <f t="shared" si="13"/>
        <v>-0.0371588370990322</v>
      </c>
      <c r="M275" s="18">
        <f t="shared" si="14"/>
        <v>-0.10753</v>
      </c>
    </row>
    <row r="276" spans="1:13">
      <c r="A276" t="s">
        <v>13</v>
      </c>
      <c r="B276" t="s">
        <v>562</v>
      </c>
      <c r="C276" t="s">
        <v>563</v>
      </c>
      <c r="D276">
        <v>10263.8135</v>
      </c>
      <c r="E276">
        <v>10463.8135</v>
      </c>
      <c r="F276">
        <v>2.2453</v>
      </c>
      <c r="G276">
        <v>-200</v>
      </c>
      <c r="H276">
        <v>2.304534</v>
      </c>
      <c r="I276">
        <v>2.317421</v>
      </c>
      <c r="J276">
        <v>-0.012887</v>
      </c>
      <c r="K276" s="4">
        <f t="shared" si="12"/>
        <v>-0.00556092311237363</v>
      </c>
      <c r="L276" s="4">
        <f t="shared" si="13"/>
        <v>-0.0191134905070699</v>
      </c>
      <c r="M276" s="18">
        <f t="shared" si="14"/>
        <v>-0.044906</v>
      </c>
    </row>
    <row r="277" spans="1:13">
      <c r="A277" t="s">
        <v>13</v>
      </c>
      <c r="B277" t="s">
        <v>564</v>
      </c>
      <c r="C277" t="s">
        <v>565</v>
      </c>
      <c r="D277">
        <v>6392.2317</v>
      </c>
      <c r="E277">
        <v>6392.2317</v>
      </c>
      <c r="F277">
        <v>1.4292</v>
      </c>
      <c r="G277">
        <v>0</v>
      </c>
      <c r="H277">
        <v>0.913578</v>
      </c>
      <c r="I277">
        <v>0.902327</v>
      </c>
      <c r="J277">
        <v>0.011251</v>
      </c>
      <c r="K277" s="4">
        <f t="shared" si="12"/>
        <v>0.0124688721494536</v>
      </c>
      <c r="L277" s="4">
        <f t="shared" si="13"/>
        <v>0</v>
      </c>
      <c r="M277" s="18">
        <f t="shared" si="14"/>
        <v>0</v>
      </c>
    </row>
    <row r="278" spans="1:13">
      <c r="A278" t="s">
        <v>13</v>
      </c>
      <c r="B278" t="s">
        <v>566</v>
      </c>
      <c r="C278" t="s">
        <v>567</v>
      </c>
      <c r="D278">
        <v>8812.9399</v>
      </c>
      <c r="E278">
        <v>8712.9399</v>
      </c>
      <c r="F278">
        <v>0.8787</v>
      </c>
      <c r="G278">
        <v>100</v>
      </c>
      <c r="H278">
        <v>0.774393</v>
      </c>
      <c r="I278">
        <v>0.773099</v>
      </c>
      <c r="J278">
        <v>0.001294</v>
      </c>
      <c r="K278" s="4">
        <f t="shared" si="12"/>
        <v>0.00167378304719059</v>
      </c>
      <c r="L278" s="4">
        <f t="shared" si="13"/>
        <v>0.011477182345766</v>
      </c>
      <c r="M278" s="18">
        <f t="shared" si="14"/>
        <v>0.008787</v>
      </c>
    </row>
    <row r="279" spans="1:13">
      <c r="A279" t="s">
        <v>13</v>
      </c>
      <c r="B279" t="s">
        <v>568</v>
      </c>
      <c r="C279" t="s">
        <v>569</v>
      </c>
      <c r="D279">
        <v>55477.1072</v>
      </c>
      <c r="E279">
        <v>55727.1072</v>
      </c>
      <c r="F279">
        <v>1.1813</v>
      </c>
      <c r="G279">
        <v>-250</v>
      </c>
      <c r="H279">
        <v>6.553511</v>
      </c>
      <c r="I279">
        <v>6.576913</v>
      </c>
      <c r="J279">
        <v>-0.023402</v>
      </c>
      <c r="K279" s="4">
        <f t="shared" si="12"/>
        <v>-0.00355820428216095</v>
      </c>
      <c r="L279" s="4">
        <f t="shared" si="13"/>
        <v>-0.00448614709359972</v>
      </c>
      <c r="M279" s="18">
        <f t="shared" si="14"/>
        <v>-0.0295325</v>
      </c>
    </row>
    <row r="280" spans="1:13">
      <c r="A280" t="s">
        <v>13</v>
      </c>
      <c r="B280" t="s">
        <v>570</v>
      </c>
      <c r="C280" t="s">
        <v>571</v>
      </c>
      <c r="D280">
        <v>15582.1471</v>
      </c>
      <c r="E280">
        <v>15582.1471</v>
      </c>
      <c r="F280">
        <v>1.4477</v>
      </c>
      <c r="G280">
        <v>0</v>
      </c>
      <c r="H280">
        <v>2.255827</v>
      </c>
      <c r="I280">
        <v>2.228091</v>
      </c>
      <c r="J280">
        <v>0.027736</v>
      </c>
      <c r="K280" s="4">
        <f t="shared" si="12"/>
        <v>0.0124483245971551</v>
      </c>
      <c r="L280" s="4">
        <f t="shared" si="13"/>
        <v>0</v>
      </c>
      <c r="M280" s="18">
        <f t="shared" si="14"/>
        <v>0</v>
      </c>
    </row>
    <row r="281" spans="1:13">
      <c r="A281" t="s">
        <v>13</v>
      </c>
      <c r="B281" t="s">
        <v>572</v>
      </c>
      <c r="C281" t="s">
        <v>573</v>
      </c>
      <c r="D281">
        <v>11280.4337</v>
      </c>
      <c r="E281">
        <v>11280.4337</v>
      </c>
      <c r="F281">
        <v>1.4532</v>
      </c>
      <c r="G281">
        <v>0</v>
      </c>
      <c r="H281">
        <v>1.639273</v>
      </c>
      <c r="I281">
        <v>1.619193</v>
      </c>
      <c r="J281">
        <v>0.02008</v>
      </c>
      <c r="K281" s="4">
        <f t="shared" si="12"/>
        <v>0.0124012393828284</v>
      </c>
      <c r="L281" s="4">
        <f t="shared" si="13"/>
        <v>0</v>
      </c>
      <c r="M281" s="18">
        <f t="shared" si="14"/>
        <v>0</v>
      </c>
    </row>
    <row r="282" spans="1:13">
      <c r="A282" t="s">
        <v>13</v>
      </c>
      <c r="B282" t="s">
        <v>574</v>
      </c>
      <c r="C282" t="s">
        <v>575</v>
      </c>
      <c r="D282">
        <v>155715.3206</v>
      </c>
      <c r="E282">
        <v>155515.3206</v>
      </c>
      <c r="F282">
        <v>1.4068</v>
      </c>
      <c r="G282">
        <v>200</v>
      </c>
      <c r="H282">
        <v>21.906031</v>
      </c>
      <c r="I282">
        <v>21.531096</v>
      </c>
      <c r="J282">
        <v>0.374935</v>
      </c>
      <c r="K282" s="4">
        <f t="shared" si="12"/>
        <v>0.0174136513998173</v>
      </c>
      <c r="L282" s="4">
        <f t="shared" si="13"/>
        <v>0.00128604692597727</v>
      </c>
      <c r="M282" s="18">
        <f t="shared" si="14"/>
        <v>0.028136</v>
      </c>
    </row>
    <row r="283" spans="1:13">
      <c r="A283" t="s">
        <v>13</v>
      </c>
      <c r="B283" t="s">
        <v>576</v>
      </c>
      <c r="C283" t="s">
        <v>577</v>
      </c>
      <c r="D283">
        <v>81305.5714</v>
      </c>
      <c r="E283">
        <v>82305.5714</v>
      </c>
      <c r="F283">
        <v>3.1697</v>
      </c>
      <c r="G283">
        <v>-1000</v>
      </c>
      <c r="H283">
        <v>25.771427</v>
      </c>
      <c r="I283">
        <v>25.671931</v>
      </c>
      <c r="J283">
        <v>0.099496</v>
      </c>
      <c r="K283" s="4">
        <f t="shared" si="12"/>
        <v>0.00387567261691378</v>
      </c>
      <c r="L283" s="4">
        <f t="shared" si="13"/>
        <v>-0.0121498457879608</v>
      </c>
      <c r="M283" s="18">
        <f t="shared" si="14"/>
        <v>-0.31697</v>
      </c>
    </row>
    <row r="284" spans="1:13">
      <c r="A284" t="s">
        <v>13</v>
      </c>
      <c r="B284" t="s">
        <v>578</v>
      </c>
      <c r="C284" t="s">
        <v>579</v>
      </c>
      <c r="D284">
        <v>3109.2486</v>
      </c>
      <c r="E284">
        <v>3109.2486</v>
      </c>
      <c r="F284">
        <v>2.0896</v>
      </c>
      <c r="G284">
        <v>0</v>
      </c>
      <c r="H284">
        <v>0.649709</v>
      </c>
      <c r="I284">
        <v>0.641469</v>
      </c>
      <c r="J284">
        <v>0.00824</v>
      </c>
      <c r="K284" s="4">
        <f t="shared" si="12"/>
        <v>0.0128455155276405</v>
      </c>
      <c r="L284" s="4">
        <f t="shared" si="13"/>
        <v>0</v>
      </c>
      <c r="M284" s="18">
        <f t="shared" si="14"/>
        <v>0</v>
      </c>
    </row>
    <row r="285" spans="1:13">
      <c r="A285" t="s">
        <v>13</v>
      </c>
      <c r="B285" t="s">
        <v>580</v>
      </c>
      <c r="C285" t="s">
        <v>581</v>
      </c>
      <c r="D285">
        <v>3700.2525</v>
      </c>
      <c r="E285">
        <v>3700.2525</v>
      </c>
      <c r="F285">
        <v>2.0401</v>
      </c>
      <c r="G285">
        <v>0</v>
      </c>
      <c r="H285">
        <v>0.754889</v>
      </c>
      <c r="I285">
        <v>0.727322</v>
      </c>
      <c r="J285">
        <v>0.027567</v>
      </c>
      <c r="K285" s="4">
        <f t="shared" si="12"/>
        <v>0.0379020571356291</v>
      </c>
      <c r="L285" s="4">
        <f t="shared" si="13"/>
        <v>0</v>
      </c>
      <c r="M285" s="18">
        <f t="shared" si="14"/>
        <v>0</v>
      </c>
    </row>
    <row r="286" spans="1:13">
      <c r="A286" t="s">
        <v>13</v>
      </c>
      <c r="B286" t="s">
        <v>582</v>
      </c>
      <c r="C286" t="s">
        <v>583</v>
      </c>
      <c r="D286">
        <v>5486.9559</v>
      </c>
      <c r="E286">
        <v>5486.9559</v>
      </c>
      <c r="F286">
        <v>1.3868</v>
      </c>
      <c r="G286">
        <v>0</v>
      </c>
      <c r="H286">
        <v>0.760931</v>
      </c>
      <c r="I286">
        <v>0.751548</v>
      </c>
      <c r="J286">
        <v>0.009383</v>
      </c>
      <c r="K286" s="4">
        <f t="shared" si="12"/>
        <v>0.01248489783753</v>
      </c>
      <c r="L286" s="4">
        <f t="shared" si="13"/>
        <v>0</v>
      </c>
      <c r="M286" s="18">
        <f t="shared" si="14"/>
        <v>0</v>
      </c>
    </row>
    <row r="287" spans="1:13">
      <c r="A287" t="s">
        <v>13</v>
      </c>
      <c r="B287" t="s">
        <v>584</v>
      </c>
      <c r="C287" t="s">
        <v>585</v>
      </c>
      <c r="D287">
        <v>155518.9648</v>
      </c>
      <c r="E287">
        <v>151318.9648</v>
      </c>
      <c r="F287">
        <v>0.9238</v>
      </c>
      <c r="G287">
        <v>4200</v>
      </c>
      <c r="H287">
        <v>14.366842</v>
      </c>
      <c r="I287">
        <v>14.016676</v>
      </c>
      <c r="J287">
        <v>0.350166</v>
      </c>
      <c r="K287" s="4">
        <f t="shared" si="12"/>
        <v>0.0249820998930132</v>
      </c>
      <c r="L287" s="4">
        <f t="shared" si="13"/>
        <v>0.0277559392872611</v>
      </c>
      <c r="M287" s="18">
        <f t="shared" si="14"/>
        <v>0.387996</v>
      </c>
    </row>
    <row r="288" spans="1:13">
      <c r="A288" t="s">
        <v>13</v>
      </c>
      <c r="B288" t="s">
        <v>586</v>
      </c>
      <c r="C288" t="s">
        <v>587</v>
      </c>
      <c r="D288">
        <v>83473.6984</v>
      </c>
      <c r="E288">
        <v>86273.6984</v>
      </c>
      <c r="F288">
        <v>1.2149</v>
      </c>
      <c r="G288">
        <v>-2800</v>
      </c>
      <c r="H288">
        <v>10.14122</v>
      </c>
      <c r="I288">
        <v>10.314883</v>
      </c>
      <c r="J288">
        <v>-0.173663</v>
      </c>
      <c r="K288" s="4">
        <f t="shared" si="12"/>
        <v>-0.016836158005864</v>
      </c>
      <c r="L288" s="4">
        <f t="shared" si="13"/>
        <v>-0.0324548506894657</v>
      </c>
      <c r="M288" s="18">
        <f t="shared" si="14"/>
        <v>-0.340172</v>
      </c>
    </row>
    <row r="289" spans="1:13">
      <c r="A289" t="s">
        <v>13</v>
      </c>
      <c r="B289" t="s">
        <v>588</v>
      </c>
      <c r="C289" t="s">
        <v>589</v>
      </c>
      <c r="D289">
        <v>8609.3364</v>
      </c>
      <c r="E289">
        <v>8409.3364</v>
      </c>
      <c r="F289">
        <v>2.0314</v>
      </c>
      <c r="G289">
        <v>200</v>
      </c>
      <c r="H289">
        <v>1.748901</v>
      </c>
      <c r="I289">
        <v>1.646969</v>
      </c>
      <c r="J289">
        <v>0.101932</v>
      </c>
      <c r="K289" s="4">
        <f t="shared" si="12"/>
        <v>0.0618906609656891</v>
      </c>
      <c r="L289" s="4">
        <f t="shared" si="13"/>
        <v>0.0237830894718399</v>
      </c>
      <c r="M289" s="18">
        <f t="shared" si="14"/>
        <v>0.040628</v>
      </c>
    </row>
    <row r="290" spans="1:13">
      <c r="A290" t="s">
        <v>13</v>
      </c>
      <c r="B290" t="s">
        <v>590</v>
      </c>
      <c r="C290" t="s">
        <v>591</v>
      </c>
      <c r="D290">
        <v>13476.8771</v>
      </c>
      <c r="E290">
        <v>13476.8771</v>
      </c>
      <c r="F290">
        <v>1.2632</v>
      </c>
      <c r="G290">
        <v>0</v>
      </c>
      <c r="H290">
        <v>1.702399</v>
      </c>
      <c r="I290">
        <v>1.698491</v>
      </c>
      <c r="J290">
        <v>0.003908</v>
      </c>
      <c r="K290" s="4">
        <f t="shared" si="12"/>
        <v>0.00230086588624844</v>
      </c>
      <c r="L290" s="4">
        <f t="shared" si="13"/>
        <v>0</v>
      </c>
      <c r="M290" s="18">
        <f t="shared" si="14"/>
        <v>0</v>
      </c>
    </row>
    <row r="291" spans="1:13">
      <c r="A291" t="s">
        <v>13</v>
      </c>
      <c r="B291" t="s">
        <v>592</v>
      </c>
      <c r="C291" t="s">
        <v>593</v>
      </c>
      <c r="D291">
        <v>9507.6398</v>
      </c>
      <c r="E291">
        <v>9607.6398</v>
      </c>
      <c r="F291">
        <v>1.0494</v>
      </c>
      <c r="G291">
        <v>-100</v>
      </c>
      <c r="H291">
        <v>0.997732</v>
      </c>
      <c r="I291">
        <v>1.013894</v>
      </c>
      <c r="J291">
        <v>-0.016162</v>
      </c>
      <c r="K291" s="4">
        <f t="shared" si="12"/>
        <v>-0.0159405223820242</v>
      </c>
      <c r="L291" s="4">
        <f t="shared" si="13"/>
        <v>-0.0104083835449368</v>
      </c>
      <c r="M291" s="18">
        <f t="shared" si="14"/>
        <v>-0.010494</v>
      </c>
    </row>
    <row r="292" spans="1:13">
      <c r="A292" t="s">
        <v>13</v>
      </c>
      <c r="B292" t="s">
        <v>594</v>
      </c>
      <c r="C292" t="s">
        <v>595</v>
      </c>
      <c r="D292">
        <v>18528.55</v>
      </c>
      <c r="E292">
        <v>18528.55</v>
      </c>
      <c r="F292">
        <v>1.0823</v>
      </c>
      <c r="G292">
        <v>0</v>
      </c>
      <c r="H292">
        <v>2.005345</v>
      </c>
      <c r="I292">
        <v>2.003307</v>
      </c>
      <c r="J292">
        <v>0.002038</v>
      </c>
      <c r="K292" s="4">
        <f t="shared" si="12"/>
        <v>0.00101731786491037</v>
      </c>
      <c r="L292" s="4">
        <f t="shared" si="13"/>
        <v>0</v>
      </c>
      <c r="M292" s="18">
        <f t="shared" si="14"/>
        <v>0</v>
      </c>
    </row>
    <row r="293" spans="1:13">
      <c r="A293" t="s">
        <v>13</v>
      </c>
      <c r="B293" t="s">
        <v>596</v>
      </c>
      <c r="C293" t="s">
        <v>597</v>
      </c>
      <c r="D293">
        <v>4114.6342</v>
      </c>
      <c r="E293">
        <v>4114.6342</v>
      </c>
      <c r="F293">
        <v>5.2182</v>
      </c>
      <c r="G293">
        <v>0</v>
      </c>
      <c r="H293">
        <v>2.147098</v>
      </c>
      <c r="I293">
        <v>2.126484</v>
      </c>
      <c r="J293">
        <v>0.020614</v>
      </c>
      <c r="K293" s="4">
        <f t="shared" si="12"/>
        <v>0.00969393609357042</v>
      </c>
      <c r="L293" s="4">
        <f t="shared" si="13"/>
        <v>0</v>
      </c>
      <c r="M293" s="18">
        <f t="shared" si="14"/>
        <v>0</v>
      </c>
    </row>
    <row r="294" spans="1:13">
      <c r="A294" t="s">
        <v>13</v>
      </c>
      <c r="B294" t="s">
        <v>598</v>
      </c>
      <c r="C294" t="s">
        <v>599</v>
      </c>
      <c r="D294">
        <v>12136.4202</v>
      </c>
      <c r="E294">
        <v>12136.4202</v>
      </c>
      <c r="F294">
        <v>102.9734</v>
      </c>
      <c r="G294">
        <v>0</v>
      </c>
      <c r="H294">
        <v>124.972845</v>
      </c>
      <c r="I294">
        <v>124.936557</v>
      </c>
      <c r="J294">
        <v>0.036288</v>
      </c>
      <c r="K294" s="4">
        <f t="shared" si="12"/>
        <v>0.000290451416873926</v>
      </c>
      <c r="L294" s="4">
        <f t="shared" si="13"/>
        <v>0</v>
      </c>
      <c r="M294" s="18">
        <f t="shared" si="14"/>
        <v>0</v>
      </c>
    </row>
    <row r="295" spans="1:13">
      <c r="A295" t="s">
        <v>13</v>
      </c>
      <c r="B295" t="s">
        <v>600</v>
      </c>
      <c r="C295" t="s">
        <v>601</v>
      </c>
      <c r="D295">
        <v>9627.3129</v>
      </c>
      <c r="E295">
        <v>9627.3129</v>
      </c>
      <c r="F295">
        <v>102.89</v>
      </c>
      <c r="G295">
        <v>0</v>
      </c>
      <c r="H295">
        <v>99.055422</v>
      </c>
      <c r="I295">
        <v>99.033857</v>
      </c>
      <c r="J295">
        <v>0.021565</v>
      </c>
      <c r="K295" s="4">
        <f t="shared" si="12"/>
        <v>0.000217753813223694</v>
      </c>
      <c r="L295" s="4">
        <f t="shared" si="13"/>
        <v>0</v>
      </c>
      <c r="M295" s="18">
        <f t="shared" si="14"/>
        <v>0</v>
      </c>
    </row>
    <row r="296" spans="1:13">
      <c r="A296" t="s">
        <v>13</v>
      </c>
      <c r="B296" t="s">
        <v>602</v>
      </c>
      <c r="C296" t="s">
        <v>603</v>
      </c>
      <c r="D296">
        <v>13697.7657</v>
      </c>
      <c r="E296">
        <v>13427.7657</v>
      </c>
      <c r="F296">
        <v>102.7303</v>
      </c>
      <c r="G296">
        <v>270</v>
      </c>
      <c r="H296">
        <v>140.717558</v>
      </c>
      <c r="I296">
        <v>137.920341</v>
      </c>
      <c r="J296">
        <v>2.797217</v>
      </c>
      <c r="K296" s="4">
        <f t="shared" si="12"/>
        <v>0.0202813956209694</v>
      </c>
      <c r="L296" s="4">
        <f t="shared" si="13"/>
        <v>0.0201075894554818</v>
      </c>
      <c r="M296" s="18">
        <f t="shared" si="14"/>
        <v>2.7737181</v>
      </c>
    </row>
    <row r="297" spans="1:13">
      <c r="A297" t="s">
        <v>13</v>
      </c>
      <c r="B297" t="s">
        <v>604</v>
      </c>
      <c r="C297" t="s">
        <v>605</v>
      </c>
      <c r="D297">
        <v>9233.231</v>
      </c>
      <c r="E297">
        <v>9173.231</v>
      </c>
      <c r="F297">
        <v>102.114</v>
      </c>
      <c r="G297">
        <v>60</v>
      </c>
      <c r="H297">
        <v>94.284215</v>
      </c>
      <c r="I297">
        <v>93.653093</v>
      </c>
      <c r="J297">
        <v>0.631122</v>
      </c>
      <c r="K297" s="4">
        <f t="shared" si="12"/>
        <v>0.00673893386521682</v>
      </c>
      <c r="L297" s="4">
        <f t="shared" si="13"/>
        <v>0.00654077064013759</v>
      </c>
      <c r="M297" s="18">
        <f t="shared" si="14"/>
        <v>0.612684</v>
      </c>
    </row>
    <row r="298" spans="1:13">
      <c r="A298" t="s">
        <v>13</v>
      </c>
      <c r="B298" t="s">
        <v>606</v>
      </c>
      <c r="C298" t="s">
        <v>607</v>
      </c>
      <c r="D298">
        <v>443319.4835</v>
      </c>
      <c r="E298">
        <v>449319.4835</v>
      </c>
      <c r="F298">
        <v>0.9836</v>
      </c>
      <c r="G298">
        <v>-6000</v>
      </c>
      <c r="H298">
        <v>43.604904</v>
      </c>
      <c r="I298">
        <v>44.54104</v>
      </c>
      <c r="J298">
        <v>-0.936136</v>
      </c>
      <c r="K298" s="4">
        <f t="shared" si="12"/>
        <v>-0.021017380824516</v>
      </c>
      <c r="L298" s="4">
        <f t="shared" si="13"/>
        <v>-0.0133535273237267</v>
      </c>
      <c r="M298" s="18">
        <f t="shared" si="14"/>
        <v>-0.59016</v>
      </c>
    </row>
    <row r="299" spans="1:13">
      <c r="A299" t="s">
        <v>13</v>
      </c>
      <c r="B299" t="s">
        <v>608</v>
      </c>
      <c r="C299" t="s">
        <v>609</v>
      </c>
      <c r="D299">
        <v>6885.7356</v>
      </c>
      <c r="E299">
        <v>6885.7356</v>
      </c>
      <c r="F299">
        <v>100.8084</v>
      </c>
      <c r="G299">
        <v>0</v>
      </c>
      <c r="H299">
        <v>69.413999</v>
      </c>
      <c r="I299">
        <v>69.405874</v>
      </c>
      <c r="J299">
        <v>0.008125</v>
      </c>
      <c r="K299" s="4">
        <f t="shared" si="12"/>
        <v>0.000117065019597621</v>
      </c>
      <c r="L299" s="4">
        <f t="shared" si="13"/>
        <v>0</v>
      </c>
      <c r="M299" s="18">
        <f t="shared" si="14"/>
        <v>0</v>
      </c>
    </row>
    <row r="300" spans="1:13">
      <c r="A300" t="s">
        <v>13</v>
      </c>
      <c r="B300" t="s">
        <v>610</v>
      </c>
      <c r="C300" t="s">
        <v>611</v>
      </c>
      <c r="D300">
        <v>13773.8865</v>
      </c>
      <c r="E300">
        <v>14053.8865</v>
      </c>
      <c r="F300">
        <v>1.2804</v>
      </c>
      <c r="G300">
        <v>-280</v>
      </c>
      <c r="H300">
        <v>1.763608</v>
      </c>
      <c r="I300">
        <v>1.774022</v>
      </c>
      <c r="J300">
        <v>-0.010414</v>
      </c>
      <c r="K300" s="4">
        <f t="shared" si="12"/>
        <v>-0.00587027669329918</v>
      </c>
      <c r="L300" s="4">
        <f t="shared" si="13"/>
        <v>-0.0199233144511307</v>
      </c>
      <c r="M300" s="18">
        <f t="shared" si="14"/>
        <v>-0.0358512</v>
      </c>
    </row>
    <row r="301" spans="1:13">
      <c r="A301" t="s">
        <v>13</v>
      </c>
      <c r="B301" t="s">
        <v>612</v>
      </c>
      <c r="C301" t="s">
        <v>613</v>
      </c>
      <c r="D301">
        <v>635498.6575</v>
      </c>
      <c r="E301">
        <v>634498.6575</v>
      </c>
      <c r="F301">
        <v>1.9127</v>
      </c>
      <c r="G301">
        <v>1000</v>
      </c>
      <c r="H301">
        <v>121.551828</v>
      </c>
      <c r="I301">
        <v>123.644753</v>
      </c>
      <c r="J301">
        <v>-2.092925</v>
      </c>
      <c r="K301" s="4">
        <f t="shared" si="12"/>
        <v>-0.0169269212742089</v>
      </c>
      <c r="L301" s="4">
        <f t="shared" si="13"/>
        <v>0.00157604746389869</v>
      </c>
      <c r="M301" s="18">
        <f t="shared" si="14"/>
        <v>0.19127</v>
      </c>
    </row>
    <row r="302" spans="1:13">
      <c r="A302" t="s">
        <v>13</v>
      </c>
      <c r="B302" t="s">
        <v>614</v>
      </c>
      <c r="C302" t="s">
        <v>615</v>
      </c>
      <c r="D302">
        <v>111432.3019</v>
      </c>
      <c r="E302">
        <v>114432.3019</v>
      </c>
      <c r="F302">
        <v>1.3614</v>
      </c>
      <c r="G302">
        <v>-3000</v>
      </c>
      <c r="H302">
        <v>15.170394</v>
      </c>
      <c r="I302">
        <v>15.69439</v>
      </c>
      <c r="J302">
        <v>-0.523996</v>
      </c>
      <c r="K302" s="4">
        <f t="shared" si="12"/>
        <v>-0.0333874715742377</v>
      </c>
      <c r="L302" s="4">
        <f t="shared" si="13"/>
        <v>-0.0262163737877233</v>
      </c>
      <c r="M302" s="18">
        <f t="shared" si="14"/>
        <v>-0.40842</v>
      </c>
    </row>
    <row r="303" spans="1:13">
      <c r="A303" t="s">
        <v>13</v>
      </c>
      <c r="B303" t="s">
        <v>616</v>
      </c>
      <c r="C303" t="s">
        <v>617</v>
      </c>
      <c r="D303">
        <v>1410.4786</v>
      </c>
      <c r="E303">
        <v>1410.4786</v>
      </c>
      <c r="F303">
        <v>1.8068</v>
      </c>
      <c r="G303">
        <v>0</v>
      </c>
      <c r="H303">
        <v>0.254845</v>
      </c>
      <c r="I303">
        <v>0.2539</v>
      </c>
      <c r="J303">
        <v>0.000945</v>
      </c>
      <c r="K303" s="4">
        <f t="shared" si="12"/>
        <v>0.0037219377707759</v>
      </c>
      <c r="L303" s="4">
        <f t="shared" si="13"/>
        <v>0</v>
      </c>
      <c r="M303" s="18">
        <f t="shared" si="14"/>
        <v>0</v>
      </c>
    </row>
    <row r="304" spans="1:13">
      <c r="A304" t="s">
        <v>13</v>
      </c>
      <c r="B304" t="s">
        <v>618</v>
      </c>
      <c r="C304" t="s">
        <v>619</v>
      </c>
      <c r="D304">
        <v>218253.6979</v>
      </c>
      <c r="E304">
        <v>218253.6979</v>
      </c>
      <c r="F304">
        <v>1.0441</v>
      </c>
      <c r="G304">
        <v>0</v>
      </c>
      <c r="H304">
        <v>22.787869</v>
      </c>
      <c r="I304">
        <v>23.091241</v>
      </c>
      <c r="J304">
        <v>-0.303372</v>
      </c>
      <c r="K304" s="4">
        <f t="shared" si="12"/>
        <v>-0.0131379686349469</v>
      </c>
      <c r="L304" s="4">
        <f t="shared" si="13"/>
        <v>0</v>
      </c>
      <c r="M304" s="18">
        <f t="shared" si="14"/>
        <v>0</v>
      </c>
    </row>
    <row r="305" spans="1:13">
      <c r="A305" t="s">
        <v>13</v>
      </c>
      <c r="B305" t="s">
        <v>620</v>
      </c>
      <c r="C305" t="s">
        <v>621</v>
      </c>
      <c r="D305">
        <v>63283.0902</v>
      </c>
      <c r="E305">
        <v>63583.0902</v>
      </c>
      <c r="F305">
        <v>1.1023</v>
      </c>
      <c r="G305">
        <v>-300</v>
      </c>
      <c r="H305">
        <v>6.975695</v>
      </c>
      <c r="I305">
        <v>6.915933</v>
      </c>
      <c r="J305">
        <v>0.059762</v>
      </c>
      <c r="K305" s="4">
        <f t="shared" si="12"/>
        <v>0.00864120574910139</v>
      </c>
      <c r="L305" s="4">
        <f t="shared" si="13"/>
        <v>-0.00471823560409462</v>
      </c>
      <c r="M305" s="18">
        <f t="shared" si="14"/>
        <v>-0.033069</v>
      </c>
    </row>
    <row r="306" spans="1:13">
      <c r="A306" t="s">
        <v>13</v>
      </c>
      <c r="B306" t="s">
        <v>622</v>
      </c>
      <c r="C306" t="s">
        <v>623</v>
      </c>
      <c r="D306">
        <v>7303.1598</v>
      </c>
      <c r="E306">
        <v>7363.1598</v>
      </c>
      <c r="F306">
        <v>0.6693</v>
      </c>
      <c r="G306">
        <v>-60</v>
      </c>
      <c r="H306">
        <v>0.4888</v>
      </c>
      <c r="I306">
        <v>0.495172</v>
      </c>
      <c r="J306">
        <v>-0.006372</v>
      </c>
      <c r="K306" s="4">
        <f t="shared" si="12"/>
        <v>-0.0128682558787654</v>
      </c>
      <c r="L306" s="4">
        <f t="shared" si="13"/>
        <v>-0.00814867551835558</v>
      </c>
      <c r="M306" s="18">
        <f t="shared" si="14"/>
        <v>-0.0040158</v>
      </c>
    </row>
    <row r="307" spans="1:13">
      <c r="A307" t="s">
        <v>13</v>
      </c>
      <c r="B307" t="s">
        <v>624</v>
      </c>
      <c r="C307" t="s">
        <v>625</v>
      </c>
      <c r="D307">
        <v>662156.4118</v>
      </c>
      <c r="E307">
        <v>662156.4118</v>
      </c>
      <c r="F307">
        <v>2.2614</v>
      </c>
      <c r="G307">
        <v>0</v>
      </c>
      <c r="H307">
        <v>149.740051</v>
      </c>
      <c r="I307">
        <v>153.289209</v>
      </c>
      <c r="J307">
        <v>-3.549158</v>
      </c>
      <c r="K307" s="4">
        <f t="shared" si="12"/>
        <v>-0.0231533453864975</v>
      </c>
      <c r="L307" s="4">
        <f t="shared" si="13"/>
        <v>0</v>
      </c>
      <c r="M307" s="18">
        <f t="shared" si="14"/>
        <v>0</v>
      </c>
    </row>
    <row r="308" spans="1:13">
      <c r="A308" t="s">
        <v>13</v>
      </c>
      <c r="B308" t="s">
        <v>626</v>
      </c>
      <c r="C308" t="s">
        <v>627</v>
      </c>
      <c r="D308">
        <v>6112.8342</v>
      </c>
      <c r="E308">
        <v>6112.8342</v>
      </c>
      <c r="F308">
        <v>1.2251</v>
      </c>
      <c r="G308">
        <v>0</v>
      </c>
      <c r="H308">
        <v>0.748883</v>
      </c>
      <c r="I308">
        <v>0.749678</v>
      </c>
      <c r="J308">
        <v>-0.000795</v>
      </c>
      <c r="K308" s="4">
        <f t="shared" si="12"/>
        <v>-0.00106045528880399</v>
      </c>
      <c r="L308" s="4">
        <f t="shared" si="13"/>
        <v>0</v>
      </c>
      <c r="M308" s="18">
        <f t="shared" si="14"/>
        <v>0</v>
      </c>
    </row>
    <row r="309" spans="1:13">
      <c r="A309" t="s">
        <v>13</v>
      </c>
      <c r="B309" t="s">
        <v>628</v>
      </c>
      <c r="C309" t="s">
        <v>629</v>
      </c>
      <c r="D309">
        <v>13244.4573</v>
      </c>
      <c r="E309">
        <v>13294.4573</v>
      </c>
      <c r="F309">
        <v>2.8055</v>
      </c>
      <c r="G309">
        <v>-50</v>
      </c>
      <c r="H309">
        <v>3.715732</v>
      </c>
      <c r="I309">
        <v>3.700379</v>
      </c>
      <c r="J309">
        <v>0.015353</v>
      </c>
      <c r="K309" s="4">
        <f t="shared" si="12"/>
        <v>0.00414903446376709</v>
      </c>
      <c r="L309" s="4">
        <f t="shared" si="13"/>
        <v>-0.00376096585755328</v>
      </c>
      <c r="M309" s="18">
        <f t="shared" si="14"/>
        <v>-0.0140275</v>
      </c>
    </row>
    <row r="310" spans="1:13">
      <c r="A310" t="s">
        <v>13</v>
      </c>
      <c r="B310" t="s">
        <v>630</v>
      </c>
      <c r="C310" t="s">
        <v>631</v>
      </c>
      <c r="D310">
        <v>4926.4855</v>
      </c>
      <c r="E310">
        <v>4926.4855</v>
      </c>
      <c r="F310">
        <v>1.1229</v>
      </c>
      <c r="G310">
        <v>0</v>
      </c>
      <c r="H310">
        <v>0.553195</v>
      </c>
      <c r="I310">
        <v>0.562408</v>
      </c>
      <c r="J310">
        <v>-0.009213</v>
      </c>
      <c r="K310" s="4">
        <f t="shared" si="12"/>
        <v>-0.0163813459268005</v>
      </c>
      <c r="L310" s="4">
        <f t="shared" si="13"/>
        <v>0</v>
      </c>
      <c r="M310" s="18">
        <f t="shared" si="14"/>
        <v>0</v>
      </c>
    </row>
    <row r="311" spans="1:13">
      <c r="A311" t="s">
        <v>13</v>
      </c>
      <c r="B311" t="s">
        <v>632</v>
      </c>
      <c r="C311" t="s">
        <v>633</v>
      </c>
      <c r="D311">
        <v>425554.91</v>
      </c>
      <c r="E311">
        <v>424954.91</v>
      </c>
      <c r="F311">
        <v>1.7003</v>
      </c>
      <c r="G311">
        <v>600</v>
      </c>
      <c r="H311">
        <v>72.357101</v>
      </c>
      <c r="I311">
        <v>73.636187</v>
      </c>
      <c r="J311">
        <v>-1.279086</v>
      </c>
      <c r="K311" s="4">
        <f t="shared" si="12"/>
        <v>-0.0173703453710877</v>
      </c>
      <c r="L311" s="4">
        <f t="shared" si="13"/>
        <v>0.0014119145017056</v>
      </c>
      <c r="M311" s="18">
        <f t="shared" si="14"/>
        <v>0.102018</v>
      </c>
    </row>
    <row r="312" spans="1:13">
      <c r="A312" t="s">
        <v>13</v>
      </c>
      <c r="B312" t="s">
        <v>634</v>
      </c>
      <c r="C312" t="s">
        <v>635</v>
      </c>
      <c r="D312">
        <v>3698.6631</v>
      </c>
      <c r="E312">
        <v>3668.6631</v>
      </c>
      <c r="F312">
        <v>1.1401</v>
      </c>
      <c r="G312">
        <v>30</v>
      </c>
      <c r="H312">
        <v>0.421685</v>
      </c>
      <c r="I312">
        <v>0.422373</v>
      </c>
      <c r="J312">
        <v>-0.000688</v>
      </c>
      <c r="K312" s="4">
        <f t="shared" si="12"/>
        <v>-0.00162889199830482</v>
      </c>
      <c r="L312" s="4">
        <f t="shared" si="13"/>
        <v>0.00817736575484405</v>
      </c>
      <c r="M312" s="18">
        <f t="shared" si="14"/>
        <v>0.0034203</v>
      </c>
    </row>
    <row r="313" spans="1:13">
      <c r="A313" t="s">
        <v>13</v>
      </c>
      <c r="B313" t="s">
        <v>636</v>
      </c>
      <c r="C313" t="s">
        <v>637</v>
      </c>
      <c r="D313">
        <v>1880117.9986</v>
      </c>
      <c r="E313">
        <v>1764517.9986</v>
      </c>
      <c r="F313">
        <v>1.4947</v>
      </c>
      <c r="G313">
        <v>115600</v>
      </c>
      <c r="H313">
        <v>281.021237</v>
      </c>
      <c r="I313">
        <v>245.673841</v>
      </c>
      <c r="J313">
        <v>35.347396</v>
      </c>
      <c r="K313" s="4">
        <f t="shared" si="12"/>
        <v>0.143879364022318</v>
      </c>
      <c r="L313" s="4">
        <f t="shared" si="13"/>
        <v>0.0655136417376978</v>
      </c>
      <c r="M313" s="18">
        <f t="shared" si="14"/>
        <v>17.278732</v>
      </c>
    </row>
    <row r="314" spans="1:13">
      <c r="A314" t="s">
        <v>13</v>
      </c>
      <c r="B314" t="s">
        <v>638</v>
      </c>
      <c r="C314" t="s">
        <v>639</v>
      </c>
      <c r="D314">
        <v>874.2624</v>
      </c>
      <c r="E314">
        <v>874.2624</v>
      </c>
      <c r="F314">
        <v>1.4424</v>
      </c>
      <c r="G314">
        <v>0</v>
      </c>
      <c r="H314">
        <v>0.126104</v>
      </c>
      <c r="I314">
        <v>0.124469</v>
      </c>
      <c r="J314">
        <v>0.001635</v>
      </c>
      <c r="K314" s="4">
        <f t="shared" si="12"/>
        <v>0.0131358008821474</v>
      </c>
      <c r="L314" s="4">
        <f t="shared" si="13"/>
        <v>0</v>
      </c>
      <c r="M314" s="18">
        <f t="shared" si="14"/>
        <v>0</v>
      </c>
    </row>
    <row r="315" spans="1:13">
      <c r="A315" t="s">
        <v>13</v>
      </c>
      <c r="B315" t="s">
        <v>640</v>
      </c>
      <c r="C315" t="s">
        <v>641</v>
      </c>
      <c r="D315">
        <v>203132.5369</v>
      </c>
      <c r="E315">
        <v>204732.5369</v>
      </c>
      <c r="F315">
        <v>1.062</v>
      </c>
      <c r="G315">
        <v>-1600</v>
      </c>
      <c r="H315">
        <v>21.572675</v>
      </c>
      <c r="I315">
        <v>21.904334</v>
      </c>
      <c r="J315">
        <v>-0.331659</v>
      </c>
      <c r="K315" s="4">
        <f t="shared" si="12"/>
        <v>-0.0151412501288558</v>
      </c>
      <c r="L315" s="4">
        <f t="shared" si="13"/>
        <v>-0.00781507436105042</v>
      </c>
      <c r="M315" s="18">
        <f t="shared" si="14"/>
        <v>-0.16992</v>
      </c>
    </row>
    <row r="316" spans="1:13">
      <c r="A316" t="s">
        <v>13</v>
      </c>
      <c r="B316" t="s">
        <v>642</v>
      </c>
      <c r="C316" t="s">
        <v>643</v>
      </c>
      <c r="D316">
        <v>6815.7854</v>
      </c>
      <c r="E316">
        <v>6815.7854</v>
      </c>
      <c r="F316">
        <v>1.7582</v>
      </c>
      <c r="G316">
        <v>0</v>
      </c>
      <c r="H316">
        <v>1.198351</v>
      </c>
      <c r="I316">
        <v>1.213619</v>
      </c>
      <c r="J316">
        <v>-0.015268</v>
      </c>
      <c r="K316" s="4">
        <f t="shared" si="12"/>
        <v>-0.0125805545232894</v>
      </c>
      <c r="L316" s="4">
        <f t="shared" si="13"/>
        <v>0</v>
      </c>
      <c r="M316" s="18">
        <f t="shared" si="14"/>
        <v>0</v>
      </c>
    </row>
    <row r="317" spans="1:13">
      <c r="A317" t="s">
        <v>13</v>
      </c>
      <c r="B317" t="s">
        <v>644</v>
      </c>
      <c r="C317" t="s">
        <v>645</v>
      </c>
      <c r="D317">
        <v>15917.7649</v>
      </c>
      <c r="E317">
        <v>15917.7649</v>
      </c>
      <c r="F317">
        <v>0.8792</v>
      </c>
      <c r="G317">
        <v>0</v>
      </c>
      <c r="H317">
        <v>1.39949</v>
      </c>
      <c r="I317">
        <v>1.411747</v>
      </c>
      <c r="J317">
        <v>-0.012257</v>
      </c>
      <c r="K317" s="4">
        <f t="shared" si="12"/>
        <v>-0.00868215055530488</v>
      </c>
      <c r="L317" s="4">
        <f t="shared" si="13"/>
        <v>0</v>
      </c>
      <c r="M317" s="18">
        <f t="shared" si="14"/>
        <v>0</v>
      </c>
    </row>
    <row r="318" spans="1:13">
      <c r="A318" t="s">
        <v>13</v>
      </c>
      <c r="B318" t="s">
        <v>646</v>
      </c>
      <c r="C318" t="s">
        <v>647</v>
      </c>
      <c r="D318">
        <v>1527.4435</v>
      </c>
      <c r="E318">
        <v>1827.4435</v>
      </c>
      <c r="F318">
        <v>1.3818</v>
      </c>
      <c r="G318">
        <v>-300</v>
      </c>
      <c r="H318">
        <v>0.211062</v>
      </c>
      <c r="I318">
        <v>0.25131</v>
      </c>
      <c r="J318">
        <v>-0.040248</v>
      </c>
      <c r="K318" s="4">
        <f t="shared" si="12"/>
        <v>-0.160152799331503</v>
      </c>
      <c r="L318" s="4">
        <f t="shared" si="13"/>
        <v>-0.164163762108103</v>
      </c>
      <c r="M318" s="18">
        <f t="shared" si="14"/>
        <v>-0.041454</v>
      </c>
    </row>
    <row r="319" spans="1:13">
      <c r="A319" t="s">
        <v>13</v>
      </c>
      <c r="B319" t="s">
        <v>648</v>
      </c>
      <c r="C319" t="s">
        <v>649</v>
      </c>
      <c r="D319">
        <v>6651.7348</v>
      </c>
      <c r="E319">
        <v>6651.7348</v>
      </c>
      <c r="F319">
        <v>1.3474</v>
      </c>
      <c r="G319">
        <v>0</v>
      </c>
      <c r="H319">
        <v>0.896255</v>
      </c>
      <c r="I319">
        <v>0.882486</v>
      </c>
      <c r="J319">
        <v>0.013769</v>
      </c>
      <c r="K319" s="4">
        <f t="shared" si="12"/>
        <v>0.0156025138075845</v>
      </c>
      <c r="L319" s="4">
        <f t="shared" si="13"/>
        <v>0</v>
      </c>
      <c r="M319" s="18">
        <f t="shared" si="14"/>
        <v>0</v>
      </c>
    </row>
    <row r="320" spans="1:13">
      <c r="A320" t="s">
        <v>13</v>
      </c>
      <c r="B320" t="s">
        <v>650</v>
      </c>
      <c r="C320" t="s">
        <v>651</v>
      </c>
      <c r="D320">
        <v>43974.3741</v>
      </c>
      <c r="E320">
        <v>43374.3741</v>
      </c>
      <c r="F320">
        <v>1.0622</v>
      </c>
      <c r="G320">
        <v>600</v>
      </c>
      <c r="H320">
        <v>4.670958</v>
      </c>
      <c r="I320">
        <v>4.629781</v>
      </c>
      <c r="J320">
        <v>0.041177</v>
      </c>
      <c r="K320" s="4">
        <f t="shared" si="12"/>
        <v>0.0088939412036984</v>
      </c>
      <c r="L320" s="4">
        <f t="shared" si="13"/>
        <v>0.0138330526364875</v>
      </c>
      <c r="M320" s="18">
        <f t="shared" si="14"/>
        <v>0.063732</v>
      </c>
    </row>
    <row r="321" spans="1:13">
      <c r="A321" t="s">
        <v>13</v>
      </c>
      <c r="B321" t="s">
        <v>652</v>
      </c>
      <c r="C321" t="s">
        <v>653</v>
      </c>
      <c r="D321">
        <v>57696.2964</v>
      </c>
      <c r="E321">
        <v>59046.2964</v>
      </c>
      <c r="F321">
        <v>1.6767</v>
      </c>
      <c r="G321">
        <v>-1350</v>
      </c>
      <c r="H321">
        <v>9.673938</v>
      </c>
      <c r="I321">
        <v>9.886121</v>
      </c>
      <c r="J321">
        <v>-0.212183</v>
      </c>
      <c r="K321" s="4">
        <f t="shared" si="12"/>
        <v>-0.021462715255053</v>
      </c>
      <c r="L321" s="4">
        <f t="shared" si="13"/>
        <v>-0.0228634153589352</v>
      </c>
      <c r="M321" s="18">
        <f t="shared" si="14"/>
        <v>-0.2263545</v>
      </c>
    </row>
    <row r="322" spans="1:13">
      <c r="A322" t="s">
        <v>13</v>
      </c>
      <c r="B322" t="s">
        <v>654</v>
      </c>
      <c r="C322" t="s">
        <v>655</v>
      </c>
      <c r="D322">
        <v>13610.045</v>
      </c>
      <c r="E322">
        <v>13610.045</v>
      </c>
      <c r="F322">
        <v>2.1682</v>
      </c>
      <c r="G322">
        <v>0</v>
      </c>
      <c r="H322">
        <v>2.95093</v>
      </c>
      <c r="I322">
        <v>2.924118</v>
      </c>
      <c r="J322">
        <v>0.026812</v>
      </c>
      <c r="K322" s="4">
        <f t="shared" ref="K322:K385" si="15">IFERROR(J322/I322,"")</f>
        <v>0.00916926061123388</v>
      </c>
      <c r="L322" s="4">
        <f t="shared" ref="L322:L385" si="16">IFERROR((D322-E322)/E322,"")</f>
        <v>0</v>
      </c>
      <c r="M322" s="18">
        <f t="shared" ref="M322:M385" si="17">IFERROR(F322*G322/10000,"")</f>
        <v>0</v>
      </c>
    </row>
    <row r="323" spans="1:13">
      <c r="A323" t="s">
        <v>13</v>
      </c>
      <c r="B323" t="s">
        <v>656</v>
      </c>
      <c r="C323" t="s">
        <v>657</v>
      </c>
      <c r="D323">
        <v>932.0773</v>
      </c>
      <c r="E323">
        <v>932.0773</v>
      </c>
      <c r="F323">
        <v>1.2813</v>
      </c>
      <c r="G323">
        <v>0</v>
      </c>
      <c r="H323">
        <v>0.119427</v>
      </c>
      <c r="I323">
        <v>0.117637</v>
      </c>
      <c r="J323">
        <v>0.00179</v>
      </c>
      <c r="K323" s="4">
        <f t="shared" si="15"/>
        <v>0.015216300993735</v>
      </c>
      <c r="L323" s="4">
        <f t="shared" si="16"/>
        <v>0</v>
      </c>
      <c r="M323" s="18">
        <f t="shared" si="17"/>
        <v>0</v>
      </c>
    </row>
    <row r="324" spans="1:13">
      <c r="A324" t="s">
        <v>13</v>
      </c>
      <c r="B324" t="s">
        <v>658</v>
      </c>
      <c r="C324" t="s">
        <v>659</v>
      </c>
      <c r="D324">
        <v>81153.6791</v>
      </c>
      <c r="E324">
        <v>81153.6791</v>
      </c>
      <c r="F324">
        <v>1.3055</v>
      </c>
      <c r="G324">
        <v>0</v>
      </c>
      <c r="H324">
        <v>10.594613</v>
      </c>
      <c r="I324">
        <v>10.579194</v>
      </c>
      <c r="J324">
        <v>0.015419</v>
      </c>
      <c r="K324" s="4">
        <f t="shared" si="15"/>
        <v>0.00145748343399318</v>
      </c>
      <c r="L324" s="4">
        <f t="shared" si="16"/>
        <v>0</v>
      </c>
      <c r="M324" s="18">
        <f t="shared" si="17"/>
        <v>0</v>
      </c>
    </row>
    <row r="325" spans="1:13">
      <c r="A325" t="s">
        <v>13</v>
      </c>
      <c r="B325" t="s">
        <v>660</v>
      </c>
      <c r="C325" t="s">
        <v>661</v>
      </c>
      <c r="D325">
        <v>1030361.3169</v>
      </c>
      <c r="E325">
        <v>1037361.3169</v>
      </c>
      <c r="F325">
        <v>1.5937</v>
      </c>
      <c r="G325">
        <v>-7000</v>
      </c>
      <c r="H325">
        <v>164.208683</v>
      </c>
      <c r="I325">
        <v>166.672843</v>
      </c>
      <c r="J325">
        <v>-2.46416</v>
      </c>
      <c r="K325" s="4">
        <f t="shared" si="15"/>
        <v>-0.0147844121192557</v>
      </c>
      <c r="L325" s="4">
        <f t="shared" si="16"/>
        <v>-0.00674788994534562</v>
      </c>
      <c r="M325" s="18">
        <f t="shared" si="17"/>
        <v>-1.11559</v>
      </c>
    </row>
    <row r="326" spans="1:13">
      <c r="A326" t="s">
        <v>13</v>
      </c>
      <c r="B326" t="s">
        <v>662</v>
      </c>
      <c r="C326" t="s">
        <v>663</v>
      </c>
      <c r="D326">
        <v>56260.8406</v>
      </c>
      <c r="E326">
        <v>58860.8406</v>
      </c>
      <c r="F326">
        <v>1.5754</v>
      </c>
      <c r="G326">
        <v>-2600</v>
      </c>
      <c r="H326">
        <v>8.863333</v>
      </c>
      <c r="I326">
        <v>9.249392</v>
      </c>
      <c r="J326">
        <v>-0.386059</v>
      </c>
      <c r="K326" s="4">
        <f t="shared" si="15"/>
        <v>-0.0417388515915424</v>
      </c>
      <c r="L326" s="4">
        <f t="shared" si="16"/>
        <v>-0.0441719821446111</v>
      </c>
      <c r="M326" s="18">
        <f t="shared" si="17"/>
        <v>-0.409604</v>
      </c>
    </row>
    <row r="327" spans="1:13">
      <c r="A327" t="s">
        <v>13</v>
      </c>
      <c r="B327" t="s">
        <v>664</v>
      </c>
      <c r="C327" t="s">
        <v>665</v>
      </c>
      <c r="D327">
        <v>12756.4791</v>
      </c>
      <c r="E327">
        <v>12756.4791</v>
      </c>
      <c r="F327">
        <v>1.8109</v>
      </c>
      <c r="G327">
        <v>0</v>
      </c>
      <c r="H327">
        <v>2.310071</v>
      </c>
      <c r="I327">
        <v>2.303948</v>
      </c>
      <c r="J327">
        <v>0.006123</v>
      </c>
      <c r="K327" s="4">
        <f t="shared" si="15"/>
        <v>0.00265761206416117</v>
      </c>
      <c r="L327" s="4">
        <f t="shared" si="16"/>
        <v>0</v>
      </c>
      <c r="M327" s="18">
        <f t="shared" si="17"/>
        <v>0</v>
      </c>
    </row>
    <row r="328" spans="1:13">
      <c r="A328" t="s">
        <v>13</v>
      </c>
      <c r="B328" t="s">
        <v>666</v>
      </c>
      <c r="C328" t="s">
        <v>667</v>
      </c>
      <c r="D328">
        <v>945.8785</v>
      </c>
      <c r="E328">
        <v>1045.8785</v>
      </c>
      <c r="F328">
        <v>2.1625</v>
      </c>
      <c r="G328">
        <v>-100</v>
      </c>
      <c r="H328">
        <v>0.204546</v>
      </c>
      <c r="I328">
        <v>0.225638</v>
      </c>
      <c r="J328">
        <v>-0.021092</v>
      </c>
      <c r="K328" s="4">
        <f t="shared" si="15"/>
        <v>-0.0934771625346794</v>
      </c>
      <c r="L328" s="4">
        <f t="shared" si="16"/>
        <v>-0.0956134006005478</v>
      </c>
      <c r="M328" s="18">
        <f t="shared" si="17"/>
        <v>-0.021625</v>
      </c>
    </row>
    <row r="329" spans="1:13">
      <c r="A329" t="s">
        <v>13</v>
      </c>
      <c r="B329" t="s">
        <v>668</v>
      </c>
      <c r="C329" t="s">
        <v>669</v>
      </c>
      <c r="D329">
        <v>1698.1088</v>
      </c>
      <c r="E329">
        <v>1698.1088</v>
      </c>
      <c r="F329">
        <v>1.6228</v>
      </c>
      <c r="G329">
        <v>0</v>
      </c>
      <c r="H329">
        <v>0.275569</v>
      </c>
      <c r="I329">
        <v>0.27275</v>
      </c>
      <c r="J329">
        <v>0.002819</v>
      </c>
      <c r="K329" s="4">
        <f t="shared" si="15"/>
        <v>0.0103354720439963</v>
      </c>
      <c r="L329" s="4">
        <f t="shared" si="16"/>
        <v>0</v>
      </c>
      <c r="M329" s="18">
        <f t="shared" si="17"/>
        <v>0</v>
      </c>
    </row>
    <row r="330" spans="1:13">
      <c r="A330" t="s">
        <v>13</v>
      </c>
      <c r="B330" t="s">
        <v>670</v>
      </c>
      <c r="C330" t="s">
        <v>671</v>
      </c>
      <c r="D330">
        <v>4126.1589</v>
      </c>
      <c r="E330">
        <v>4126.1589</v>
      </c>
      <c r="F330">
        <v>1.5533</v>
      </c>
      <c r="G330">
        <v>0</v>
      </c>
      <c r="H330">
        <v>0.640916</v>
      </c>
      <c r="I330">
        <v>0.638977</v>
      </c>
      <c r="J330">
        <v>0.001939</v>
      </c>
      <c r="K330" s="4">
        <f t="shared" si="15"/>
        <v>0.00303453801936533</v>
      </c>
      <c r="L330" s="4">
        <f t="shared" si="16"/>
        <v>0</v>
      </c>
      <c r="M330" s="18">
        <f t="shared" si="17"/>
        <v>0</v>
      </c>
    </row>
    <row r="331" spans="1:13">
      <c r="A331" t="s">
        <v>13</v>
      </c>
      <c r="B331" t="s">
        <v>672</v>
      </c>
      <c r="C331" t="s">
        <v>673</v>
      </c>
      <c r="D331">
        <v>5564.2602</v>
      </c>
      <c r="E331">
        <v>5564.2602</v>
      </c>
      <c r="F331">
        <v>2.0819</v>
      </c>
      <c r="G331">
        <v>0</v>
      </c>
      <c r="H331">
        <v>1.158423</v>
      </c>
      <c r="I331">
        <v>1.100722</v>
      </c>
      <c r="J331">
        <v>0.057701</v>
      </c>
      <c r="K331" s="4">
        <f t="shared" si="15"/>
        <v>0.0524210472762423</v>
      </c>
      <c r="L331" s="4">
        <f t="shared" si="16"/>
        <v>0</v>
      </c>
      <c r="M331" s="18">
        <f t="shared" si="17"/>
        <v>0</v>
      </c>
    </row>
    <row r="332" spans="1:13">
      <c r="A332" t="s">
        <v>13</v>
      </c>
      <c r="B332" t="s">
        <v>674</v>
      </c>
      <c r="C332" t="s">
        <v>675</v>
      </c>
      <c r="D332">
        <v>4830.4483</v>
      </c>
      <c r="E332">
        <v>5030.4483</v>
      </c>
      <c r="F332">
        <v>2.093</v>
      </c>
      <c r="G332">
        <v>-200</v>
      </c>
      <c r="H332">
        <v>1.011013</v>
      </c>
      <c r="I332">
        <v>1.000154</v>
      </c>
      <c r="J332">
        <v>0.010859</v>
      </c>
      <c r="K332" s="4">
        <f t="shared" si="15"/>
        <v>0.0108573279714924</v>
      </c>
      <c r="L332" s="4">
        <f t="shared" si="16"/>
        <v>-0.0397578879798844</v>
      </c>
      <c r="M332" s="18">
        <f t="shared" si="17"/>
        <v>-0.04186</v>
      </c>
    </row>
    <row r="333" spans="1:13">
      <c r="A333" t="s">
        <v>13</v>
      </c>
      <c r="B333" t="s">
        <v>676</v>
      </c>
      <c r="C333" t="s">
        <v>677</v>
      </c>
      <c r="D333">
        <v>5456.5182</v>
      </c>
      <c r="E333">
        <v>5456.5182</v>
      </c>
      <c r="F333">
        <v>2.063</v>
      </c>
      <c r="G333">
        <v>0</v>
      </c>
      <c r="H333">
        <v>1.12568</v>
      </c>
      <c r="I333">
        <v>1.06975</v>
      </c>
      <c r="J333">
        <v>0.05593</v>
      </c>
      <c r="K333" s="4">
        <f t="shared" si="15"/>
        <v>0.0522832437485394</v>
      </c>
      <c r="L333" s="4">
        <f t="shared" si="16"/>
        <v>0</v>
      </c>
      <c r="M333" s="18">
        <f t="shared" si="17"/>
        <v>0</v>
      </c>
    </row>
    <row r="334" spans="1:13">
      <c r="A334" t="s">
        <v>13</v>
      </c>
      <c r="B334" t="s">
        <v>678</v>
      </c>
      <c r="C334" t="s">
        <v>679</v>
      </c>
      <c r="D334">
        <v>9950.5191</v>
      </c>
      <c r="E334">
        <v>9750.5191</v>
      </c>
      <c r="F334">
        <v>2.203</v>
      </c>
      <c r="G334">
        <v>200</v>
      </c>
      <c r="H334">
        <v>2.192099</v>
      </c>
      <c r="I334">
        <v>2.041564</v>
      </c>
      <c r="J334">
        <v>0.150535</v>
      </c>
      <c r="K334" s="4">
        <f t="shared" si="15"/>
        <v>0.0737351363954302</v>
      </c>
      <c r="L334" s="4">
        <f t="shared" si="16"/>
        <v>0.0205117284473603</v>
      </c>
      <c r="M334" s="18">
        <f t="shared" si="17"/>
        <v>0.04406</v>
      </c>
    </row>
    <row r="335" spans="1:13">
      <c r="A335" t="s">
        <v>13</v>
      </c>
      <c r="B335" t="s">
        <v>680</v>
      </c>
      <c r="C335" t="s">
        <v>681</v>
      </c>
      <c r="D335">
        <v>6459.3326</v>
      </c>
      <c r="E335">
        <v>6459.3326</v>
      </c>
      <c r="F335">
        <v>1.7729</v>
      </c>
      <c r="G335">
        <v>0</v>
      </c>
      <c r="H335">
        <v>1.145175</v>
      </c>
      <c r="I335">
        <v>1.132644</v>
      </c>
      <c r="J335">
        <v>0.012531</v>
      </c>
      <c r="K335" s="4">
        <f t="shared" si="15"/>
        <v>0.0110634939133567</v>
      </c>
      <c r="L335" s="4">
        <f t="shared" si="16"/>
        <v>0</v>
      </c>
      <c r="M335" s="18">
        <f t="shared" si="17"/>
        <v>0</v>
      </c>
    </row>
    <row r="336" spans="1:13">
      <c r="A336" t="s">
        <v>13</v>
      </c>
      <c r="B336" t="s">
        <v>682</v>
      </c>
      <c r="C336" t="s">
        <v>683</v>
      </c>
      <c r="D336">
        <v>1909.285</v>
      </c>
      <c r="E336">
        <v>2009.285</v>
      </c>
      <c r="F336">
        <v>1.4558</v>
      </c>
      <c r="G336">
        <v>-100</v>
      </c>
      <c r="H336">
        <v>0.277954</v>
      </c>
      <c r="I336">
        <v>0.289799</v>
      </c>
      <c r="J336">
        <v>-0.011845</v>
      </c>
      <c r="K336" s="4">
        <f t="shared" si="15"/>
        <v>-0.0408731569122047</v>
      </c>
      <c r="L336" s="4">
        <f t="shared" si="16"/>
        <v>-0.0497689476604862</v>
      </c>
      <c r="M336" s="18">
        <f t="shared" si="17"/>
        <v>-0.014558</v>
      </c>
    </row>
    <row r="337" spans="1:13">
      <c r="A337" t="s">
        <v>13</v>
      </c>
      <c r="B337" t="s">
        <v>684</v>
      </c>
      <c r="C337" t="s">
        <v>685</v>
      </c>
      <c r="D337">
        <v>4219.6551</v>
      </c>
      <c r="E337">
        <v>4619.6551</v>
      </c>
      <c r="F337">
        <v>1.6491</v>
      </c>
      <c r="G337">
        <v>-400</v>
      </c>
      <c r="H337">
        <v>0.695863</v>
      </c>
      <c r="I337">
        <v>0.75961</v>
      </c>
      <c r="J337">
        <v>-0.063747</v>
      </c>
      <c r="K337" s="4">
        <f t="shared" si="15"/>
        <v>-0.0839206961467069</v>
      </c>
      <c r="L337" s="4">
        <f t="shared" si="16"/>
        <v>-0.0865865505846962</v>
      </c>
      <c r="M337" s="18">
        <f t="shared" si="17"/>
        <v>-0.065964</v>
      </c>
    </row>
    <row r="338" spans="1:13">
      <c r="A338" t="s">
        <v>13</v>
      </c>
      <c r="B338" t="s">
        <v>686</v>
      </c>
      <c r="C338" t="s">
        <v>687</v>
      </c>
      <c r="D338">
        <v>501760.3689</v>
      </c>
      <c r="E338">
        <v>501760.3689</v>
      </c>
      <c r="F338">
        <v>1.3323</v>
      </c>
      <c r="G338">
        <v>0</v>
      </c>
      <c r="H338">
        <v>66.849534</v>
      </c>
      <c r="I338">
        <v>68.023653</v>
      </c>
      <c r="J338">
        <v>-1.174119</v>
      </c>
      <c r="K338" s="4">
        <f t="shared" si="15"/>
        <v>-0.017260452037176</v>
      </c>
      <c r="L338" s="4">
        <f t="shared" si="16"/>
        <v>0</v>
      </c>
      <c r="M338" s="18">
        <f t="shared" si="17"/>
        <v>0</v>
      </c>
    </row>
    <row r="339" spans="1:13">
      <c r="A339" t="s">
        <v>13</v>
      </c>
      <c r="B339" t="s">
        <v>688</v>
      </c>
      <c r="C339" t="s">
        <v>689</v>
      </c>
      <c r="D339">
        <v>49992.7822</v>
      </c>
      <c r="E339">
        <v>46992.7822</v>
      </c>
      <c r="F339">
        <v>0.9322</v>
      </c>
      <c r="G339">
        <v>3000</v>
      </c>
      <c r="H339">
        <v>4.660327</v>
      </c>
      <c r="I339">
        <v>4.16544</v>
      </c>
      <c r="J339">
        <v>0.494887</v>
      </c>
      <c r="K339" s="4">
        <f t="shared" si="15"/>
        <v>0.118807857033111</v>
      </c>
      <c r="L339" s="4">
        <f t="shared" si="16"/>
        <v>0.0638395910936297</v>
      </c>
      <c r="M339" s="18">
        <f t="shared" si="17"/>
        <v>0.27966</v>
      </c>
    </row>
    <row r="340" spans="1:13">
      <c r="A340" t="s">
        <v>13</v>
      </c>
      <c r="B340" t="s">
        <v>690</v>
      </c>
      <c r="C340" t="s">
        <v>691</v>
      </c>
      <c r="D340">
        <v>124378.6075</v>
      </c>
      <c r="E340">
        <v>122828.6075</v>
      </c>
      <c r="F340">
        <v>1.1659</v>
      </c>
      <c r="G340">
        <v>1550</v>
      </c>
      <c r="H340">
        <v>14.501302</v>
      </c>
      <c r="I340">
        <v>14.391828</v>
      </c>
      <c r="J340">
        <v>0.109474</v>
      </c>
      <c r="K340" s="4">
        <f t="shared" si="15"/>
        <v>0.00760667790081983</v>
      </c>
      <c r="L340" s="4">
        <f t="shared" si="16"/>
        <v>0.0126192100647237</v>
      </c>
      <c r="M340" s="18">
        <f t="shared" si="17"/>
        <v>0.1807145</v>
      </c>
    </row>
    <row r="341" spans="1:13">
      <c r="A341" t="s">
        <v>13</v>
      </c>
      <c r="B341" t="s">
        <v>692</v>
      </c>
      <c r="C341" t="s">
        <v>693</v>
      </c>
      <c r="D341">
        <v>475452.3884</v>
      </c>
      <c r="E341">
        <v>472752.3884</v>
      </c>
      <c r="F341">
        <v>1.1605</v>
      </c>
      <c r="G341">
        <v>2700</v>
      </c>
      <c r="H341">
        <v>55.17625</v>
      </c>
      <c r="I341">
        <v>55.208024</v>
      </c>
      <c r="J341">
        <v>-0.031774</v>
      </c>
      <c r="K341" s="4">
        <f t="shared" si="15"/>
        <v>-0.000575532281322005</v>
      </c>
      <c r="L341" s="4">
        <f t="shared" si="16"/>
        <v>0.00571123502757538</v>
      </c>
      <c r="M341" s="18">
        <f t="shared" si="17"/>
        <v>0.313335</v>
      </c>
    </row>
    <row r="342" spans="1:13">
      <c r="A342" t="s">
        <v>13</v>
      </c>
      <c r="B342" t="s">
        <v>694</v>
      </c>
      <c r="C342" t="s">
        <v>695</v>
      </c>
      <c r="D342">
        <v>18182.8785</v>
      </c>
      <c r="E342">
        <v>18182.8785</v>
      </c>
      <c r="F342">
        <v>0.7815</v>
      </c>
      <c r="G342">
        <v>0</v>
      </c>
      <c r="H342">
        <v>1.420992</v>
      </c>
      <c r="I342">
        <v>1.42681</v>
      </c>
      <c r="J342">
        <v>-0.005818</v>
      </c>
      <c r="K342" s="4">
        <f t="shared" si="15"/>
        <v>-0.00407762771497256</v>
      </c>
      <c r="L342" s="4">
        <f t="shared" si="16"/>
        <v>0</v>
      </c>
      <c r="M342" s="18">
        <f t="shared" si="17"/>
        <v>0</v>
      </c>
    </row>
    <row r="343" spans="1:13">
      <c r="A343" t="s">
        <v>13</v>
      </c>
      <c r="B343" t="s">
        <v>696</v>
      </c>
      <c r="C343" t="s">
        <v>697</v>
      </c>
      <c r="D343">
        <v>25892.0923</v>
      </c>
      <c r="E343">
        <v>26192.0923</v>
      </c>
      <c r="F343">
        <v>1.4787</v>
      </c>
      <c r="G343">
        <v>-300</v>
      </c>
      <c r="H343">
        <v>3.828664</v>
      </c>
      <c r="I343">
        <v>3.867786</v>
      </c>
      <c r="J343">
        <v>-0.039122</v>
      </c>
      <c r="K343" s="4">
        <f t="shared" si="15"/>
        <v>-0.0101148305516386</v>
      </c>
      <c r="L343" s="4">
        <f t="shared" si="16"/>
        <v>-0.0114538386839756</v>
      </c>
      <c r="M343" s="18">
        <f t="shared" si="17"/>
        <v>-0.044361</v>
      </c>
    </row>
    <row r="344" spans="1:13">
      <c r="A344" t="s">
        <v>13</v>
      </c>
      <c r="B344" t="s">
        <v>698</v>
      </c>
      <c r="C344" t="s">
        <v>699</v>
      </c>
      <c r="D344">
        <v>41579.0319</v>
      </c>
      <c r="E344">
        <v>41579.0319</v>
      </c>
      <c r="F344">
        <v>2.3471</v>
      </c>
      <c r="G344">
        <v>0</v>
      </c>
      <c r="H344">
        <v>9.759015</v>
      </c>
      <c r="I344">
        <v>9.688746</v>
      </c>
      <c r="J344">
        <v>0.070269</v>
      </c>
      <c r="K344" s="4">
        <f t="shared" si="15"/>
        <v>0.00725264136349534</v>
      </c>
      <c r="L344" s="4">
        <f t="shared" si="16"/>
        <v>0</v>
      </c>
      <c r="M344" s="18">
        <f t="shared" si="17"/>
        <v>0</v>
      </c>
    </row>
    <row r="345" spans="1:13">
      <c r="A345" t="s">
        <v>13</v>
      </c>
      <c r="B345" t="s">
        <v>700</v>
      </c>
      <c r="C345" t="s">
        <v>701</v>
      </c>
      <c r="D345">
        <v>1532.6751</v>
      </c>
      <c r="E345">
        <v>1632.6751</v>
      </c>
      <c r="F345">
        <v>2.0386</v>
      </c>
      <c r="G345">
        <v>-100</v>
      </c>
      <c r="H345">
        <v>0.312451</v>
      </c>
      <c r="I345">
        <v>0.333343</v>
      </c>
      <c r="J345">
        <v>-0.020892</v>
      </c>
      <c r="K345" s="4">
        <f t="shared" si="15"/>
        <v>-0.062674182448709</v>
      </c>
      <c r="L345" s="4">
        <f t="shared" si="16"/>
        <v>-0.0612491732127231</v>
      </c>
      <c r="M345" s="18">
        <f t="shared" si="17"/>
        <v>-0.020386</v>
      </c>
    </row>
    <row r="346" spans="1:13">
      <c r="A346" t="s">
        <v>13</v>
      </c>
      <c r="B346" t="s">
        <v>702</v>
      </c>
      <c r="C346" t="s">
        <v>703</v>
      </c>
      <c r="D346">
        <v>3446.2705</v>
      </c>
      <c r="E346">
        <v>3746.2705</v>
      </c>
      <c r="F346">
        <v>1.8427</v>
      </c>
      <c r="G346">
        <v>-300</v>
      </c>
      <c r="H346">
        <v>0.635044</v>
      </c>
      <c r="I346">
        <v>0.689164</v>
      </c>
      <c r="J346">
        <v>-0.05412</v>
      </c>
      <c r="K346" s="4">
        <f t="shared" si="15"/>
        <v>-0.0785299290154448</v>
      </c>
      <c r="L346" s="4">
        <f t="shared" si="16"/>
        <v>-0.0800796418731643</v>
      </c>
      <c r="M346" s="18">
        <f t="shared" si="17"/>
        <v>-0.055281</v>
      </c>
    </row>
    <row r="347" spans="1:13">
      <c r="A347" t="s">
        <v>13</v>
      </c>
      <c r="B347" t="s">
        <v>704</v>
      </c>
      <c r="C347" t="s">
        <v>705</v>
      </c>
      <c r="D347">
        <v>1555.6089</v>
      </c>
      <c r="E347">
        <v>1555.6089</v>
      </c>
      <c r="F347">
        <v>1.3309</v>
      </c>
      <c r="G347">
        <v>0</v>
      </c>
      <c r="H347">
        <v>0.207036</v>
      </c>
      <c r="I347">
        <v>0.206927</v>
      </c>
      <c r="J347">
        <v>0.000109</v>
      </c>
      <c r="K347" s="4">
        <f t="shared" si="15"/>
        <v>0.00052675581243627</v>
      </c>
      <c r="L347" s="4">
        <f t="shared" si="16"/>
        <v>0</v>
      </c>
      <c r="M347" s="18">
        <f t="shared" si="17"/>
        <v>0</v>
      </c>
    </row>
    <row r="348" spans="1:13">
      <c r="A348" t="s">
        <v>13</v>
      </c>
      <c r="B348" t="s">
        <v>706</v>
      </c>
      <c r="C348" t="s">
        <v>707</v>
      </c>
      <c r="D348">
        <v>15589.4955</v>
      </c>
      <c r="E348">
        <v>15589.4955</v>
      </c>
      <c r="F348">
        <v>1.1741</v>
      </c>
      <c r="G348">
        <v>0</v>
      </c>
      <c r="H348">
        <v>1.830363</v>
      </c>
      <c r="I348">
        <v>1.854526</v>
      </c>
      <c r="J348">
        <v>-0.024163</v>
      </c>
      <c r="K348" s="4">
        <f t="shared" si="15"/>
        <v>-0.0130292053063694</v>
      </c>
      <c r="L348" s="4">
        <f t="shared" si="16"/>
        <v>0</v>
      </c>
      <c r="M348" s="18">
        <f t="shared" si="17"/>
        <v>0</v>
      </c>
    </row>
    <row r="349" spans="1:13">
      <c r="A349" t="s">
        <v>13</v>
      </c>
      <c r="B349" t="s">
        <v>708</v>
      </c>
      <c r="C349" t="s">
        <v>709</v>
      </c>
      <c r="D349">
        <v>265385.4641</v>
      </c>
      <c r="E349">
        <v>254385.4641</v>
      </c>
      <c r="F349">
        <v>3.5106</v>
      </c>
      <c r="G349">
        <v>11000</v>
      </c>
      <c r="H349">
        <v>93.166221</v>
      </c>
      <c r="I349">
        <v>83.217117</v>
      </c>
      <c r="J349">
        <v>9.949104</v>
      </c>
      <c r="K349" s="4">
        <f t="shared" si="15"/>
        <v>0.119555980291891</v>
      </c>
      <c r="L349" s="4">
        <f t="shared" si="16"/>
        <v>0.0432414644402631</v>
      </c>
      <c r="M349" s="18">
        <f t="shared" si="17"/>
        <v>3.86166</v>
      </c>
    </row>
    <row r="350" spans="1:13">
      <c r="A350" t="s">
        <v>13</v>
      </c>
      <c r="B350" t="s">
        <v>710</v>
      </c>
      <c r="C350" t="s">
        <v>711</v>
      </c>
      <c r="D350">
        <v>162557.6622</v>
      </c>
      <c r="E350">
        <v>164257.6622</v>
      </c>
      <c r="F350">
        <v>1.4272</v>
      </c>
      <c r="G350">
        <v>-1700</v>
      </c>
      <c r="H350">
        <v>23.20023</v>
      </c>
      <c r="I350">
        <v>23.636678</v>
      </c>
      <c r="J350">
        <v>-0.436448</v>
      </c>
      <c r="K350" s="4">
        <f t="shared" si="15"/>
        <v>-0.0184648621096416</v>
      </c>
      <c r="L350" s="4">
        <f t="shared" si="16"/>
        <v>-0.0103495932989116</v>
      </c>
      <c r="M350" s="18">
        <f t="shared" si="17"/>
        <v>-0.242624</v>
      </c>
    </row>
    <row r="351" spans="1:13">
      <c r="A351" t="s">
        <v>13</v>
      </c>
      <c r="B351" t="s">
        <v>712</v>
      </c>
      <c r="C351" t="s">
        <v>713</v>
      </c>
      <c r="D351">
        <v>15891.646</v>
      </c>
      <c r="E351">
        <v>15891.646</v>
      </c>
      <c r="F351">
        <v>2.609</v>
      </c>
      <c r="G351">
        <v>0</v>
      </c>
      <c r="H351">
        <v>4.14613</v>
      </c>
      <c r="I351">
        <v>3.913159</v>
      </c>
      <c r="J351">
        <v>0.232971</v>
      </c>
      <c r="K351" s="4">
        <f t="shared" si="15"/>
        <v>0.0595352757196935</v>
      </c>
      <c r="L351" s="4">
        <f t="shared" si="16"/>
        <v>0</v>
      </c>
      <c r="M351" s="18">
        <f t="shared" si="17"/>
        <v>0</v>
      </c>
    </row>
    <row r="352" spans="1:13">
      <c r="A352" t="s">
        <v>13</v>
      </c>
      <c r="B352" t="s">
        <v>714</v>
      </c>
      <c r="C352" t="s">
        <v>715</v>
      </c>
      <c r="D352">
        <v>158949.9489</v>
      </c>
      <c r="E352">
        <v>158949.9489</v>
      </c>
      <c r="F352">
        <v>1.3106</v>
      </c>
      <c r="G352">
        <v>0</v>
      </c>
      <c r="H352">
        <v>20.83198</v>
      </c>
      <c r="I352">
        <v>20.83198</v>
      </c>
      <c r="J352">
        <v>0</v>
      </c>
      <c r="K352" s="4">
        <f t="shared" si="15"/>
        <v>0</v>
      </c>
      <c r="L352" s="4">
        <f t="shared" si="16"/>
        <v>0</v>
      </c>
      <c r="M352" s="18">
        <f t="shared" si="17"/>
        <v>0</v>
      </c>
    </row>
    <row r="353" spans="1:13">
      <c r="A353" t="s">
        <v>13</v>
      </c>
      <c r="B353" t="s">
        <v>716</v>
      </c>
      <c r="C353" t="s">
        <v>717</v>
      </c>
      <c r="D353">
        <v>230813.0504</v>
      </c>
      <c r="E353">
        <v>230413.0504</v>
      </c>
      <c r="F353">
        <v>2.0575</v>
      </c>
      <c r="G353">
        <v>400</v>
      </c>
      <c r="H353">
        <v>47.489785</v>
      </c>
      <c r="I353">
        <v>47.386748</v>
      </c>
      <c r="J353">
        <v>0.103037</v>
      </c>
      <c r="K353" s="4">
        <f t="shared" si="15"/>
        <v>0.0021743842814451</v>
      </c>
      <c r="L353" s="4">
        <f t="shared" si="16"/>
        <v>0.00173601277924838</v>
      </c>
      <c r="M353" s="18">
        <f t="shared" si="17"/>
        <v>0.0823</v>
      </c>
    </row>
    <row r="354" spans="1:13">
      <c r="A354" t="s">
        <v>13</v>
      </c>
      <c r="B354" t="s">
        <v>718</v>
      </c>
      <c r="C354" t="s">
        <v>719</v>
      </c>
      <c r="D354">
        <v>2136.0773</v>
      </c>
      <c r="E354">
        <v>2136.0773</v>
      </c>
      <c r="F354">
        <v>2.1158</v>
      </c>
      <c r="G354">
        <v>0</v>
      </c>
      <c r="H354">
        <v>0.451951</v>
      </c>
      <c r="I354">
        <v>0.447722</v>
      </c>
      <c r="J354">
        <v>0.004229</v>
      </c>
      <c r="K354" s="4">
        <f t="shared" si="15"/>
        <v>0.00944559347094849</v>
      </c>
      <c r="L354" s="4">
        <f t="shared" si="16"/>
        <v>0</v>
      </c>
      <c r="M354" s="18">
        <f t="shared" si="17"/>
        <v>0</v>
      </c>
    </row>
    <row r="355" spans="1:13">
      <c r="A355" t="s">
        <v>13</v>
      </c>
      <c r="B355" t="s">
        <v>720</v>
      </c>
      <c r="C355" t="s">
        <v>721</v>
      </c>
      <c r="D355">
        <v>14262.7231</v>
      </c>
      <c r="E355">
        <v>14162.7231</v>
      </c>
      <c r="F355">
        <v>1.5094</v>
      </c>
      <c r="G355">
        <v>100</v>
      </c>
      <c r="H355">
        <v>2.152815</v>
      </c>
      <c r="I355">
        <v>2.138854</v>
      </c>
      <c r="J355">
        <v>0.013961</v>
      </c>
      <c r="K355" s="4">
        <f t="shared" si="15"/>
        <v>0.00652732725094841</v>
      </c>
      <c r="L355" s="4">
        <f t="shared" si="16"/>
        <v>0.00706078903710262</v>
      </c>
      <c r="M355" s="18">
        <f t="shared" si="17"/>
        <v>0.015094</v>
      </c>
    </row>
    <row r="356" spans="1:13">
      <c r="A356" t="s">
        <v>13</v>
      </c>
      <c r="B356" t="s">
        <v>722</v>
      </c>
      <c r="C356" t="s">
        <v>723</v>
      </c>
      <c r="D356">
        <v>305273.9776</v>
      </c>
      <c r="E356">
        <v>303973.9776</v>
      </c>
      <c r="F356">
        <v>2.2956</v>
      </c>
      <c r="G356">
        <v>1300</v>
      </c>
      <c r="H356">
        <v>70.078694</v>
      </c>
      <c r="I356">
        <v>69.397259</v>
      </c>
      <c r="J356">
        <v>0.681435</v>
      </c>
      <c r="K356" s="4">
        <f t="shared" si="15"/>
        <v>0.00981933594812441</v>
      </c>
      <c r="L356" s="4">
        <f t="shared" si="16"/>
        <v>0.00427668187344205</v>
      </c>
      <c r="M356" s="18">
        <f t="shared" si="17"/>
        <v>0.298428</v>
      </c>
    </row>
    <row r="357" spans="1:13">
      <c r="A357" t="s">
        <v>13</v>
      </c>
      <c r="B357" t="s">
        <v>724</v>
      </c>
      <c r="C357" t="s">
        <v>725</v>
      </c>
      <c r="D357">
        <v>1057772.9726</v>
      </c>
      <c r="E357">
        <v>1057772.9726</v>
      </c>
      <c r="F357">
        <v>0.5902</v>
      </c>
      <c r="G357">
        <v>0</v>
      </c>
      <c r="H357">
        <v>62.429761</v>
      </c>
      <c r="I357">
        <v>63.551</v>
      </c>
      <c r="J357">
        <v>-1.121239</v>
      </c>
      <c r="K357" s="4">
        <f t="shared" si="15"/>
        <v>-0.0176431370080723</v>
      </c>
      <c r="L357" s="4">
        <f t="shared" si="16"/>
        <v>0</v>
      </c>
      <c r="M357" s="18">
        <f t="shared" si="17"/>
        <v>0</v>
      </c>
    </row>
    <row r="358" spans="1:13">
      <c r="A358" t="s">
        <v>13</v>
      </c>
      <c r="B358" t="s">
        <v>726</v>
      </c>
      <c r="C358" t="s">
        <v>727</v>
      </c>
      <c r="D358">
        <v>33685.7901</v>
      </c>
      <c r="E358">
        <v>33685.7901</v>
      </c>
      <c r="F358">
        <v>1.1467</v>
      </c>
      <c r="G358">
        <v>0</v>
      </c>
      <c r="H358">
        <v>3.86275</v>
      </c>
      <c r="I358">
        <v>3.889024</v>
      </c>
      <c r="J358">
        <v>-0.026274</v>
      </c>
      <c r="K358" s="4">
        <f t="shared" si="15"/>
        <v>-0.00675593670802751</v>
      </c>
      <c r="L358" s="4">
        <f t="shared" si="16"/>
        <v>0</v>
      </c>
      <c r="M358" s="18">
        <f t="shared" si="17"/>
        <v>0</v>
      </c>
    </row>
    <row r="359" spans="1:13">
      <c r="A359" t="s">
        <v>13</v>
      </c>
      <c r="B359" t="s">
        <v>728</v>
      </c>
      <c r="C359" t="s">
        <v>729</v>
      </c>
      <c r="D359">
        <v>33714.7241</v>
      </c>
      <c r="E359">
        <v>33714.7241</v>
      </c>
      <c r="F359">
        <v>1.3706</v>
      </c>
      <c r="G359">
        <v>0</v>
      </c>
      <c r="H359">
        <v>4.62094</v>
      </c>
      <c r="I359">
        <v>4.707924</v>
      </c>
      <c r="J359">
        <v>-0.086984</v>
      </c>
      <c r="K359" s="4">
        <f t="shared" si="15"/>
        <v>-0.0184760841508911</v>
      </c>
      <c r="L359" s="4">
        <f t="shared" si="16"/>
        <v>0</v>
      </c>
      <c r="M359" s="18">
        <f t="shared" si="17"/>
        <v>0</v>
      </c>
    </row>
    <row r="360" spans="1:13">
      <c r="A360" t="s">
        <v>13</v>
      </c>
      <c r="B360" t="s">
        <v>730</v>
      </c>
      <c r="C360" t="s">
        <v>731</v>
      </c>
      <c r="D360">
        <v>1585759.7142</v>
      </c>
      <c r="E360">
        <v>1590859.7142</v>
      </c>
      <c r="F360">
        <v>1.2203</v>
      </c>
      <c r="G360">
        <v>-5100</v>
      </c>
      <c r="H360">
        <v>193.510258</v>
      </c>
      <c r="I360">
        <v>197.600685</v>
      </c>
      <c r="J360">
        <v>-4.090427</v>
      </c>
      <c r="K360" s="4">
        <f t="shared" si="15"/>
        <v>-0.0207004697377441</v>
      </c>
      <c r="L360" s="4">
        <f t="shared" si="16"/>
        <v>-0.0032058137838789</v>
      </c>
      <c r="M360" s="18">
        <f t="shared" si="17"/>
        <v>-0.622353</v>
      </c>
    </row>
    <row r="361" spans="1:13">
      <c r="A361" t="s">
        <v>13</v>
      </c>
      <c r="B361" t="s">
        <v>732</v>
      </c>
      <c r="C361" t="s">
        <v>733</v>
      </c>
      <c r="D361">
        <v>1798.1814</v>
      </c>
      <c r="E361">
        <v>1798.1814</v>
      </c>
      <c r="F361">
        <v>1.6657</v>
      </c>
      <c r="G361">
        <v>0</v>
      </c>
      <c r="H361">
        <v>0.299523</v>
      </c>
      <c r="I361">
        <v>0.297131</v>
      </c>
      <c r="J361">
        <v>0.002392</v>
      </c>
      <c r="K361" s="4">
        <f t="shared" si="15"/>
        <v>0.0080503212387802</v>
      </c>
      <c r="L361" s="4">
        <f t="shared" si="16"/>
        <v>0</v>
      </c>
      <c r="M361" s="18">
        <f t="shared" si="17"/>
        <v>0</v>
      </c>
    </row>
    <row r="362" spans="1:13">
      <c r="A362" t="s">
        <v>13</v>
      </c>
      <c r="B362" t="s">
        <v>734</v>
      </c>
      <c r="C362" t="s">
        <v>735</v>
      </c>
      <c r="D362">
        <v>18774.9107</v>
      </c>
      <c r="E362">
        <v>18974.9107</v>
      </c>
      <c r="F362">
        <v>1.6675</v>
      </c>
      <c r="G362">
        <v>-200</v>
      </c>
      <c r="H362">
        <v>3.130716</v>
      </c>
      <c r="I362">
        <v>3.13845</v>
      </c>
      <c r="J362">
        <v>-0.007734</v>
      </c>
      <c r="K362" s="4">
        <f t="shared" si="15"/>
        <v>-0.00246427376571237</v>
      </c>
      <c r="L362" s="4">
        <f t="shared" si="16"/>
        <v>-0.0105402340575969</v>
      </c>
      <c r="M362" s="18">
        <f t="shared" si="17"/>
        <v>-0.03335</v>
      </c>
    </row>
    <row r="363" spans="1:13">
      <c r="A363" t="s">
        <v>13</v>
      </c>
      <c r="B363" t="s">
        <v>736</v>
      </c>
      <c r="C363" t="s">
        <v>737</v>
      </c>
      <c r="D363">
        <v>7745.6297</v>
      </c>
      <c r="E363">
        <v>7745.6297</v>
      </c>
      <c r="F363">
        <v>1.6765</v>
      </c>
      <c r="G363">
        <v>0</v>
      </c>
      <c r="H363">
        <v>1.298555</v>
      </c>
      <c r="I363">
        <v>1.288098</v>
      </c>
      <c r="J363">
        <v>0.010457</v>
      </c>
      <c r="K363" s="4">
        <f t="shared" si="15"/>
        <v>0.00811817113294175</v>
      </c>
      <c r="L363" s="4">
        <f t="shared" si="16"/>
        <v>0</v>
      </c>
      <c r="M363" s="18">
        <f t="shared" si="17"/>
        <v>0</v>
      </c>
    </row>
    <row r="364" spans="1:13">
      <c r="A364" t="s">
        <v>13</v>
      </c>
      <c r="B364" t="s">
        <v>738</v>
      </c>
      <c r="C364" t="s">
        <v>739</v>
      </c>
      <c r="D364">
        <v>941.0425</v>
      </c>
      <c r="E364">
        <v>1141.0425</v>
      </c>
      <c r="F364">
        <v>1.6322</v>
      </c>
      <c r="G364">
        <v>-200</v>
      </c>
      <c r="H364">
        <v>0.153597</v>
      </c>
      <c r="I364">
        <v>0.184746</v>
      </c>
      <c r="J364">
        <v>-0.031149</v>
      </c>
      <c r="K364" s="4">
        <f t="shared" si="15"/>
        <v>-0.168604462342892</v>
      </c>
      <c r="L364" s="4">
        <f t="shared" si="16"/>
        <v>-0.175278309090152</v>
      </c>
      <c r="M364" s="18">
        <f t="shared" si="17"/>
        <v>-0.032644</v>
      </c>
    </row>
    <row r="365" spans="1:13">
      <c r="A365" t="s">
        <v>13</v>
      </c>
      <c r="B365" t="s">
        <v>740</v>
      </c>
      <c r="C365" t="s">
        <v>741</v>
      </c>
      <c r="D365">
        <v>3450.9612</v>
      </c>
      <c r="E365">
        <v>3450.9612</v>
      </c>
      <c r="F365">
        <v>1.7464</v>
      </c>
      <c r="G365">
        <v>0</v>
      </c>
      <c r="H365">
        <v>0.602676</v>
      </c>
      <c r="I365">
        <v>0.595291</v>
      </c>
      <c r="J365">
        <v>0.007385</v>
      </c>
      <c r="K365" s="4">
        <f t="shared" si="15"/>
        <v>0.0124056973816167</v>
      </c>
      <c r="L365" s="4">
        <f t="shared" si="16"/>
        <v>0</v>
      </c>
      <c r="M365" s="18">
        <f t="shared" si="17"/>
        <v>0</v>
      </c>
    </row>
    <row r="366" spans="1:13">
      <c r="A366" t="s">
        <v>13</v>
      </c>
      <c r="B366" t="s">
        <v>742</v>
      </c>
      <c r="C366" t="s">
        <v>743</v>
      </c>
      <c r="D366">
        <v>65966.5791</v>
      </c>
      <c r="E366">
        <v>65966.5791</v>
      </c>
      <c r="F366">
        <v>1.545</v>
      </c>
      <c r="G366">
        <v>0</v>
      </c>
      <c r="H366">
        <v>10.191836</v>
      </c>
      <c r="I366">
        <v>10.28287</v>
      </c>
      <c r="J366">
        <v>-0.091034</v>
      </c>
      <c r="K366" s="4">
        <f t="shared" si="15"/>
        <v>-0.00885297587152225</v>
      </c>
      <c r="L366" s="4">
        <f t="shared" si="16"/>
        <v>0</v>
      </c>
      <c r="M366" s="18">
        <f t="shared" si="17"/>
        <v>0</v>
      </c>
    </row>
    <row r="367" spans="1:13">
      <c r="A367" t="s">
        <v>13</v>
      </c>
      <c r="B367" t="s">
        <v>744</v>
      </c>
      <c r="C367" t="s">
        <v>745</v>
      </c>
      <c r="D367">
        <v>1999.8831</v>
      </c>
      <c r="E367">
        <v>2199.8831</v>
      </c>
      <c r="F367">
        <v>1.1901</v>
      </c>
      <c r="G367">
        <v>-200</v>
      </c>
      <c r="H367">
        <v>0.238006</v>
      </c>
      <c r="I367">
        <v>0.25908</v>
      </c>
      <c r="J367">
        <v>-0.021074</v>
      </c>
      <c r="K367" s="4">
        <f t="shared" si="15"/>
        <v>-0.0813416705264783</v>
      </c>
      <c r="L367" s="4">
        <f t="shared" si="16"/>
        <v>-0.0909139217442963</v>
      </c>
      <c r="M367" s="18">
        <f t="shared" si="17"/>
        <v>-0.023802</v>
      </c>
    </row>
    <row r="368" spans="1:13">
      <c r="A368" t="s">
        <v>13</v>
      </c>
      <c r="B368" t="s">
        <v>746</v>
      </c>
      <c r="C368" t="s">
        <v>747</v>
      </c>
      <c r="D368">
        <v>138222.5708</v>
      </c>
      <c r="E368">
        <v>137622.5708</v>
      </c>
      <c r="F368">
        <v>1.0306</v>
      </c>
      <c r="G368">
        <v>600</v>
      </c>
      <c r="H368">
        <v>14.245218</v>
      </c>
      <c r="I368">
        <v>14.3155</v>
      </c>
      <c r="J368">
        <v>-0.070282</v>
      </c>
      <c r="K368" s="4">
        <f t="shared" si="15"/>
        <v>-0.00490950368481716</v>
      </c>
      <c r="L368" s="4">
        <f t="shared" si="16"/>
        <v>0.00435974997787209</v>
      </c>
      <c r="M368" s="18">
        <f t="shared" si="17"/>
        <v>0.061836</v>
      </c>
    </row>
    <row r="369" spans="1:13">
      <c r="A369" t="s">
        <v>13</v>
      </c>
      <c r="B369" t="s">
        <v>748</v>
      </c>
      <c r="C369" t="s">
        <v>749</v>
      </c>
      <c r="D369">
        <v>11412.1621</v>
      </c>
      <c r="E369">
        <v>11412.1621</v>
      </c>
      <c r="F369">
        <v>3.9838</v>
      </c>
      <c r="G369">
        <v>0</v>
      </c>
      <c r="H369">
        <v>4.546377</v>
      </c>
      <c r="I369">
        <v>4.256166</v>
      </c>
      <c r="J369">
        <v>0.290211</v>
      </c>
      <c r="K369" s="4">
        <f t="shared" si="15"/>
        <v>0.0681860153010949</v>
      </c>
      <c r="L369" s="4">
        <f t="shared" si="16"/>
        <v>0</v>
      </c>
      <c r="M369" s="18">
        <f t="shared" si="17"/>
        <v>0</v>
      </c>
    </row>
    <row r="370" spans="1:13">
      <c r="A370" t="s">
        <v>13</v>
      </c>
      <c r="B370" t="s">
        <v>750</v>
      </c>
      <c r="C370" t="s">
        <v>751</v>
      </c>
      <c r="D370">
        <v>163459.2902</v>
      </c>
      <c r="E370">
        <v>163459.2902</v>
      </c>
      <c r="F370">
        <v>2.0528</v>
      </c>
      <c r="G370">
        <v>0</v>
      </c>
      <c r="H370">
        <v>33.554923</v>
      </c>
      <c r="I370">
        <v>33.12666</v>
      </c>
      <c r="J370">
        <v>0.428263</v>
      </c>
      <c r="K370" s="4">
        <f t="shared" si="15"/>
        <v>0.0129280464737465</v>
      </c>
      <c r="L370" s="4">
        <f t="shared" si="16"/>
        <v>0</v>
      </c>
      <c r="M370" s="18">
        <f t="shared" si="17"/>
        <v>0</v>
      </c>
    </row>
    <row r="371" spans="1:13">
      <c r="A371" t="s">
        <v>13</v>
      </c>
      <c r="B371" t="s">
        <v>752</v>
      </c>
      <c r="C371" t="s">
        <v>753</v>
      </c>
      <c r="D371">
        <v>23402.5923</v>
      </c>
      <c r="E371">
        <v>23552.5923</v>
      </c>
      <c r="F371">
        <v>1.1066</v>
      </c>
      <c r="G371">
        <v>-150</v>
      </c>
      <c r="H371">
        <v>2.589731</v>
      </c>
      <c r="I371">
        <v>2.618106</v>
      </c>
      <c r="J371">
        <v>-0.028375</v>
      </c>
      <c r="K371" s="4">
        <f t="shared" si="15"/>
        <v>-0.0108379874611647</v>
      </c>
      <c r="L371" s="4">
        <f t="shared" si="16"/>
        <v>-0.00636872570498323</v>
      </c>
      <c r="M371" s="18">
        <f t="shared" si="17"/>
        <v>-0.016599</v>
      </c>
    </row>
    <row r="372" spans="1:13">
      <c r="A372" t="s">
        <v>13</v>
      </c>
      <c r="B372" t="s">
        <v>754</v>
      </c>
      <c r="C372" t="s">
        <v>755</v>
      </c>
      <c r="D372">
        <v>15044.7031</v>
      </c>
      <c r="E372">
        <v>14344.7031</v>
      </c>
      <c r="F372">
        <v>1.1424</v>
      </c>
      <c r="G372">
        <v>700</v>
      </c>
      <c r="H372">
        <v>1.718707</v>
      </c>
      <c r="I372">
        <v>1.66958</v>
      </c>
      <c r="J372">
        <v>0.049127</v>
      </c>
      <c r="K372" s="4">
        <f t="shared" si="15"/>
        <v>0.0294247655098887</v>
      </c>
      <c r="L372" s="4">
        <f t="shared" si="16"/>
        <v>0.0487985004025632</v>
      </c>
      <c r="M372" s="18">
        <f t="shared" si="17"/>
        <v>0.079968</v>
      </c>
    </row>
    <row r="373" spans="1:13">
      <c r="A373" t="s">
        <v>13</v>
      </c>
      <c r="B373" t="s">
        <v>756</v>
      </c>
      <c r="C373" t="s">
        <v>757</v>
      </c>
      <c r="D373">
        <v>54728.4857</v>
      </c>
      <c r="E373">
        <v>55328.4857</v>
      </c>
      <c r="F373">
        <v>1.214</v>
      </c>
      <c r="G373">
        <v>-600</v>
      </c>
      <c r="H373">
        <v>6.644038</v>
      </c>
      <c r="I373">
        <v>6.679255</v>
      </c>
      <c r="J373">
        <v>-0.035217</v>
      </c>
      <c r="K373" s="4">
        <f t="shared" si="15"/>
        <v>-0.00527259402433355</v>
      </c>
      <c r="L373" s="4">
        <f t="shared" si="16"/>
        <v>-0.0108443235416436</v>
      </c>
      <c r="M373" s="18">
        <f t="shared" si="17"/>
        <v>-0.07284</v>
      </c>
    </row>
    <row r="374" spans="1:13">
      <c r="A374" t="s">
        <v>13</v>
      </c>
      <c r="B374" t="s">
        <v>758</v>
      </c>
      <c r="C374" t="s">
        <v>759</v>
      </c>
      <c r="D374">
        <v>20359.0005</v>
      </c>
      <c r="E374">
        <v>20059.0005</v>
      </c>
      <c r="F374">
        <v>1.0564</v>
      </c>
      <c r="G374">
        <v>300</v>
      </c>
      <c r="H374">
        <v>2.150725</v>
      </c>
      <c r="I374">
        <v>2.138891</v>
      </c>
      <c r="J374">
        <v>0.011834</v>
      </c>
      <c r="K374" s="4">
        <f t="shared" si="15"/>
        <v>0.00553277375985967</v>
      </c>
      <c r="L374" s="4">
        <f t="shared" si="16"/>
        <v>0.0149558797807498</v>
      </c>
      <c r="M374" s="18">
        <f t="shared" si="17"/>
        <v>0.031692</v>
      </c>
    </row>
    <row r="375" spans="1:13">
      <c r="A375" t="s">
        <v>13</v>
      </c>
      <c r="B375" t="s">
        <v>760</v>
      </c>
      <c r="C375" t="s">
        <v>761</v>
      </c>
      <c r="D375">
        <v>63936.1746</v>
      </c>
      <c r="E375">
        <v>64436.1746</v>
      </c>
      <c r="F375">
        <v>0.9126</v>
      </c>
      <c r="G375">
        <v>-500</v>
      </c>
      <c r="H375">
        <v>5.834815</v>
      </c>
      <c r="I375">
        <v>5.899776</v>
      </c>
      <c r="J375">
        <v>-0.064961</v>
      </c>
      <c r="K375" s="4">
        <f t="shared" si="15"/>
        <v>-0.0110107570185716</v>
      </c>
      <c r="L375" s="4">
        <f t="shared" si="16"/>
        <v>-0.00775961644377318</v>
      </c>
      <c r="M375" s="18">
        <f t="shared" si="17"/>
        <v>-0.04563</v>
      </c>
    </row>
    <row r="376" spans="1:13">
      <c r="A376" t="s">
        <v>13</v>
      </c>
      <c r="B376" t="s">
        <v>762</v>
      </c>
      <c r="C376" t="s">
        <v>763</v>
      </c>
      <c r="D376">
        <v>37440.5682</v>
      </c>
      <c r="E376">
        <v>36690.5682</v>
      </c>
      <c r="F376">
        <v>1.4079</v>
      </c>
      <c r="G376">
        <v>750</v>
      </c>
      <c r="H376">
        <v>5.271258</v>
      </c>
      <c r="I376">
        <v>5.145852</v>
      </c>
      <c r="J376">
        <v>0.125406</v>
      </c>
      <c r="K376" s="4">
        <f t="shared" si="15"/>
        <v>0.0243703083571</v>
      </c>
      <c r="L376" s="4">
        <f t="shared" si="16"/>
        <v>0.0204412206404588</v>
      </c>
      <c r="M376" s="18">
        <f t="shared" si="17"/>
        <v>0.1055925</v>
      </c>
    </row>
    <row r="377" spans="1:13">
      <c r="A377" t="s">
        <v>13</v>
      </c>
      <c r="B377" t="s">
        <v>764</v>
      </c>
      <c r="C377" t="s">
        <v>765</v>
      </c>
      <c r="D377">
        <v>65631.046</v>
      </c>
      <c r="E377">
        <v>66031.046</v>
      </c>
      <c r="F377">
        <v>1.3781</v>
      </c>
      <c r="G377">
        <v>-400</v>
      </c>
      <c r="H377">
        <v>9.044614</v>
      </c>
      <c r="I377">
        <v>9.070024</v>
      </c>
      <c r="J377">
        <v>-0.02541</v>
      </c>
      <c r="K377" s="4">
        <f t="shared" si="15"/>
        <v>-0.00280153613705984</v>
      </c>
      <c r="L377" s="4">
        <f t="shared" si="16"/>
        <v>-0.00605775652864866</v>
      </c>
      <c r="M377" s="18">
        <f t="shared" si="17"/>
        <v>-0.055124</v>
      </c>
    </row>
    <row r="378" spans="1:13">
      <c r="A378" t="s">
        <v>13</v>
      </c>
      <c r="B378" t="s">
        <v>766</v>
      </c>
      <c r="C378" t="s">
        <v>767</v>
      </c>
      <c r="D378">
        <v>190419.604</v>
      </c>
      <c r="E378">
        <v>190419.604</v>
      </c>
      <c r="F378">
        <v>1.3974</v>
      </c>
      <c r="G378">
        <v>0</v>
      </c>
      <c r="H378">
        <v>26.609235</v>
      </c>
      <c r="I378">
        <v>26.519738</v>
      </c>
      <c r="J378">
        <v>0.089497</v>
      </c>
      <c r="K378" s="4">
        <f t="shared" si="15"/>
        <v>0.00337473168098418</v>
      </c>
      <c r="L378" s="4">
        <f t="shared" si="16"/>
        <v>0</v>
      </c>
      <c r="M378" s="18">
        <f t="shared" si="17"/>
        <v>0</v>
      </c>
    </row>
    <row r="379" spans="1:13">
      <c r="A379" t="s">
        <v>13</v>
      </c>
      <c r="B379" t="s">
        <v>768</v>
      </c>
      <c r="C379" t="s">
        <v>769</v>
      </c>
      <c r="D379">
        <v>95311.3255</v>
      </c>
      <c r="E379">
        <v>95711.3255</v>
      </c>
      <c r="F379">
        <v>1.3991</v>
      </c>
      <c r="G379">
        <v>-400</v>
      </c>
      <c r="H379">
        <v>13.335008</v>
      </c>
      <c r="I379">
        <v>13.346944</v>
      </c>
      <c r="J379">
        <v>-0.011936</v>
      </c>
      <c r="K379" s="4">
        <f t="shared" si="15"/>
        <v>-0.00089428711171636</v>
      </c>
      <c r="L379" s="4">
        <f t="shared" si="16"/>
        <v>-0.00417923373133099</v>
      </c>
      <c r="M379" s="18">
        <f t="shared" si="17"/>
        <v>-0.055964</v>
      </c>
    </row>
    <row r="380" spans="1:13">
      <c r="A380" t="s">
        <v>13</v>
      </c>
      <c r="B380" t="s">
        <v>770</v>
      </c>
      <c r="C380" t="s">
        <v>771</v>
      </c>
      <c r="D380">
        <v>54568.304</v>
      </c>
      <c r="E380">
        <v>53368.304</v>
      </c>
      <c r="F380">
        <v>0.6709</v>
      </c>
      <c r="G380">
        <v>1200</v>
      </c>
      <c r="H380">
        <v>3.660988</v>
      </c>
      <c r="I380">
        <v>3.568738</v>
      </c>
      <c r="J380">
        <v>0.09225</v>
      </c>
      <c r="K380" s="4">
        <f t="shared" si="15"/>
        <v>0.0258494739597023</v>
      </c>
      <c r="L380" s="4">
        <f t="shared" si="16"/>
        <v>0.0224852564173671</v>
      </c>
      <c r="M380" s="18">
        <f t="shared" si="17"/>
        <v>0.080508</v>
      </c>
    </row>
    <row r="381" spans="1:13">
      <c r="A381" t="s">
        <v>13</v>
      </c>
      <c r="B381" t="s">
        <v>772</v>
      </c>
      <c r="C381" t="s">
        <v>773</v>
      </c>
      <c r="D381">
        <v>25185.2379</v>
      </c>
      <c r="E381">
        <v>25605.2379</v>
      </c>
      <c r="F381">
        <v>2.9257</v>
      </c>
      <c r="G381">
        <v>-420</v>
      </c>
      <c r="H381">
        <v>7.368445</v>
      </c>
      <c r="I381">
        <v>7.334108</v>
      </c>
      <c r="J381">
        <v>0.034337</v>
      </c>
      <c r="K381" s="4">
        <f t="shared" si="15"/>
        <v>0.00468182361099673</v>
      </c>
      <c r="L381" s="4">
        <f t="shared" si="16"/>
        <v>-0.0164028938782092</v>
      </c>
      <c r="M381" s="18">
        <f t="shared" si="17"/>
        <v>-0.1228794</v>
      </c>
    </row>
    <row r="382" spans="1:13">
      <c r="A382" t="s">
        <v>13</v>
      </c>
      <c r="B382" t="s">
        <v>774</v>
      </c>
      <c r="C382" t="s">
        <v>775</v>
      </c>
      <c r="D382">
        <v>44982.2066</v>
      </c>
      <c r="E382">
        <v>46032.2066</v>
      </c>
      <c r="F382">
        <v>3.2182</v>
      </c>
      <c r="G382">
        <v>-1050</v>
      </c>
      <c r="H382">
        <v>14.476174</v>
      </c>
      <c r="I382">
        <v>13.976299</v>
      </c>
      <c r="J382">
        <v>0.499875</v>
      </c>
      <c r="K382" s="4">
        <f t="shared" si="15"/>
        <v>0.0357659062674604</v>
      </c>
      <c r="L382" s="4">
        <f t="shared" si="16"/>
        <v>-0.0228101166021444</v>
      </c>
      <c r="M382" s="18">
        <f t="shared" si="17"/>
        <v>-0.337911</v>
      </c>
    </row>
    <row r="383" spans="1:13">
      <c r="A383" t="s">
        <v>13</v>
      </c>
      <c r="B383" t="s">
        <v>776</v>
      </c>
      <c r="C383" t="s">
        <v>777</v>
      </c>
      <c r="D383">
        <v>25384.8913</v>
      </c>
      <c r="E383">
        <v>25384.8913</v>
      </c>
      <c r="F383">
        <v>101.1931</v>
      </c>
      <c r="G383">
        <v>0</v>
      </c>
      <c r="H383">
        <v>256.877584</v>
      </c>
      <c r="I383">
        <v>256.81793</v>
      </c>
      <c r="J383">
        <v>0.059654</v>
      </c>
      <c r="K383" s="4">
        <f t="shared" si="15"/>
        <v>0.000232281289705902</v>
      </c>
      <c r="L383" s="4">
        <f t="shared" si="16"/>
        <v>0</v>
      </c>
      <c r="M383" s="18">
        <f t="shared" si="17"/>
        <v>0</v>
      </c>
    </row>
    <row r="384" spans="1:13">
      <c r="A384" t="s">
        <v>13</v>
      </c>
      <c r="B384" t="s">
        <v>778</v>
      </c>
      <c r="C384" t="s">
        <v>779</v>
      </c>
      <c r="D384">
        <v>133358.8073</v>
      </c>
      <c r="E384">
        <v>133878.8073</v>
      </c>
      <c r="F384">
        <v>1.1639</v>
      </c>
      <c r="G384">
        <v>-520</v>
      </c>
      <c r="H384">
        <v>15.521632</v>
      </c>
      <c r="I384">
        <v>15.517893</v>
      </c>
      <c r="J384">
        <v>0.003739</v>
      </c>
      <c r="K384" s="4">
        <f t="shared" si="15"/>
        <v>0.000240947659582393</v>
      </c>
      <c r="L384" s="4">
        <f t="shared" si="16"/>
        <v>-0.00388410989376957</v>
      </c>
      <c r="M384" s="18">
        <f t="shared" si="17"/>
        <v>-0.0605228</v>
      </c>
    </row>
    <row r="385" spans="1:13">
      <c r="A385" t="s">
        <v>13</v>
      </c>
      <c r="B385" t="s">
        <v>780</v>
      </c>
      <c r="C385" t="s">
        <v>781</v>
      </c>
      <c r="D385">
        <v>41854.2944</v>
      </c>
      <c r="E385">
        <v>41654.2944</v>
      </c>
      <c r="F385">
        <v>1.1257</v>
      </c>
      <c r="G385">
        <v>200</v>
      </c>
      <c r="H385">
        <v>4.711538</v>
      </c>
      <c r="I385">
        <v>4.670279</v>
      </c>
      <c r="J385">
        <v>0.041259</v>
      </c>
      <c r="K385" s="4">
        <f t="shared" si="15"/>
        <v>0.00883437584778126</v>
      </c>
      <c r="L385" s="4">
        <f t="shared" si="16"/>
        <v>0.00480142570846189</v>
      </c>
      <c r="M385" s="18">
        <f t="shared" si="17"/>
        <v>0.022514</v>
      </c>
    </row>
    <row r="386" spans="1:13">
      <c r="A386" t="s">
        <v>13</v>
      </c>
      <c r="B386" t="s">
        <v>782</v>
      </c>
      <c r="C386" t="s">
        <v>783</v>
      </c>
      <c r="D386">
        <v>217007.1922</v>
      </c>
      <c r="E386">
        <v>220207.1922</v>
      </c>
      <c r="F386">
        <v>2.0649</v>
      </c>
      <c r="G386">
        <v>-3200</v>
      </c>
      <c r="H386">
        <v>44.809815</v>
      </c>
      <c r="I386">
        <v>44.217604</v>
      </c>
      <c r="J386">
        <v>0.592211</v>
      </c>
      <c r="K386" s="4">
        <f t="shared" ref="K386:K449" si="18">IFERROR(J386/I386,"")</f>
        <v>0.0133931047010146</v>
      </c>
      <c r="L386" s="4">
        <f t="shared" ref="L386:L449" si="19">IFERROR((D386-E386)/E386,"")</f>
        <v>-0.014531768776624</v>
      </c>
      <c r="M386" s="18">
        <f t="shared" ref="M386:M449" si="20">IFERROR(F386*G386/10000,"")</f>
        <v>-0.660768</v>
      </c>
    </row>
    <row r="387" spans="1:13">
      <c r="A387" t="s">
        <v>13</v>
      </c>
      <c r="B387" t="s">
        <v>784</v>
      </c>
      <c r="C387" t="s">
        <v>785</v>
      </c>
      <c r="D387">
        <v>445848.6155</v>
      </c>
      <c r="E387">
        <v>444848.6155</v>
      </c>
      <c r="F387">
        <v>0.7929</v>
      </c>
      <c r="G387">
        <v>1000</v>
      </c>
      <c r="H387">
        <v>35.351337</v>
      </c>
      <c r="I387">
        <v>36.157295</v>
      </c>
      <c r="J387">
        <v>-0.805958</v>
      </c>
      <c r="K387" s="4">
        <f t="shared" si="18"/>
        <v>-0.0222903289640445</v>
      </c>
      <c r="L387" s="4">
        <f t="shared" si="19"/>
        <v>0.0022479557430476</v>
      </c>
      <c r="M387" s="18">
        <f t="shared" si="20"/>
        <v>0.07929</v>
      </c>
    </row>
    <row r="388" spans="1:13">
      <c r="A388" t="s">
        <v>13</v>
      </c>
      <c r="B388" t="s">
        <v>786</v>
      </c>
      <c r="C388" t="s">
        <v>787</v>
      </c>
      <c r="D388">
        <v>30722.2838</v>
      </c>
      <c r="E388">
        <v>30822.2838</v>
      </c>
      <c r="F388">
        <v>1.3829</v>
      </c>
      <c r="G388">
        <v>-100</v>
      </c>
      <c r="H388">
        <v>4.248585</v>
      </c>
      <c r="I388">
        <v>4.214947</v>
      </c>
      <c r="J388">
        <v>0.033638</v>
      </c>
      <c r="K388" s="4">
        <f t="shared" si="18"/>
        <v>0.00798064601998554</v>
      </c>
      <c r="L388" s="4">
        <f t="shared" si="19"/>
        <v>-0.0032444059190708</v>
      </c>
      <c r="M388" s="18">
        <f t="shared" si="20"/>
        <v>-0.013829</v>
      </c>
    </row>
    <row r="389" spans="1:13">
      <c r="A389" t="s">
        <v>13</v>
      </c>
      <c r="B389" t="s">
        <v>788</v>
      </c>
      <c r="C389" t="s">
        <v>789</v>
      </c>
      <c r="D389">
        <v>125182.9139</v>
      </c>
      <c r="E389">
        <v>125082.9139</v>
      </c>
      <c r="F389">
        <v>0.7921</v>
      </c>
      <c r="G389">
        <v>100</v>
      </c>
      <c r="H389">
        <v>9.915739</v>
      </c>
      <c r="I389">
        <v>10.162987</v>
      </c>
      <c r="J389">
        <v>-0.247248</v>
      </c>
      <c r="K389" s="4">
        <f t="shared" si="18"/>
        <v>-0.024328280652135</v>
      </c>
      <c r="L389" s="4">
        <f t="shared" si="19"/>
        <v>0.000799469702792077</v>
      </c>
      <c r="M389" s="18">
        <f t="shared" si="20"/>
        <v>0.007921</v>
      </c>
    </row>
    <row r="390" spans="1:13">
      <c r="A390" t="s">
        <v>13</v>
      </c>
      <c r="B390" t="s">
        <v>790</v>
      </c>
      <c r="C390" t="s">
        <v>791</v>
      </c>
      <c r="D390">
        <v>335761.0066</v>
      </c>
      <c r="E390">
        <v>336881.0066</v>
      </c>
      <c r="F390">
        <v>1.3174</v>
      </c>
      <c r="G390">
        <v>-1120</v>
      </c>
      <c r="H390">
        <v>44.233155</v>
      </c>
      <c r="I390">
        <v>44.805174</v>
      </c>
      <c r="J390">
        <v>-0.572019</v>
      </c>
      <c r="K390" s="4">
        <f t="shared" si="18"/>
        <v>-0.0127668067978042</v>
      </c>
      <c r="L390" s="4">
        <f t="shared" si="19"/>
        <v>-0.00332461604559929</v>
      </c>
      <c r="M390" s="18">
        <f t="shared" si="20"/>
        <v>-0.1475488</v>
      </c>
    </row>
    <row r="391" spans="1:13">
      <c r="A391" t="s">
        <v>13</v>
      </c>
      <c r="B391" t="s">
        <v>792</v>
      </c>
      <c r="C391" t="s">
        <v>793</v>
      </c>
      <c r="D391">
        <v>31190.3414</v>
      </c>
      <c r="E391">
        <v>31190.3414</v>
      </c>
      <c r="F391">
        <v>0.5989</v>
      </c>
      <c r="G391">
        <v>0</v>
      </c>
      <c r="H391">
        <v>1.86799</v>
      </c>
      <c r="I391">
        <v>1.877035</v>
      </c>
      <c r="J391">
        <v>-0.009045</v>
      </c>
      <c r="K391" s="4">
        <f t="shared" si="18"/>
        <v>-0.00481877002826266</v>
      </c>
      <c r="L391" s="4">
        <f t="shared" si="19"/>
        <v>0</v>
      </c>
      <c r="M391" s="18">
        <f t="shared" si="20"/>
        <v>0</v>
      </c>
    </row>
    <row r="392" spans="1:13">
      <c r="A392" t="s">
        <v>13</v>
      </c>
      <c r="B392" t="s">
        <v>794</v>
      </c>
      <c r="C392" t="s">
        <v>795</v>
      </c>
      <c r="D392">
        <v>13956.8207</v>
      </c>
      <c r="E392">
        <v>14056.8207</v>
      </c>
      <c r="F392">
        <v>1.3303</v>
      </c>
      <c r="G392">
        <v>-100</v>
      </c>
      <c r="H392">
        <v>1.856676</v>
      </c>
      <c r="I392">
        <v>1.841303</v>
      </c>
      <c r="J392">
        <v>0.015373</v>
      </c>
      <c r="K392" s="4">
        <f t="shared" si="18"/>
        <v>0.00834897895674965</v>
      </c>
      <c r="L392" s="4">
        <f t="shared" si="19"/>
        <v>-0.00711398417424503</v>
      </c>
      <c r="M392" s="18">
        <f t="shared" si="20"/>
        <v>-0.013303</v>
      </c>
    </row>
    <row r="393" spans="1:13">
      <c r="A393" t="s">
        <v>13</v>
      </c>
      <c r="B393" t="s">
        <v>796</v>
      </c>
      <c r="C393" t="s">
        <v>797</v>
      </c>
      <c r="D393">
        <v>862796.29</v>
      </c>
      <c r="E393">
        <v>918876.29</v>
      </c>
      <c r="F393">
        <v>1.1312</v>
      </c>
      <c r="G393">
        <v>-56080</v>
      </c>
      <c r="H393">
        <v>97.599516</v>
      </c>
      <c r="I393">
        <v>104.770275</v>
      </c>
      <c r="J393">
        <v>-7.170759</v>
      </c>
      <c r="K393" s="4">
        <f t="shared" si="18"/>
        <v>-0.0684426856758752</v>
      </c>
      <c r="L393" s="4">
        <f t="shared" si="19"/>
        <v>-0.0610310665432449</v>
      </c>
      <c r="M393" s="18">
        <f t="shared" si="20"/>
        <v>-6.3437696</v>
      </c>
    </row>
    <row r="394" spans="1:13">
      <c r="A394" t="s">
        <v>13</v>
      </c>
      <c r="B394" t="s">
        <v>798</v>
      </c>
      <c r="C394" t="s">
        <v>799</v>
      </c>
      <c r="D394">
        <v>44489.8651</v>
      </c>
      <c r="E394">
        <v>44489.8651</v>
      </c>
      <c r="F394">
        <v>1.8999</v>
      </c>
      <c r="G394">
        <v>0</v>
      </c>
      <c r="H394">
        <v>8.452629</v>
      </c>
      <c r="I394">
        <v>8.499344</v>
      </c>
      <c r="J394">
        <v>-0.046715</v>
      </c>
      <c r="K394" s="4">
        <f t="shared" si="18"/>
        <v>-0.00549630653848109</v>
      </c>
      <c r="L394" s="4">
        <f t="shared" si="19"/>
        <v>0</v>
      </c>
      <c r="M394" s="18">
        <f t="shared" si="20"/>
        <v>0</v>
      </c>
    </row>
    <row r="395" spans="1:13">
      <c r="A395" t="s">
        <v>13</v>
      </c>
      <c r="B395" t="s">
        <v>800</v>
      </c>
      <c r="C395" t="s">
        <v>801</v>
      </c>
      <c r="D395">
        <v>7959.0217</v>
      </c>
      <c r="E395">
        <v>8059.0217</v>
      </c>
      <c r="F395">
        <v>0.8763</v>
      </c>
      <c r="G395">
        <v>-100</v>
      </c>
      <c r="H395">
        <v>0.697449</v>
      </c>
      <c r="I395">
        <v>0.699442</v>
      </c>
      <c r="J395">
        <v>-0.001993</v>
      </c>
      <c r="K395" s="4">
        <f t="shared" si="18"/>
        <v>-0.00284941424735718</v>
      </c>
      <c r="L395" s="4">
        <f t="shared" si="19"/>
        <v>-0.0124084539938638</v>
      </c>
      <c r="M395" s="18">
        <f t="shared" si="20"/>
        <v>-0.008763</v>
      </c>
    </row>
    <row r="396" spans="1:13">
      <c r="A396" t="s">
        <v>13</v>
      </c>
      <c r="B396" t="s">
        <v>802</v>
      </c>
      <c r="C396" t="s">
        <v>803</v>
      </c>
      <c r="D396">
        <v>57905.4898</v>
      </c>
      <c r="E396">
        <v>57905.4898</v>
      </c>
      <c r="F396">
        <v>0.8832</v>
      </c>
      <c r="G396">
        <v>0</v>
      </c>
      <c r="H396">
        <v>5.114213</v>
      </c>
      <c r="I396">
        <v>5.185437</v>
      </c>
      <c r="J396">
        <v>-0.071224</v>
      </c>
      <c r="K396" s="4">
        <f t="shared" si="18"/>
        <v>-0.0137353900934482</v>
      </c>
      <c r="L396" s="4">
        <f t="shared" si="19"/>
        <v>0</v>
      </c>
      <c r="M396" s="18">
        <f t="shared" si="20"/>
        <v>0</v>
      </c>
    </row>
    <row r="397" spans="1:13">
      <c r="A397" t="s">
        <v>13</v>
      </c>
      <c r="B397" t="s">
        <v>804</v>
      </c>
      <c r="C397" t="s">
        <v>805</v>
      </c>
      <c r="D397">
        <v>7856.1112</v>
      </c>
      <c r="E397">
        <v>7856.1112</v>
      </c>
      <c r="F397">
        <v>0.7657</v>
      </c>
      <c r="G397">
        <v>0</v>
      </c>
      <c r="H397">
        <v>0.601542</v>
      </c>
      <c r="I397">
        <v>0.612384</v>
      </c>
      <c r="J397">
        <v>-0.010842</v>
      </c>
      <c r="K397" s="4">
        <f t="shared" si="18"/>
        <v>-0.0177045775199875</v>
      </c>
      <c r="L397" s="4">
        <f t="shared" si="19"/>
        <v>0</v>
      </c>
      <c r="M397" s="18">
        <f t="shared" si="20"/>
        <v>0</v>
      </c>
    </row>
    <row r="398" spans="1:13">
      <c r="A398" t="s">
        <v>13</v>
      </c>
      <c r="B398" t="s">
        <v>806</v>
      </c>
      <c r="C398" t="s">
        <v>807</v>
      </c>
      <c r="D398">
        <v>2741.8382</v>
      </c>
      <c r="E398">
        <v>2741.8382</v>
      </c>
      <c r="F398">
        <v>1.3371</v>
      </c>
      <c r="G398">
        <v>0</v>
      </c>
      <c r="H398">
        <v>0.366611</v>
      </c>
      <c r="I398">
        <v>0.368805</v>
      </c>
      <c r="J398">
        <v>-0.002194</v>
      </c>
      <c r="K398" s="4">
        <f t="shared" si="18"/>
        <v>-0.0059489432084706</v>
      </c>
      <c r="L398" s="4">
        <f t="shared" si="19"/>
        <v>0</v>
      </c>
      <c r="M398" s="18">
        <f t="shared" si="20"/>
        <v>0</v>
      </c>
    </row>
    <row r="399" spans="1:13">
      <c r="A399" t="s">
        <v>13</v>
      </c>
      <c r="B399" t="s">
        <v>808</v>
      </c>
      <c r="C399" t="s">
        <v>809</v>
      </c>
      <c r="D399">
        <v>7013.1407</v>
      </c>
      <c r="E399">
        <v>7013.1407</v>
      </c>
      <c r="F399">
        <v>0.8122</v>
      </c>
      <c r="G399">
        <v>0</v>
      </c>
      <c r="H399">
        <v>0.569607</v>
      </c>
      <c r="I399">
        <v>0.572342</v>
      </c>
      <c r="J399">
        <v>-0.002735</v>
      </c>
      <c r="K399" s="4">
        <f t="shared" si="18"/>
        <v>-0.00477861138969357</v>
      </c>
      <c r="L399" s="4">
        <f t="shared" si="19"/>
        <v>0</v>
      </c>
      <c r="M399" s="18">
        <f t="shared" si="20"/>
        <v>0</v>
      </c>
    </row>
    <row r="400" spans="1:13">
      <c r="A400" t="s">
        <v>13</v>
      </c>
      <c r="B400" t="s">
        <v>810</v>
      </c>
      <c r="C400" t="s">
        <v>811</v>
      </c>
      <c r="D400">
        <v>8198.1007</v>
      </c>
      <c r="E400">
        <v>8198.1007</v>
      </c>
      <c r="F400">
        <v>0.9818</v>
      </c>
      <c r="G400">
        <v>0</v>
      </c>
      <c r="H400">
        <v>0.80489</v>
      </c>
      <c r="I400">
        <v>0.788001</v>
      </c>
      <c r="J400">
        <v>0.016889</v>
      </c>
      <c r="K400" s="4">
        <f t="shared" si="18"/>
        <v>0.0214327139178757</v>
      </c>
      <c r="L400" s="4">
        <f t="shared" si="19"/>
        <v>0</v>
      </c>
      <c r="M400" s="18">
        <f t="shared" si="20"/>
        <v>0</v>
      </c>
    </row>
    <row r="401" spans="1:13">
      <c r="A401" t="s">
        <v>13</v>
      </c>
      <c r="B401" t="s">
        <v>812</v>
      </c>
      <c r="C401" t="s">
        <v>813</v>
      </c>
      <c r="D401">
        <v>2714.0934</v>
      </c>
      <c r="E401">
        <v>2814.0934</v>
      </c>
      <c r="F401">
        <v>1.3503</v>
      </c>
      <c r="G401">
        <v>-100</v>
      </c>
      <c r="H401">
        <v>0.366484</v>
      </c>
      <c r="I401">
        <v>0.374725</v>
      </c>
      <c r="J401">
        <v>-0.008241</v>
      </c>
      <c r="K401" s="4">
        <f t="shared" si="18"/>
        <v>-0.0219921275602108</v>
      </c>
      <c r="L401" s="4">
        <f t="shared" si="19"/>
        <v>-0.0355354232379067</v>
      </c>
      <c r="M401" s="18">
        <f t="shared" si="20"/>
        <v>-0.013503</v>
      </c>
    </row>
    <row r="402" spans="1:13">
      <c r="A402" t="s">
        <v>13</v>
      </c>
      <c r="B402" t="s">
        <v>814</v>
      </c>
      <c r="C402" t="s">
        <v>815</v>
      </c>
      <c r="D402">
        <v>1143.4717</v>
      </c>
      <c r="E402">
        <v>1143.4717</v>
      </c>
      <c r="F402">
        <v>1.2033</v>
      </c>
      <c r="G402">
        <v>0</v>
      </c>
      <c r="H402">
        <v>0.137594</v>
      </c>
      <c r="I402">
        <v>0.136702</v>
      </c>
      <c r="J402">
        <v>0.000892</v>
      </c>
      <c r="K402" s="4">
        <f t="shared" si="18"/>
        <v>0.00652514228028851</v>
      </c>
      <c r="L402" s="4">
        <f t="shared" si="19"/>
        <v>0</v>
      </c>
      <c r="M402" s="18">
        <f t="shared" si="20"/>
        <v>0</v>
      </c>
    </row>
    <row r="403" spans="1:13">
      <c r="A403" t="s">
        <v>13</v>
      </c>
      <c r="B403" t="s">
        <v>816</v>
      </c>
      <c r="C403" t="s">
        <v>817</v>
      </c>
      <c r="D403">
        <v>107060.3238</v>
      </c>
      <c r="E403">
        <v>106860.3238</v>
      </c>
      <c r="F403">
        <v>0.9085</v>
      </c>
      <c r="G403">
        <v>200</v>
      </c>
      <c r="H403">
        <v>9.72643</v>
      </c>
      <c r="I403">
        <v>9.802298</v>
      </c>
      <c r="J403">
        <v>-0.075868</v>
      </c>
      <c r="K403" s="4">
        <f t="shared" si="18"/>
        <v>-0.00773981774477781</v>
      </c>
      <c r="L403" s="4">
        <f t="shared" si="19"/>
        <v>0.00187160203982088</v>
      </c>
      <c r="M403" s="18">
        <f t="shared" si="20"/>
        <v>0.01817</v>
      </c>
    </row>
    <row r="404" spans="1:13">
      <c r="A404" t="s">
        <v>13</v>
      </c>
      <c r="B404" t="s">
        <v>818</v>
      </c>
      <c r="C404" t="s">
        <v>819</v>
      </c>
      <c r="D404">
        <v>304927.1695</v>
      </c>
      <c r="E404">
        <v>306027.1695</v>
      </c>
      <c r="F404">
        <v>1.075</v>
      </c>
      <c r="G404">
        <v>-1100</v>
      </c>
      <c r="H404">
        <v>32.779671</v>
      </c>
      <c r="I404">
        <v>32.852017</v>
      </c>
      <c r="J404">
        <v>-0.072346</v>
      </c>
      <c r="K404" s="4">
        <f t="shared" si="18"/>
        <v>-0.00220217833200318</v>
      </c>
      <c r="L404" s="4">
        <f t="shared" si="19"/>
        <v>-0.00359445209324788</v>
      </c>
      <c r="M404" s="18">
        <f t="shared" si="20"/>
        <v>-0.11825</v>
      </c>
    </row>
    <row r="405" spans="1:13">
      <c r="A405" t="s">
        <v>13</v>
      </c>
      <c r="B405" t="s">
        <v>820</v>
      </c>
      <c r="C405" t="s">
        <v>821</v>
      </c>
      <c r="D405">
        <v>217451.3777</v>
      </c>
      <c r="E405">
        <v>217891.3777</v>
      </c>
      <c r="F405">
        <v>1.3022</v>
      </c>
      <c r="G405">
        <v>-440</v>
      </c>
      <c r="H405">
        <v>28.316518</v>
      </c>
      <c r="I405">
        <v>28.572096</v>
      </c>
      <c r="J405">
        <v>-0.255578</v>
      </c>
      <c r="K405" s="4">
        <f t="shared" si="18"/>
        <v>-0.00894502104430841</v>
      </c>
      <c r="L405" s="4">
        <f t="shared" si="19"/>
        <v>-0.00201935480258336</v>
      </c>
      <c r="M405" s="18">
        <f t="shared" si="20"/>
        <v>-0.0572968</v>
      </c>
    </row>
    <row r="406" spans="1:13">
      <c r="A406" t="s">
        <v>13</v>
      </c>
      <c r="B406" t="s">
        <v>822</v>
      </c>
      <c r="C406" t="s">
        <v>823</v>
      </c>
      <c r="D406">
        <v>1911.6776</v>
      </c>
      <c r="E406">
        <v>1911.6776</v>
      </c>
      <c r="F406">
        <v>1.3839</v>
      </c>
      <c r="G406">
        <v>0</v>
      </c>
      <c r="H406">
        <v>0.264557</v>
      </c>
      <c r="I406">
        <v>0.261919</v>
      </c>
      <c r="J406">
        <v>0.002638</v>
      </c>
      <c r="K406" s="4">
        <f t="shared" si="18"/>
        <v>0.0100718160958159</v>
      </c>
      <c r="L406" s="4">
        <f t="shared" si="19"/>
        <v>0</v>
      </c>
      <c r="M406" s="18">
        <f t="shared" si="20"/>
        <v>0</v>
      </c>
    </row>
    <row r="407" spans="1:13">
      <c r="A407" t="s">
        <v>13</v>
      </c>
      <c r="B407" t="s">
        <v>824</v>
      </c>
      <c r="C407" t="s">
        <v>825</v>
      </c>
      <c r="D407">
        <v>21828.325</v>
      </c>
      <c r="E407">
        <v>23328.325</v>
      </c>
      <c r="F407">
        <v>1.5199</v>
      </c>
      <c r="G407">
        <v>-1500</v>
      </c>
      <c r="H407">
        <v>3.317687</v>
      </c>
      <c r="I407">
        <v>3.528642</v>
      </c>
      <c r="J407">
        <v>-0.210955</v>
      </c>
      <c r="K407" s="4">
        <f t="shared" si="18"/>
        <v>-0.0597836221413224</v>
      </c>
      <c r="L407" s="4">
        <f t="shared" si="19"/>
        <v>-0.0642995157174808</v>
      </c>
      <c r="M407" s="18">
        <f t="shared" si="20"/>
        <v>-0.227985</v>
      </c>
    </row>
    <row r="408" spans="1:13">
      <c r="A408" t="s">
        <v>13</v>
      </c>
      <c r="B408" t="s">
        <v>826</v>
      </c>
      <c r="C408" t="s">
        <v>827</v>
      </c>
      <c r="D408">
        <v>35325.2663</v>
      </c>
      <c r="E408">
        <v>35525.2663</v>
      </c>
      <c r="F408">
        <v>3.6067</v>
      </c>
      <c r="G408">
        <v>-200</v>
      </c>
      <c r="H408">
        <v>12.740764</v>
      </c>
      <c r="I408">
        <v>12.720177</v>
      </c>
      <c r="J408">
        <v>0.020587</v>
      </c>
      <c r="K408" s="4">
        <f t="shared" si="18"/>
        <v>0.00161845232185055</v>
      </c>
      <c r="L408" s="4">
        <f t="shared" si="19"/>
        <v>-0.00562979594047406</v>
      </c>
      <c r="M408" s="18">
        <f t="shared" si="20"/>
        <v>-0.072134</v>
      </c>
    </row>
    <row r="409" spans="1:13">
      <c r="A409" t="s">
        <v>13</v>
      </c>
      <c r="B409" t="s">
        <v>828</v>
      </c>
      <c r="C409" t="s">
        <v>829</v>
      </c>
      <c r="D409">
        <v>911.3744</v>
      </c>
      <c r="E409">
        <v>911.3744</v>
      </c>
      <c r="F409">
        <v>1.4491</v>
      </c>
      <c r="G409">
        <v>0</v>
      </c>
      <c r="H409">
        <v>0.132067</v>
      </c>
      <c r="I409">
        <v>0.130764</v>
      </c>
      <c r="J409">
        <v>0.001303</v>
      </c>
      <c r="K409" s="4">
        <f t="shared" si="18"/>
        <v>0.00996451622770793</v>
      </c>
      <c r="L409" s="4">
        <f t="shared" si="19"/>
        <v>0</v>
      </c>
      <c r="M409" s="18">
        <f t="shared" si="20"/>
        <v>0</v>
      </c>
    </row>
    <row r="410" spans="1:13">
      <c r="A410" t="s">
        <v>13</v>
      </c>
      <c r="B410" t="s">
        <v>830</v>
      </c>
      <c r="C410" t="s">
        <v>831</v>
      </c>
      <c r="D410">
        <v>4133.2605</v>
      </c>
      <c r="E410">
        <v>4133.2605</v>
      </c>
      <c r="F410">
        <v>1.3259</v>
      </c>
      <c r="G410">
        <v>0</v>
      </c>
      <c r="H410">
        <v>0.548029</v>
      </c>
      <c r="I410">
        <v>0.542614</v>
      </c>
      <c r="J410">
        <v>0.005415</v>
      </c>
      <c r="K410" s="4">
        <f t="shared" si="18"/>
        <v>0.00997946975197839</v>
      </c>
      <c r="L410" s="4">
        <f t="shared" si="19"/>
        <v>0</v>
      </c>
      <c r="M410" s="18">
        <f t="shared" si="20"/>
        <v>0</v>
      </c>
    </row>
    <row r="411" spans="1:13">
      <c r="A411" t="s">
        <v>13</v>
      </c>
      <c r="B411" t="s">
        <v>832</v>
      </c>
      <c r="C411" t="s">
        <v>833</v>
      </c>
      <c r="D411">
        <v>483272.064</v>
      </c>
      <c r="E411">
        <v>483172.064</v>
      </c>
      <c r="F411">
        <v>2.3115</v>
      </c>
      <c r="G411">
        <v>100</v>
      </c>
      <c r="H411">
        <v>111.708338</v>
      </c>
      <c r="I411">
        <v>113.791853</v>
      </c>
      <c r="J411">
        <v>-2.083515</v>
      </c>
      <c r="K411" s="4">
        <f t="shared" si="18"/>
        <v>-0.0183098784760979</v>
      </c>
      <c r="L411" s="4">
        <f t="shared" si="19"/>
        <v>0.000206965608011642</v>
      </c>
      <c r="M411" s="18">
        <f t="shared" si="20"/>
        <v>0.023115</v>
      </c>
    </row>
    <row r="412" spans="1:13">
      <c r="A412" t="s">
        <v>13</v>
      </c>
      <c r="B412" t="s">
        <v>834</v>
      </c>
      <c r="C412" t="s">
        <v>835</v>
      </c>
      <c r="D412">
        <v>54216.2658</v>
      </c>
      <c r="E412">
        <v>55516.2658</v>
      </c>
      <c r="F412">
        <v>3.6958</v>
      </c>
      <c r="G412">
        <v>-1300</v>
      </c>
      <c r="H412">
        <v>20.037248</v>
      </c>
      <c r="I412">
        <v>20.37558</v>
      </c>
      <c r="J412">
        <v>-0.338332</v>
      </c>
      <c r="K412" s="4">
        <f t="shared" si="18"/>
        <v>-0.0166047788578288</v>
      </c>
      <c r="L412" s="4">
        <f t="shared" si="19"/>
        <v>-0.0234165605569242</v>
      </c>
      <c r="M412" s="18">
        <f t="shared" si="20"/>
        <v>-0.480454</v>
      </c>
    </row>
    <row r="413" spans="1:13">
      <c r="A413" t="s">
        <v>13</v>
      </c>
      <c r="B413" t="s">
        <v>836</v>
      </c>
      <c r="C413" t="s">
        <v>837</v>
      </c>
      <c r="D413">
        <v>13184.698</v>
      </c>
      <c r="E413">
        <v>13184.698</v>
      </c>
      <c r="F413">
        <v>1.0389</v>
      </c>
      <c r="G413">
        <v>0</v>
      </c>
      <c r="H413">
        <v>1.369758</v>
      </c>
      <c r="I413">
        <v>1.341279</v>
      </c>
      <c r="J413">
        <v>0.028479</v>
      </c>
      <c r="K413" s="4">
        <f t="shared" si="18"/>
        <v>0.0212327189197773</v>
      </c>
      <c r="L413" s="4">
        <f t="shared" si="19"/>
        <v>0</v>
      </c>
      <c r="M413" s="18">
        <f t="shared" si="20"/>
        <v>0</v>
      </c>
    </row>
    <row r="414" spans="1:13">
      <c r="A414" t="s">
        <v>13</v>
      </c>
      <c r="B414" t="s">
        <v>838</v>
      </c>
      <c r="C414" t="s">
        <v>839</v>
      </c>
      <c r="D414">
        <v>4496850.1206</v>
      </c>
      <c r="E414">
        <v>4526850.1206</v>
      </c>
      <c r="F414">
        <v>0.5049</v>
      </c>
      <c r="G414">
        <v>-30000</v>
      </c>
      <c r="H414">
        <v>227.045963</v>
      </c>
      <c r="I414">
        <v>228.787005</v>
      </c>
      <c r="J414">
        <v>-1.741042</v>
      </c>
      <c r="K414" s="4">
        <f t="shared" si="18"/>
        <v>-0.00760988151403092</v>
      </c>
      <c r="L414" s="4">
        <f t="shared" si="19"/>
        <v>-0.00662712464534252</v>
      </c>
      <c r="M414" s="18">
        <f t="shared" si="20"/>
        <v>-1.5147</v>
      </c>
    </row>
    <row r="415" spans="1:13">
      <c r="A415" t="s">
        <v>13</v>
      </c>
      <c r="B415" t="s">
        <v>840</v>
      </c>
      <c r="C415" t="s">
        <v>841</v>
      </c>
      <c r="D415">
        <v>62376.8094</v>
      </c>
      <c r="E415">
        <v>62776.8094</v>
      </c>
      <c r="F415">
        <v>0.9688</v>
      </c>
      <c r="G415">
        <v>-400</v>
      </c>
      <c r="H415">
        <v>6.043065</v>
      </c>
      <c r="I415">
        <v>6.115717</v>
      </c>
      <c r="J415">
        <v>-0.072652</v>
      </c>
      <c r="K415" s="4">
        <f t="shared" si="18"/>
        <v>-0.011879555577866</v>
      </c>
      <c r="L415" s="4">
        <f t="shared" si="19"/>
        <v>-0.00637177970373244</v>
      </c>
      <c r="M415" s="18">
        <f t="shared" si="20"/>
        <v>-0.038752</v>
      </c>
    </row>
    <row r="416" spans="1:13">
      <c r="A416" t="s">
        <v>13</v>
      </c>
      <c r="B416" t="s">
        <v>842</v>
      </c>
      <c r="C416" t="s">
        <v>843</v>
      </c>
      <c r="D416">
        <v>145934.1932</v>
      </c>
      <c r="E416">
        <v>146434.1932</v>
      </c>
      <c r="F416">
        <v>0.9432</v>
      </c>
      <c r="G416">
        <v>-500</v>
      </c>
      <c r="H416">
        <v>13.764513</v>
      </c>
      <c r="I416">
        <v>13.697454</v>
      </c>
      <c r="J416">
        <v>0.067059</v>
      </c>
      <c r="K416" s="4">
        <f t="shared" si="18"/>
        <v>0.00489572733735773</v>
      </c>
      <c r="L416" s="4">
        <f t="shared" si="19"/>
        <v>-0.00341450305474145</v>
      </c>
      <c r="M416" s="18">
        <f t="shared" si="20"/>
        <v>-0.04716</v>
      </c>
    </row>
    <row r="417" spans="1:13">
      <c r="A417" t="s">
        <v>13</v>
      </c>
      <c r="B417" t="s">
        <v>844</v>
      </c>
      <c r="C417" t="s">
        <v>845</v>
      </c>
      <c r="D417">
        <v>21129.0171</v>
      </c>
      <c r="E417">
        <v>21129.0171</v>
      </c>
      <c r="F417">
        <v>1.0485</v>
      </c>
      <c r="G417">
        <v>0</v>
      </c>
      <c r="H417">
        <v>2.215377</v>
      </c>
      <c r="I417">
        <v>2.215166</v>
      </c>
      <c r="J417">
        <v>0.000211</v>
      </c>
      <c r="K417" s="4">
        <f t="shared" si="18"/>
        <v>9.52524551207449e-5</v>
      </c>
      <c r="L417" s="4">
        <f t="shared" si="19"/>
        <v>0</v>
      </c>
      <c r="M417" s="18">
        <f t="shared" si="20"/>
        <v>0</v>
      </c>
    </row>
    <row r="418" spans="1:13">
      <c r="A418" t="s">
        <v>13</v>
      </c>
      <c r="B418" t="s">
        <v>846</v>
      </c>
      <c r="C418" t="s">
        <v>847</v>
      </c>
      <c r="D418">
        <v>6184.5198</v>
      </c>
      <c r="E418">
        <v>6184.5198</v>
      </c>
      <c r="F418">
        <v>1.0287</v>
      </c>
      <c r="G418">
        <v>0</v>
      </c>
      <c r="H418">
        <v>0.636202</v>
      </c>
      <c r="I418">
        <v>0.63614</v>
      </c>
      <c r="J418">
        <v>6.2e-5</v>
      </c>
      <c r="K418" s="4">
        <f t="shared" si="18"/>
        <v>9.74628226491024e-5</v>
      </c>
      <c r="L418" s="4">
        <f t="shared" si="19"/>
        <v>0</v>
      </c>
      <c r="M418" s="18">
        <f t="shared" si="20"/>
        <v>0</v>
      </c>
    </row>
    <row r="419" spans="1:13">
      <c r="A419" t="s">
        <v>13</v>
      </c>
      <c r="B419" t="s">
        <v>848</v>
      </c>
      <c r="C419" t="s">
        <v>849</v>
      </c>
      <c r="D419">
        <v>9271.9131</v>
      </c>
      <c r="E419">
        <v>9271.9131</v>
      </c>
      <c r="F419">
        <v>1.0911</v>
      </c>
      <c r="G419">
        <v>0</v>
      </c>
      <c r="H419">
        <v>1.011658</v>
      </c>
      <c r="I419">
        <v>1.011658</v>
      </c>
      <c r="J419">
        <v>0</v>
      </c>
      <c r="K419" s="4">
        <f t="shared" si="18"/>
        <v>0</v>
      </c>
      <c r="L419" s="4">
        <f t="shared" si="19"/>
        <v>0</v>
      </c>
      <c r="M419" s="18">
        <f t="shared" si="20"/>
        <v>0</v>
      </c>
    </row>
    <row r="420" spans="1:13">
      <c r="A420" t="s">
        <v>13</v>
      </c>
      <c r="B420" t="s">
        <v>850</v>
      </c>
      <c r="C420" t="s">
        <v>851</v>
      </c>
      <c r="D420">
        <v>2343.9923</v>
      </c>
      <c r="E420">
        <v>2343.9923</v>
      </c>
      <c r="F420">
        <v>1.0344</v>
      </c>
      <c r="G420">
        <v>0</v>
      </c>
      <c r="H420">
        <v>0.242463</v>
      </c>
      <c r="I420">
        <v>0.242416</v>
      </c>
      <c r="J420">
        <v>4.7e-5</v>
      </c>
      <c r="K420" s="4">
        <f t="shared" si="18"/>
        <v>0.000193881591974127</v>
      </c>
      <c r="L420" s="4">
        <f t="shared" si="19"/>
        <v>0</v>
      </c>
      <c r="M420" s="18">
        <f t="shared" si="20"/>
        <v>0</v>
      </c>
    </row>
    <row r="421" spans="1:13">
      <c r="A421" t="s">
        <v>13</v>
      </c>
      <c r="B421" t="s">
        <v>852</v>
      </c>
      <c r="C421" t="s">
        <v>853</v>
      </c>
      <c r="D421">
        <v>28639.0617</v>
      </c>
      <c r="E421">
        <v>28639.0617</v>
      </c>
      <c r="F421">
        <v>0.4847</v>
      </c>
      <c r="G421">
        <v>0</v>
      </c>
      <c r="H421">
        <v>1.388135</v>
      </c>
      <c r="I421">
        <v>1.40045</v>
      </c>
      <c r="J421">
        <v>-0.012315</v>
      </c>
      <c r="K421" s="4">
        <f t="shared" si="18"/>
        <v>-0.00879360205648184</v>
      </c>
      <c r="L421" s="4">
        <f t="shared" si="19"/>
        <v>0</v>
      </c>
      <c r="M421" s="18">
        <f t="shared" si="20"/>
        <v>0</v>
      </c>
    </row>
    <row r="422" spans="1:13">
      <c r="A422" t="s">
        <v>13</v>
      </c>
      <c r="B422" t="s">
        <v>854</v>
      </c>
      <c r="C422" t="s">
        <v>855</v>
      </c>
      <c r="D422">
        <v>6054.074</v>
      </c>
      <c r="E422">
        <v>6154.074</v>
      </c>
      <c r="F422">
        <v>0.5435</v>
      </c>
      <c r="G422">
        <v>-100</v>
      </c>
      <c r="H422">
        <v>0.329039</v>
      </c>
      <c r="I422">
        <v>0.337489</v>
      </c>
      <c r="J422">
        <v>-0.00845</v>
      </c>
      <c r="K422" s="4">
        <f t="shared" si="18"/>
        <v>-0.025037853085582</v>
      </c>
      <c r="L422" s="4">
        <f t="shared" si="19"/>
        <v>-0.0162493983660255</v>
      </c>
      <c r="M422" s="18">
        <f t="shared" si="20"/>
        <v>-0.005435</v>
      </c>
    </row>
    <row r="423" spans="1:13">
      <c r="A423" t="s">
        <v>13</v>
      </c>
      <c r="B423" t="s">
        <v>856</v>
      </c>
      <c r="C423" t="s">
        <v>857</v>
      </c>
      <c r="D423">
        <v>157146.1752</v>
      </c>
      <c r="E423">
        <v>157246.1752</v>
      </c>
      <c r="F423">
        <v>0.8372</v>
      </c>
      <c r="G423">
        <v>-100</v>
      </c>
      <c r="H423">
        <v>13.156278</v>
      </c>
      <c r="I423">
        <v>13.36278</v>
      </c>
      <c r="J423">
        <v>-0.206502</v>
      </c>
      <c r="K423" s="4">
        <f t="shared" si="18"/>
        <v>-0.0154535208990943</v>
      </c>
      <c r="L423" s="4">
        <f t="shared" si="19"/>
        <v>-0.0006359455158309</v>
      </c>
      <c r="M423" s="18">
        <f t="shared" si="20"/>
        <v>-0.008372</v>
      </c>
    </row>
    <row r="424" spans="1:13">
      <c r="A424" t="s">
        <v>13</v>
      </c>
      <c r="B424" t="s">
        <v>858</v>
      </c>
      <c r="C424" t="s">
        <v>859</v>
      </c>
      <c r="D424">
        <v>3026.1877</v>
      </c>
      <c r="E424">
        <v>3026.1877</v>
      </c>
      <c r="F424">
        <v>110.0149</v>
      </c>
      <c r="G424">
        <v>0</v>
      </c>
      <c r="H424">
        <v>33.292574</v>
      </c>
      <c r="I424">
        <v>33.282194</v>
      </c>
      <c r="J424">
        <v>0.01038</v>
      </c>
      <c r="K424" s="4">
        <f t="shared" si="18"/>
        <v>0.000311878477722953</v>
      </c>
      <c r="L424" s="4">
        <f t="shared" si="19"/>
        <v>0</v>
      </c>
      <c r="M424" s="18">
        <f t="shared" si="20"/>
        <v>0</v>
      </c>
    </row>
    <row r="425" spans="1:13">
      <c r="A425" t="s">
        <v>13</v>
      </c>
      <c r="B425" t="s">
        <v>860</v>
      </c>
      <c r="C425" t="s">
        <v>861</v>
      </c>
      <c r="D425">
        <v>4961.4196</v>
      </c>
      <c r="E425">
        <v>4962.2196</v>
      </c>
      <c r="F425">
        <v>107.7164</v>
      </c>
      <c r="G425">
        <v>-0.8</v>
      </c>
      <c r="H425">
        <v>53.442626</v>
      </c>
      <c r="I425">
        <v>53.441964</v>
      </c>
      <c r="J425">
        <v>0.000662</v>
      </c>
      <c r="K425" s="4">
        <f t="shared" si="18"/>
        <v>1.23872693002076e-5</v>
      </c>
      <c r="L425" s="4">
        <f t="shared" si="19"/>
        <v>-0.000161218177446275</v>
      </c>
      <c r="M425" s="18">
        <f t="shared" si="20"/>
        <v>-0.008617312</v>
      </c>
    </row>
    <row r="426" spans="1:13">
      <c r="A426" t="s">
        <v>13</v>
      </c>
      <c r="B426" t="s">
        <v>862</v>
      </c>
      <c r="C426" t="s">
        <v>863</v>
      </c>
      <c r="D426">
        <v>1208.6448</v>
      </c>
      <c r="E426">
        <v>1159.2448</v>
      </c>
      <c r="F426">
        <v>107.8196</v>
      </c>
      <c r="G426">
        <v>49.4</v>
      </c>
      <c r="H426">
        <v>13.03156</v>
      </c>
      <c r="I426">
        <v>12.496636</v>
      </c>
      <c r="J426">
        <v>0.534924</v>
      </c>
      <c r="K426" s="4">
        <f t="shared" si="18"/>
        <v>0.042805439799959</v>
      </c>
      <c r="L426" s="4">
        <f t="shared" si="19"/>
        <v>0.0426139500474793</v>
      </c>
      <c r="M426" s="18">
        <f t="shared" si="20"/>
        <v>0.532628824</v>
      </c>
    </row>
    <row r="427" spans="1:13">
      <c r="A427" t="s">
        <v>13</v>
      </c>
      <c r="B427" t="s">
        <v>864</v>
      </c>
      <c r="C427" t="s">
        <v>865</v>
      </c>
      <c r="D427">
        <v>196632.0287</v>
      </c>
      <c r="E427">
        <v>199532.0287</v>
      </c>
      <c r="F427">
        <v>1.7287</v>
      </c>
      <c r="G427">
        <v>-2900</v>
      </c>
      <c r="H427">
        <v>33.991779</v>
      </c>
      <c r="I427">
        <v>34.584887</v>
      </c>
      <c r="J427">
        <v>-0.593108</v>
      </c>
      <c r="K427" s="4">
        <f t="shared" si="18"/>
        <v>-0.0171493404040904</v>
      </c>
      <c r="L427" s="4">
        <f t="shared" si="19"/>
        <v>-0.014534007491901</v>
      </c>
      <c r="M427" s="18">
        <f t="shared" si="20"/>
        <v>-0.501323</v>
      </c>
    </row>
    <row r="428" spans="1:13">
      <c r="A428" t="s">
        <v>13</v>
      </c>
      <c r="B428" t="s">
        <v>866</v>
      </c>
      <c r="C428" t="s">
        <v>867</v>
      </c>
      <c r="D428">
        <v>5597.2068</v>
      </c>
      <c r="E428">
        <v>5597.2068</v>
      </c>
      <c r="F428">
        <v>1.2658</v>
      </c>
      <c r="G428">
        <v>0</v>
      </c>
      <c r="H428">
        <v>0.708494</v>
      </c>
      <c r="I428">
        <v>0.703961</v>
      </c>
      <c r="J428">
        <v>0.004533</v>
      </c>
      <c r="K428" s="4">
        <f t="shared" si="18"/>
        <v>0.00643927717586628</v>
      </c>
      <c r="L428" s="4">
        <f t="shared" si="19"/>
        <v>0</v>
      </c>
      <c r="M428" s="18">
        <f t="shared" si="20"/>
        <v>0</v>
      </c>
    </row>
    <row r="429" spans="1:13">
      <c r="A429" t="s">
        <v>13</v>
      </c>
      <c r="B429" t="s">
        <v>868</v>
      </c>
      <c r="C429" t="s">
        <v>869</v>
      </c>
      <c r="D429">
        <v>211814.3045</v>
      </c>
      <c r="E429">
        <v>211714.3045</v>
      </c>
      <c r="F429">
        <v>1.8486</v>
      </c>
      <c r="G429">
        <v>100</v>
      </c>
      <c r="H429">
        <v>39.155992</v>
      </c>
      <c r="I429">
        <v>39.359806</v>
      </c>
      <c r="J429">
        <v>-0.203814</v>
      </c>
      <c r="K429" s="4">
        <f t="shared" si="18"/>
        <v>-0.00517822674227612</v>
      </c>
      <c r="L429" s="4">
        <f t="shared" si="19"/>
        <v>0.000472334640950064</v>
      </c>
      <c r="M429" s="18">
        <f t="shared" si="20"/>
        <v>0.018486</v>
      </c>
    </row>
    <row r="430" spans="1:13">
      <c r="A430" t="s">
        <v>13</v>
      </c>
      <c r="B430" t="s">
        <v>870</v>
      </c>
      <c r="C430" t="s">
        <v>871</v>
      </c>
      <c r="D430">
        <v>25823.8451</v>
      </c>
      <c r="E430">
        <v>26423.8451</v>
      </c>
      <c r="F430">
        <v>1.3303</v>
      </c>
      <c r="G430">
        <v>-600</v>
      </c>
      <c r="H430">
        <v>3.435346</v>
      </c>
      <c r="I430">
        <v>3.460731</v>
      </c>
      <c r="J430">
        <v>-0.025385</v>
      </c>
      <c r="K430" s="4">
        <f t="shared" si="18"/>
        <v>-0.00733515549171548</v>
      </c>
      <c r="L430" s="4">
        <f t="shared" si="19"/>
        <v>-0.0227067634452641</v>
      </c>
      <c r="M430" s="18">
        <f t="shared" si="20"/>
        <v>-0.079818</v>
      </c>
    </row>
    <row r="431" spans="1:13">
      <c r="A431" t="s">
        <v>13</v>
      </c>
      <c r="B431" t="s">
        <v>872</v>
      </c>
      <c r="C431" t="s">
        <v>873</v>
      </c>
      <c r="D431">
        <v>17151.4819</v>
      </c>
      <c r="E431">
        <v>17351.4819</v>
      </c>
      <c r="F431">
        <v>0.5266</v>
      </c>
      <c r="G431">
        <v>-200</v>
      </c>
      <c r="H431">
        <v>0.903197</v>
      </c>
      <c r="I431">
        <v>0.922058</v>
      </c>
      <c r="J431">
        <v>-0.018861</v>
      </c>
      <c r="K431" s="4">
        <f t="shared" si="18"/>
        <v>-0.0204553292742973</v>
      </c>
      <c r="L431" s="4">
        <f t="shared" si="19"/>
        <v>-0.0115263930281367</v>
      </c>
      <c r="M431" s="18">
        <f t="shared" si="20"/>
        <v>-0.010532</v>
      </c>
    </row>
    <row r="432" spans="1:13">
      <c r="A432" t="s">
        <v>13</v>
      </c>
      <c r="B432" t="s">
        <v>874</v>
      </c>
      <c r="C432" t="s">
        <v>875</v>
      </c>
      <c r="D432">
        <v>4439.4877</v>
      </c>
      <c r="E432">
        <v>4439.4877</v>
      </c>
      <c r="F432">
        <v>1.9636</v>
      </c>
      <c r="G432">
        <v>0</v>
      </c>
      <c r="H432">
        <v>0.871738</v>
      </c>
      <c r="I432">
        <v>0.833425</v>
      </c>
      <c r="J432">
        <v>0.038313</v>
      </c>
      <c r="K432" s="4">
        <f t="shared" si="18"/>
        <v>0.0459705432402436</v>
      </c>
      <c r="L432" s="4">
        <f t="shared" si="19"/>
        <v>0</v>
      </c>
      <c r="M432" s="18">
        <f t="shared" si="20"/>
        <v>0</v>
      </c>
    </row>
    <row r="433" spans="1:13">
      <c r="A433" t="s">
        <v>13</v>
      </c>
      <c r="B433" t="s">
        <v>876</v>
      </c>
      <c r="C433" t="s">
        <v>877</v>
      </c>
      <c r="D433">
        <v>433274.4064</v>
      </c>
      <c r="E433">
        <v>433174.4064</v>
      </c>
      <c r="F433">
        <v>2.1939</v>
      </c>
      <c r="G433">
        <v>100</v>
      </c>
      <c r="H433">
        <v>95.056072</v>
      </c>
      <c r="I433">
        <v>96.827475</v>
      </c>
      <c r="J433">
        <v>-1.771403</v>
      </c>
      <c r="K433" s="4">
        <f t="shared" si="18"/>
        <v>-0.0182944252135047</v>
      </c>
      <c r="L433" s="4">
        <f t="shared" si="19"/>
        <v>0.00023085389746609</v>
      </c>
      <c r="M433" s="18">
        <f t="shared" si="20"/>
        <v>0.021939</v>
      </c>
    </row>
    <row r="434" spans="1:13">
      <c r="A434" t="s">
        <v>13</v>
      </c>
      <c r="B434" t="s">
        <v>878</v>
      </c>
      <c r="C434" t="s">
        <v>879</v>
      </c>
      <c r="D434">
        <v>211515.1363</v>
      </c>
      <c r="E434">
        <v>211515.1363</v>
      </c>
      <c r="F434">
        <v>2.2252</v>
      </c>
      <c r="G434">
        <v>0</v>
      </c>
      <c r="H434">
        <v>47.066348</v>
      </c>
      <c r="I434">
        <v>47.956827</v>
      </c>
      <c r="J434">
        <v>-0.890479</v>
      </c>
      <c r="K434" s="4">
        <f t="shared" si="18"/>
        <v>-0.018568346900849</v>
      </c>
      <c r="L434" s="4">
        <f t="shared" si="19"/>
        <v>0</v>
      </c>
      <c r="M434" s="18">
        <f t="shared" si="20"/>
        <v>0</v>
      </c>
    </row>
    <row r="435" spans="1:13">
      <c r="A435" t="s">
        <v>13</v>
      </c>
      <c r="B435" t="s">
        <v>880</v>
      </c>
      <c r="C435" t="s">
        <v>881</v>
      </c>
      <c r="D435">
        <v>2870.8213</v>
      </c>
      <c r="E435">
        <v>2720.8213</v>
      </c>
      <c r="F435">
        <v>1.4937</v>
      </c>
      <c r="G435">
        <v>150</v>
      </c>
      <c r="H435">
        <v>0.428815</v>
      </c>
      <c r="I435">
        <v>0.402382</v>
      </c>
      <c r="J435">
        <v>0.026433</v>
      </c>
      <c r="K435" s="4">
        <f t="shared" si="18"/>
        <v>0.0656913082593158</v>
      </c>
      <c r="L435" s="4">
        <f t="shared" si="19"/>
        <v>0.0551304122766166</v>
      </c>
      <c r="M435" s="18">
        <f t="shared" si="20"/>
        <v>0.0224055</v>
      </c>
    </row>
    <row r="436" spans="1:13">
      <c r="A436" t="s">
        <v>13</v>
      </c>
      <c r="B436" t="s">
        <v>882</v>
      </c>
      <c r="C436" t="s">
        <v>883</v>
      </c>
      <c r="D436">
        <v>7711.3946</v>
      </c>
      <c r="E436">
        <v>7711.3946</v>
      </c>
      <c r="F436">
        <v>0.9569</v>
      </c>
      <c r="G436">
        <v>0</v>
      </c>
      <c r="H436">
        <v>0.737903</v>
      </c>
      <c r="I436">
        <v>0.735513</v>
      </c>
      <c r="J436">
        <v>0.00239</v>
      </c>
      <c r="K436" s="4">
        <f t="shared" si="18"/>
        <v>0.00324943270887122</v>
      </c>
      <c r="L436" s="4">
        <f t="shared" si="19"/>
        <v>0</v>
      </c>
      <c r="M436" s="18">
        <f t="shared" si="20"/>
        <v>0</v>
      </c>
    </row>
    <row r="437" spans="1:13">
      <c r="A437" t="s">
        <v>13</v>
      </c>
      <c r="B437" t="s">
        <v>884</v>
      </c>
      <c r="C437" t="s">
        <v>885</v>
      </c>
      <c r="D437">
        <v>21251.7585</v>
      </c>
      <c r="E437">
        <v>21451.7585</v>
      </c>
      <c r="F437">
        <v>2.6082</v>
      </c>
      <c r="G437">
        <v>-200</v>
      </c>
      <c r="H437">
        <v>5.542884</v>
      </c>
      <c r="I437">
        <v>5.534983</v>
      </c>
      <c r="J437">
        <v>0.007901</v>
      </c>
      <c r="K437" s="4">
        <f t="shared" si="18"/>
        <v>0.00142746599221714</v>
      </c>
      <c r="L437" s="4">
        <f t="shared" si="19"/>
        <v>-0.00932324499178004</v>
      </c>
      <c r="M437" s="18">
        <f t="shared" si="20"/>
        <v>-0.052164</v>
      </c>
    </row>
    <row r="438" spans="1:13">
      <c r="A438" t="s">
        <v>13</v>
      </c>
      <c r="B438" t="s">
        <v>886</v>
      </c>
      <c r="C438" t="s">
        <v>887</v>
      </c>
      <c r="D438">
        <v>15257.686</v>
      </c>
      <c r="E438">
        <v>15357.686</v>
      </c>
      <c r="F438">
        <v>2.8044</v>
      </c>
      <c r="G438">
        <v>-100</v>
      </c>
      <c r="H438">
        <v>4.278865</v>
      </c>
      <c r="I438">
        <v>4.064565</v>
      </c>
      <c r="J438">
        <v>0.2143</v>
      </c>
      <c r="K438" s="4">
        <f t="shared" si="18"/>
        <v>0.0527239692316398</v>
      </c>
      <c r="L438" s="4">
        <f t="shared" si="19"/>
        <v>-0.00651139761550015</v>
      </c>
      <c r="M438" s="18">
        <f t="shared" si="20"/>
        <v>-0.028044</v>
      </c>
    </row>
    <row r="439" spans="1:13">
      <c r="A439" t="s">
        <v>13</v>
      </c>
      <c r="B439" t="s">
        <v>888</v>
      </c>
      <c r="C439" t="s">
        <v>889</v>
      </c>
      <c r="D439">
        <v>11083.2905</v>
      </c>
      <c r="E439">
        <v>11083.2905</v>
      </c>
      <c r="F439">
        <v>0.9557</v>
      </c>
      <c r="G439">
        <v>0</v>
      </c>
      <c r="H439">
        <v>1.05923</v>
      </c>
      <c r="I439">
        <v>1.055462</v>
      </c>
      <c r="J439">
        <v>0.003768</v>
      </c>
      <c r="K439" s="4">
        <f t="shared" si="18"/>
        <v>0.00357000062531858</v>
      </c>
      <c r="L439" s="4">
        <f t="shared" si="19"/>
        <v>0</v>
      </c>
      <c r="M439" s="18">
        <f t="shared" si="20"/>
        <v>0</v>
      </c>
    </row>
    <row r="440" spans="1:13">
      <c r="A440" t="s">
        <v>13</v>
      </c>
      <c r="B440" t="s">
        <v>890</v>
      </c>
      <c r="C440" t="s">
        <v>891</v>
      </c>
      <c r="D440">
        <v>344405.0718</v>
      </c>
      <c r="E440">
        <v>332405.0718</v>
      </c>
      <c r="F440">
        <v>0.8747</v>
      </c>
      <c r="G440">
        <v>12000</v>
      </c>
      <c r="H440">
        <v>30.125112</v>
      </c>
      <c r="I440">
        <v>28.756363</v>
      </c>
      <c r="J440">
        <v>1.368749</v>
      </c>
      <c r="K440" s="4">
        <f t="shared" si="18"/>
        <v>0.0475981263694578</v>
      </c>
      <c r="L440" s="4">
        <f t="shared" si="19"/>
        <v>0.0361005322061395</v>
      </c>
      <c r="M440" s="18">
        <f t="shared" si="20"/>
        <v>1.04964</v>
      </c>
    </row>
    <row r="441" spans="1:13">
      <c r="A441" t="s">
        <v>13</v>
      </c>
      <c r="B441" t="s">
        <v>892</v>
      </c>
      <c r="C441" t="s">
        <v>893</v>
      </c>
      <c r="D441">
        <v>20425.4781</v>
      </c>
      <c r="E441">
        <v>20675.4781</v>
      </c>
      <c r="F441">
        <v>1.1952</v>
      </c>
      <c r="G441">
        <v>-250</v>
      </c>
      <c r="H441">
        <v>2.441253</v>
      </c>
      <c r="I441">
        <v>2.488707</v>
      </c>
      <c r="J441">
        <v>-0.047454</v>
      </c>
      <c r="K441" s="4">
        <f t="shared" si="18"/>
        <v>-0.0190677327624345</v>
      </c>
      <c r="L441" s="4">
        <f t="shared" si="19"/>
        <v>-0.012091618814851</v>
      </c>
      <c r="M441" s="18">
        <f t="shared" si="20"/>
        <v>-0.02988</v>
      </c>
    </row>
    <row r="442" spans="1:13">
      <c r="A442" t="s">
        <v>13</v>
      </c>
      <c r="B442" t="s">
        <v>894</v>
      </c>
      <c r="C442" t="s">
        <v>895</v>
      </c>
      <c r="D442">
        <v>5770.6921</v>
      </c>
      <c r="E442">
        <v>5970.6921</v>
      </c>
      <c r="F442">
        <v>0.8093</v>
      </c>
      <c r="G442">
        <v>-200</v>
      </c>
      <c r="H442">
        <v>0.467022</v>
      </c>
      <c r="I442">
        <v>0.487388</v>
      </c>
      <c r="J442">
        <v>-0.020366</v>
      </c>
      <c r="K442" s="4">
        <f t="shared" si="18"/>
        <v>-0.0417860103244233</v>
      </c>
      <c r="L442" s="4">
        <f t="shared" si="19"/>
        <v>-0.0334969542308169</v>
      </c>
      <c r="M442" s="18">
        <f t="shared" si="20"/>
        <v>-0.016186</v>
      </c>
    </row>
    <row r="443" spans="1:13">
      <c r="A443" t="s">
        <v>13</v>
      </c>
      <c r="B443" t="s">
        <v>896</v>
      </c>
      <c r="C443" t="s">
        <v>897</v>
      </c>
      <c r="D443">
        <v>100855.1737</v>
      </c>
      <c r="E443">
        <v>100805.1737</v>
      </c>
      <c r="F443">
        <v>1.6119</v>
      </c>
      <c r="G443">
        <v>50</v>
      </c>
      <c r="H443">
        <v>16.256845</v>
      </c>
      <c r="I443">
        <v>16.401002</v>
      </c>
      <c r="J443">
        <v>-0.144157</v>
      </c>
      <c r="K443" s="4">
        <f t="shared" si="18"/>
        <v>-0.00878952395713384</v>
      </c>
      <c r="L443" s="4">
        <f t="shared" si="19"/>
        <v>0.000496006287820126</v>
      </c>
      <c r="M443" s="18">
        <f t="shared" si="20"/>
        <v>0.0080595</v>
      </c>
    </row>
    <row r="444" spans="1:13">
      <c r="A444" t="s">
        <v>13</v>
      </c>
      <c r="B444" t="s">
        <v>898</v>
      </c>
      <c r="C444" t="s">
        <v>899</v>
      </c>
      <c r="D444">
        <v>12988.7409</v>
      </c>
      <c r="E444">
        <v>12988.7409</v>
      </c>
      <c r="F444">
        <v>0.5989</v>
      </c>
      <c r="G444">
        <v>0</v>
      </c>
      <c r="H444">
        <v>0.777896</v>
      </c>
      <c r="I444">
        <v>0.785039</v>
      </c>
      <c r="J444">
        <v>-0.007143</v>
      </c>
      <c r="K444" s="4">
        <f t="shared" si="18"/>
        <v>-0.00909891100951672</v>
      </c>
      <c r="L444" s="4">
        <f t="shared" si="19"/>
        <v>0</v>
      </c>
      <c r="M444" s="18">
        <f t="shared" si="20"/>
        <v>0</v>
      </c>
    </row>
    <row r="445" spans="1:13">
      <c r="A445" t="s">
        <v>13</v>
      </c>
      <c r="B445" t="s">
        <v>900</v>
      </c>
      <c r="C445" t="s">
        <v>901</v>
      </c>
      <c r="D445">
        <v>134752.8385</v>
      </c>
      <c r="E445">
        <v>135552.8385</v>
      </c>
      <c r="F445">
        <v>1.3579</v>
      </c>
      <c r="G445">
        <v>-800</v>
      </c>
      <c r="H445">
        <v>18.298088</v>
      </c>
      <c r="I445">
        <v>18.230501</v>
      </c>
      <c r="J445">
        <v>0.067587</v>
      </c>
      <c r="K445" s="4">
        <f t="shared" si="18"/>
        <v>0.00370735834412889</v>
      </c>
      <c r="L445" s="4">
        <f t="shared" si="19"/>
        <v>-0.00590175763822164</v>
      </c>
      <c r="M445" s="18">
        <f t="shared" si="20"/>
        <v>-0.108632</v>
      </c>
    </row>
    <row r="446" spans="1:13">
      <c r="A446" t="s">
        <v>13</v>
      </c>
      <c r="B446" t="s">
        <v>902</v>
      </c>
      <c r="C446" t="s">
        <v>903</v>
      </c>
      <c r="D446">
        <v>4884.6691</v>
      </c>
      <c r="E446">
        <v>4884.6691</v>
      </c>
      <c r="F446">
        <v>1.7303</v>
      </c>
      <c r="G446">
        <v>0</v>
      </c>
      <c r="H446">
        <v>0.845194</v>
      </c>
      <c r="I446">
        <v>0.832006</v>
      </c>
      <c r="J446">
        <v>0.013188</v>
      </c>
      <c r="K446" s="4">
        <f t="shared" si="18"/>
        <v>0.0158508472294671</v>
      </c>
      <c r="L446" s="4">
        <f t="shared" si="19"/>
        <v>0</v>
      </c>
      <c r="M446" s="18">
        <f t="shared" si="20"/>
        <v>0</v>
      </c>
    </row>
    <row r="447" spans="1:13">
      <c r="A447" t="s">
        <v>13</v>
      </c>
      <c r="B447" t="s">
        <v>904</v>
      </c>
      <c r="C447" t="s">
        <v>905</v>
      </c>
      <c r="D447">
        <v>9656.4183</v>
      </c>
      <c r="E447">
        <v>9656.4183</v>
      </c>
      <c r="F447">
        <v>1.8219</v>
      </c>
      <c r="G447">
        <v>0</v>
      </c>
      <c r="H447">
        <v>1.759303</v>
      </c>
      <c r="I447">
        <v>1.740859</v>
      </c>
      <c r="J447">
        <v>0.018444</v>
      </c>
      <c r="K447" s="4">
        <f t="shared" si="18"/>
        <v>0.0105947695936316</v>
      </c>
      <c r="L447" s="4">
        <f t="shared" si="19"/>
        <v>0</v>
      </c>
      <c r="M447" s="18">
        <f t="shared" si="20"/>
        <v>0</v>
      </c>
    </row>
    <row r="448" spans="1:13">
      <c r="A448" t="s">
        <v>13</v>
      </c>
      <c r="B448" t="s">
        <v>906</v>
      </c>
      <c r="C448" t="s">
        <v>907</v>
      </c>
      <c r="D448">
        <v>2990.4091</v>
      </c>
      <c r="E448">
        <v>2990.4091</v>
      </c>
      <c r="F448">
        <v>1.6185</v>
      </c>
      <c r="G448">
        <v>0</v>
      </c>
      <c r="H448">
        <v>0.483998</v>
      </c>
      <c r="I448">
        <v>0.479512</v>
      </c>
      <c r="J448">
        <v>0.004486</v>
      </c>
      <c r="K448" s="4">
        <f t="shared" si="18"/>
        <v>0.00935534460034368</v>
      </c>
      <c r="L448" s="4">
        <f t="shared" si="19"/>
        <v>0</v>
      </c>
      <c r="M448" s="18">
        <f t="shared" si="20"/>
        <v>0</v>
      </c>
    </row>
    <row r="449" spans="1:13">
      <c r="A449" t="s">
        <v>13</v>
      </c>
      <c r="B449" t="s">
        <v>908</v>
      </c>
      <c r="C449" t="s">
        <v>909</v>
      </c>
      <c r="D449">
        <v>7714.3694</v>
      </c>
      <c r="E449">
        <v>7714.3694</v>
      </c>
      <c r="F449">
        <v>1.6697</v>
      </c>
      <c r="G449">
        <v>0</v>
      </c>
      <c r="H449">
        <v>1.288068</v>
      </c>
      <c r="I449">
        <v>1.266699</v>
      </c>
      <c r="J449">
        <v>0.021369</v>
      </c>
      <c r="K449" s="4">
        <f t="shared" si="18"/>
        <v>0.0168698325332222</v>
      </c>
      <c r="L449" s="4">
        <f t="shared" si="19"/>
        <v>0</v>
      </c>
      <c r="M449" s="18">
        <f t="shared" si="20"/>
        <v>0</v>
      </c>
    </row>
    <row r="450" spans="1:13">
      <c r="A450" t="s">
        <v>13</v>
      </c>
      <c r="B450" t="s">
        <v>910</v>
      </c>
      <c r="C450" t="s">
        <v>911</v>
      </c>
      <c r="D450">
        <v>5248.9156</v>
      </c>
      <c r="E450">
        <v>5248.9156</v>
      </c>
      <c r="F450">
        <v>1.3684</v>
      </c>
      <c r="G450">
        <v>0</v>
      </c>
      <c r="H450">
        <v>0.718262</v>
      </c>
      <c r="I450">
        <v>0.716162</v>
      </c>
      <c r="J450">
        <v>0.0021</v>
      </c>
      <c r="K450" s="4">
        <f t="shared" ref="K450:K513" si="21">IFERROR(J450/I450,"")</f>
        <v>0.00293229744108177</v>
      </c>
      <c r="L450" s="4">
        <f t="shared" ref="L450:L513" si="22">IFERROR((D450-E450)/E450,"")</f>
        <v>0</v>
      </c>
      <c r="M450" s="18">
        <f t="shared" ref="M450:M513" si="23">IFERROR(F450*G450/10000,"")</f>
        <v>0</v>
      </c>
    </row>
    <row r="451" spans="1:13">
      <c r="A451" t="s">
        <v>13</v>
      </c>
      <c r="B451" t="s">
        <v>912</v>
      </c>
      <c r="C451" t="s">
        <v>913</v>
      </c>
      <c r="D451">
        <v>75643.8087</v>
      </c>
      <c r="E451">
        <v>75643.8087</v>
      </c>
      <c r="F451">
        <v>1.8385</v>
      </c>
      <c r="G451">
        <v>0</v>
      </c>
      <c r="H451">
        <v>13.907114</v>
      </c>
      <c r="I451">
        <v>13.773225</v>
      </c>
      <c r="J451">
        <v>0.133889</v>
      </c>
      <c r="K451" s="4">
        <f t="shared" si="21"/>
        <v>0.00972096222925277</v>
      </c>
      <c r="L451" s="4">
        <f t="shared" si="22"/>
        <v>0</v>
      </c>
      <c r="M451" s="18">
        <f t="shared" si="23"/>
        <v>0</v>
      </c>
    </row>
    <row r="452" spans="1:13">
      <c r="A452" t="s">
        <v>13</v>
      </c>
      <c r="B452" t="s">
        <v>914</v>
      </c>
      <c r="C452" t="s">
        <v>915</v>
      </c>
      <c r="D452">
        <v>72977.2337</v>
      </c>
      <c r="E452">
        <v>71977.2337</v>
      </c>
      <c r="F452">
        <v>1.9747</v>
      </c>
      <c r="G452">
        <v>1000</v>
      </c>
      <c r="H452">
        <v>14.410814</v>
      </c>
      <c r="I452">
        <v>14.021885</v>
      </c>
      <c r="J452">
        <v>0.388929</v>
      </c>
      <c r="K452" s="4">
        <f t="shared" si="21"/>
        <v>0.0277372835392674</v>
      </c>
      <c r="L452" s="4">
        <f t="shared" si="22"/>
        <v>0.0138932819253375</v>
      </c>
      <c r="M452" s="18">
        <f t="shared" si="23"/>
        <v>0.19747</v>
      </c>
    </row>
    <row r="453" spans="1:13">
      <c r="A453" t="s">
        <v>13</v>
      </c>
      <c r="B453" t="s">
        <v>916</v>
      </c>
      <c r="C453" t="s">
        <v>917</v>
      </c>
      <c r="D453">
        <v>213930.767</v>
      </c>
      <c r="E453">
        <v>218930.767</v>
      </c>
      <c r="F453">
        <v>1.9545</v>
      </c>
      <c r="G453">
        <v>-5000</v>
      </c>
      <c r="H453">
        <v>41.812768</v>
      </c>
      <c r="I453">
        <v>42.207663</v>
      </c>
      <c r="J453">
        <v>-0.394895</v>
      </c>
      <c r="K453" s="4">
        <f t="shared" si="21"/>
        <v>-0.00935600248703654</v>
      </c>
      <c r="L453" s="4">
        <f t="shared" si="22"/>
        <v>-0.0228382701459224</v>
      </c>
      <c r="M453" s="18">
        <f t="shared" si="23"/>
        <v>-0.97725</v>
      </c>
    </row>
    <row r="454" spans="1:13">
      <c r="A454" t="s">
        <v>13</v>
      </c>
      <c r="B454" t="s">
        <v>918</v>
      </c>
      <c r="C454" t="s">
        <v>919</v>
      </c>
      <c r="D454">
        <v>1544.0067</v>
      </c>
      <c r="E454">
        <v>1544.0067</v>
      </c>
      <c r="F454">
        <v>1.6138</v>
      </c>
      <c r="G454">
        <v>0</v>
      </c>
      <c r="H454">
        <v>0.249172</v>
      </c>
      <c r="I454">
        <v>0.246825</v>
      </c>
      <c r="J454">
        <v>0.002347</v>
      </c>
      <c r="K454" s="4">
        <f t="shared" si="21"/>
        <v>0.00950876126810493</v>
      </c>
      <c r="L454" s="4">
        <f t="shared" si="22"/>
        <v>0</v>
      </c>
      <c r="M454" s="18">
        <f t="shared" si="23"/>
        <v>0</v>
      </c>
    </row>
    <row r="455" spans="1:13">
      <c r="A455" t="s">
        <v>13</v>
      </c>
      <c r="B455" t="s">
        <v>920</v>
      </c>
      <c r="C455" t="s">
        <v>921</v>
      </c>
      <c r="D455">
        <v>7581.5386</v>
      </c>
      <c r="E455">
        <v>7581.5386</v>
      </c>
      <c r="F455">
        <v>1.3502</v>
      </c>
      <c r="G455">
        <v>0</v>
      </c>
      <c r="H455">
        <v>1.023659</v>
      </c>
      <c r="I455">
        <v>1.013576</v>
      </c>
      <c r="J455">
        <v>0.010083</v>
      </c>
      <c r="K455" s="4">
        <f t="shared" si="21"/>
        <v>0.00994794667592761</v>
      </c>
      <c r="L455" s="4">
        <f t="shared" si="22"/>
        <v>0</v>
      </c>
      <c r="M455" s="18">
        <f t="shared" si="23"/>
        <v>0</v>
      </c>
    </row>
    <row r="456" spans="1:13">
      <c r="A456" t="s">
        <v>13</v>
      </c>
      <c r="B456" t="s">
        <v>922</v>
      </c>
      <c r="C456" t="s">
        <v>923</v>
      </c>
      <c r="D456">
        <v>161392.8658</v>
      </c>
      <c r="E456">
        <v>160392.8658</v>
      </c>
      <c r="F456">
        <v>1.8807</v>
      </c>
      <c r="G456">
        <v>1000</v>
      </c>
      <c r="H456">
        <v>30.353156</v>
      </c>
      <c r="I456">
        <v>30.046396</v>
      </c>
      <c r="J456">
        <v>0.30676</v>
      </c>
      <c r="K456" s="4">
        <f t="shared" si="21"/>
        <v>0.0102095439333223</v>
      </c>
      <c r="L456" s="4">
        <f t="shared" si="22"/>
        <v>0.00623469126891802</v>
      </c>
      <c r="M456" s="18">
        <f t="shared" si="23"/>
        <v>0.18807</v>
      </c>
    </row>
    <row r="457" spans="1:13">
      <c r="A457" t="s">
        <v>13</v>
      </c>
      <c r="B457" t="s">
        <v>924</v>
      </c>
      <c r="C457" t="s">
        <v>925</v>
      </c>
      <c r="D457">
        <v>158627.848</v>
      </c>
      <c r="E457">
        <v>158627.848</v>
      </c>
      <c r="F457">
        <v>0.7741</v>
      </c>
      <c r="G457">
        <v>0</v>
      </c>
      <c r="H457">
        <v>12.279382</v>
      </c>
      <c r="I457">
        <v>12.266691</v>
      </c>
      <c r="J457">
        <v>0.012691</v>
      </c>
      <c r="K457" s="4">
        <f t="shared" si="21"/>
        <v>0.00103459033899199</v>
      </c>
      <c r="L457" s="4">
        <f t="shared" si="22"/>
        <v>0</v>
      </c>
      <c r="M457" s="18">
        <f t="shared" si="23"/>
        <v>0</v>
      </c>
    </row>
    <row r="458" spans="1:13">
      <c r="A458" t="s">
        <v>13</v>
      </c>
      <c r="B458" t="s">
        <v>926</v>
      </c>
      <c r="C458" t="s">
        <v>927</v>
      </c>
      <c r="D458">
        <v>8414.7787</v>
      </c>
      <c r="E458">
        <v>8414.7787</v>
      </c>
      <c r="F458">
        <v>0.6008</v>
      </c>
      <c r="G458">
        <v>0</v>
      </c>
      <c r="H458">
        <v>0.50556</v>
      </c>
      <c r="I458">
        <v>0.510272</v>
      </c>
      <c r="J458">
        <v>-0.004712</v>
      </c>
      <c r="K458" s="4">
        <f t="shared" si="21"/>
        <v>-0.00923429073121786</v>
      </c>
      <c r="L458" s="4">
        <f t="shared" si="22"/>
        <v>0</v>
      </c>
      <c r="M458" s="18">
        <f t="shared" si="23"/>
        <v>0</v>
      </c>
    </row>
    <row r="459" spans="1:13">
      <c r="A459" t="s">
        <v>13</v>
      </c>
      <c r="B459" t="s">
        <v>928</v>
      </c>
      <c r="C459" t="s">
        <v>929</v>
      </c>
      <c r="D459">
        <v>30716.3978</v>
      </c>
      <c r="E459">
        <v>31016.3978</v>
      </c>
      <c r="F459">
        <v>2.1033</v>
      </c>
      <c r="G459">
        <v>-300</v>
      </c>
      <c r="H459">
        <v>6.46058</v>
      </c>
      <c r="I459">
        <v>6.539187</v>
      </c>
      <c r="J459">
        <v>-0.078607</v>
      </c>
      <c r="K459" s="4">
        <f t="shared" si="21"/>
        <v>-0.0120209133031369</v>
      </c>
      <c r="L459" s="4">
        <f t="shared" si="22"/>
        <v>-0.00967230308092063</v>
      </c>
      <c r="M459" s="18">
        <f t="shared" si="23"/>
        <v>-0.063099</v>
      </c>
    </row>
    <row r="460" spans="1:13">
      <c r="A460" t="s">
        <v>13</v>
      </c>
      <c r="B460" t="s">
        <v>930</v>
      </c>
      <c r="C460" t="s">
        <v>931</v>
      </c>
      <c r="D460">
        <v>404530.1386</v>
      </c>
      <c r="E460">
        <v>405430.1386</v>
      </c>
      <c r="F460">
        <v>1.1905</v>
      </c>
      <c r="G460">
        <v>-900</v>
      </c>
      <c r="H460">
        <v>48.159313</v>
      </c>
      <c r="I460">
        <v>48.866495</v>
      </c>
      <c r="J460">
        <v>-0.707182</v>
      </c>
      <c r="K460" s="4">
        <f t="shared" si="21"/>
        <v>-0.0144717152314689</v>
      </c>
      <c r="L460" s="4">
        <f t="shared" si="22"/>
        <v>-0.00221986456928883</v>
      </c>
      <c r="M460" s="18">
        <f t="shared" si="23"/>
        <v>-0.107145</v>
      </c>
    </row>
    <row r="461" spans="1:13">
      <c r="A461" t="s">
        <v>13</v>
      </c>
      <c r="B461" t="s">
        <v>932</v>
      </c>
      <c r="C461" t="s">
        <v>933</v>
      </c>
      <c r="D461">
        <v>112445.5969</v>
      </c>
      <c r="E461">
        <v>112545.5969</v>
      </c>
      <c r="F461">
        <v>1.2087</v>
      </c>
      <c r="G461">
        <v>-100</v>
      </c>
      <c r="H461">
        <v>13.591299</v>
      </c>
      <c r="I461">
        <v>13.615766</v>
      </c>
      <c r="J461">
        <v>-0.024467</v>
      </c>
      <c r="K461" s="4">
        <f t="shared" si="21"/>
        <v>-0.00179696096422339</v>
      </c>
      <c r="L461" s="4">
        <f t="shared" si="22"/>
        <v>-0.000888528763047504</v>
      </c>
      <c r="M461" s="18">
        <f t="shared" si="23"/>
        <v>-0.012087</v>
      </c>
    </row>
    <row r="462" spans="1:13">
      <c r="A462" t="s">
        <v>13</v>
      </c>
      <c r="B462" t="s">
        <v>934</v>
      </c>
      <c r="C462" t="s">
        <v>935</v>
      </c>
      <c r="D462">
        <v>24681.2086</v>
      </c>
      <c r="E462">
        <v>25781.2086</v>
      </c>
      <c r="F462">
        <v>3.6191</v>
      </c>
      <c r="G462">
        <v>-1100</v>
      </c>
      <c r="H462">
        <v>8.932376</v>
      </c>
      <c r="I462">
        <v>9.206985</v>
      </c>
      <c r="J462">
        <v>-0.274609</v>
      </c>
      <c r="K462" s="4">
        <f t="shared" si="21"/>
        <v>-0.0298261591606807</v>
      </c>
      <c r="L462" s="4">
        <f t="shared" si="22"/>
        <v>-0.0426667351816858</v>
      </c>
      <c r="M462" s="18">
        <f t="shared" si="23"/>
        <v>-0.398101</v>
      </c>
    </row>
    <row r="463" spans="1:13">
      <c r="A463" t="s">
        <v>13</v>
      </c>
      <c r="B463" t="s">
        <v>936</v>
      </c>
      <c r="C463" t="s">
        <v>937</v>
      </c>
      <c r="D463">
        <v>258282.4034</v>
      </c>
      <c r="E463">
        <v>257782.4034</v>
      </c>
      <c r="F463">
        <v>1.896</v>
      </c>
      <c r="G463">
        <v>500</v>
      </c>
      <c r="H463">
        <v>48.970344</v>
      </c>
      <c r="I463">
        <v>49.795827</v>
      </c>
      <c r="J463">
        <v>-0.825483</v>
      </c>
      <c r="K463" s="4">
        <f t="shared" si="21"/>
        <v>-0.0165773529577087</v>
      </c>
      <c r="L463" s="4">
        <f t="shared" si="22"/>
        <v>0.00193962036743118</v>
      </c>
      <c r="M463" s="18">
        <f t="shared" si="23"/>
        <v>0.0948</v>
      </c>
    </row>
    <row r="464" spans="1:13">
      <c r="A464" t="s">
        <v>13</v>
      </c>
      <c r="B464" t="s">
        <v>938</v>
      </c>
      <c r="C464" t="s">
        <v>939</v>
      </c>
      <c r="D464">
        <v>127802.2006</v>
      </c>
      <c r="E464">
        <v>130102.2006</v>
      </c>
      <c r="F464">
        <v>1.286</v>
      </c>
      <c r="G464">
        <v>-2300</v>
      </c>
      <c r="H464">
        <v>16.435363</v>
      </c>
      <c r="I464">
        <v>16.634867</v>
      </c>
      <c r="J464">
        <v>-0.199504</v>
      </c>
      <c r="K464" s="4">
        <f t="shared" si="21"/>
        <v>-0.0119931226381311</v>
      </c>
      <c r="L464" s="4">
        <f t="shared" si="22"/>
        <v>-0.0176784096609662</v>
      </c>
      <c r="M464" s="18">
        <f t="shared" si="23"/>
        <v>-0.29578</v>
      </c>
    </row>
    <row r="465" spans="1:13">
      <c r="A465" t="s">
        <v>13</v>
      </c>
      <c r="B465" t="s">
        <v>940</v>
      </c>
      <c r="C465" t="s">
        <v>941</v>
      </c>
      <c r="D465">
        <v>103144.4378</v>
      </c>
      <c r="E465">
        <v>103244.4378</v>
      </c>
      <c r="F465">
        <v>0.8897</v>
      </c>
      <c r="G465">
        <v>-100</v>
      </c>
      <c r="H465">
        <v>9.176761</v>
      </c>
      <c r="I465">
        <v>9.357043</v>
      </c>
      <c r="J465">
        <v>-0.180282</v>
      </c>
      <c r="K465" s="4">
        <f t="shared" si="21"/>
        <v>-0.0192669842385036</v>
      </c>
      <c r="L465" s="4">
        <f t="shared" si="22"/>
        <v>-0.00096857518071545</v>
      </c>
      <c r="M465" s="18">
        <f t="shared" si="23"/>
        <v>-0.008897</v>
      </c>
    </row>
    <row r="466" spans="1:13">
      <c r="A466" t="s">
        <v>13</v>
      </c>
      <c r="B466" t="s">
        <v>942</v>
      </c>
      <c r="C466" t="s">
        <v>943</v>
      </c>
      <c r="D466">
        <v>56966.4255</v>
      </c>
      <c r="E466">
        <v>57166.4255</v>
      </c>
      <c r="F466">
        <v>0.8953</v>
      </c>
      <c r="G466">
        <v>-200</v>
      </c>
      <c r="H466">
        <v>5.100204</v>
      </c>
      <c r="I466">
        <v>5.197</v>
      </c>
      <c r="J466">
        <v>-0.096796</v>
      </c>
      <c r="K466" s="4">
        <f t="shared" si="21"/>
        <v>-0.0186253607850683</v>
      </c>
      <c r="L466" s="4">
        <f t="shared" si="22"/>
        <v>-0.00349855703327122</v>
      </c>
      <c r="M466" s="18">
        <f t="shared" si="23"/>
        <v>-0.017906</v>
      </c>
    </row>
    <row r="467" spans="1:13">
      <c r="A467" t="s">
        <v>13</v>
      </c>
      <c r="B467" t="s">
        <v>944</v>
      </c>
      <c r="C467" t="s">
        <v>945</v>
      </c>
      <c r="D467">
        <v>12950.9191</v>
      </c>
      <c r="E467">
        <v>12935.9191</v>
      </c>
      <c r="F467">
        <v>101.1867</v>
      </c>
      <c r="G467">
        <v>15</v>
      </c>
      <c r="H467">
        <v>131.046077</v>
      </c>
      <c r="I467">
        <v>130.866872</v>
      </c>
      <c r="J467">
        <v>0.179205</v>
      </c>
      <c r="K467" s="4">
        <f t="shared" si="21"/>
        <v>0.00136936871235067</v>
      </c>
      <c r="L467" s="4">
        <f t="shared" si="22"/>
        <v>0.00115956198272761</v>
      </c>
      <c r="M467" s="18">
        <f t="shared" si="23"/>
        <v>0.15178005</v>
      </c>
    </row>
    <row r="468" spans="1:13">
      <c r="A468" t="s">
        <v>13</v>
      </c>
      <c r="B468" t="s">
        <v>946</v>
      </c>
      <c r="C468" t="s">
        <v>947</v>
      </c>
      <c r="D468">
        <v>670.5601</v>
      </c>
      <c r="E468">
        <v>670.5601</v>
      </c>
      <c r="F468">
        <v>1.4657</v>
      </c>
      <c r="G468">
        <v>0</v>
      </c>
      <c r="H468">
        <v>0.098284</v>
      </c>
      <c r="I468">
        <v>0.095722</v>
      </c>
      <c r="J468">
        <v>0.002562</v>
      </c>
      <c r="K468" s="4">
        <f t="shared" si="21"/>
        <v>0.0267650069994359</v>
      </c>
      <c r="L468" s="4">
        <f t="shared" si="22"/>
        <v>0</v>
      </c>
      <c r="M468" s="18">
        <f t="shared" si="23"/>
        <v>0</v>
      </c>
    </row>
    <row r="469" spans="1:13">
      <c r="A469" t="s">
        <v>13</v>
      </c>
      <c r="B469" t="s">
        <v>948</v>
      </c>
      <c r="C469" t="s">
        <v>949</v>
      </c>
      <c r="D469">
        <v>5418.1591</v>
      </c>
      <c r="E469">
        <v>5418.1591</v>
      </c>
      <c r="F469">
        <v>1.0587</v>
      </c>
      <c r="G469">
        <v>0</v>
      </c>
      <c r="H469">
        <v>0.573621</v>
      </c>
      <c r="I469">
        <v>0.561592</v>
      </c>
      <c r="J469">
        <v>0.012029</v>
      </c>
      <c r="K469" s="4">
        <f t="shared" si="21"/>
        <v>0.0214194646647388</v>
      </c>
      <c r="L469" s="4">
        <f t="shared" si="22"/>
        <v>0</v>
      </c>
      <c r="M469" s="18">
        <f t="shared" si="23"/>
        <v>0</v>
      </c>
    </row>
    <row r="470" spans="1:13">
      <c r="A470" t="s">
        <v>13</v>
      </c>
      <c r="B470" t="s">
        <v>950</v>
      </c>
      <c r="C470" t="s">
        <v>951</v>
      </c>
      <c r="D470">
        <v>4288.68</v>
      </c>
      <c r="E470">
        <v>4288.68</v>
      </c>
      <c r="F470">
        <v>1.0487</v>
      </c>
      <c r="G470">
        <v>0</v>
      </c>
      <c r="H470">
        <v>0.449754</v>
      </c>
      <c r="I470">
        <v>0.444221</v>
      </c>
      <c r="J470">
        <v>0.005533</v>
      </c>
      <c r="K470" s="4">
        <f t="shared" si="21"/>
        <v>0.0124555120086624</v>
      </c>
      <c r="L470" s="4">
        <f t="shared" si="22"/>
        <v>0</v>
      </c>
      <c r="M470" s="18">
        <f t="shared" si="23"/>
        <v>0</v>
      </c>
    </row>
    <row r="471" spans="1:13">
      <c r="A471" t="s">
        <v>13</v>
      </c>
      <c r="B471" t="s">
        <v>952</v>
      </c>
      <c r="C471" t="s">
        <v>953</v>
      </c>
      <c r="D471">
        <v>115154.8214</v>
      </c>
      <c r="E471">
        <v>116104.8214</v>
      </c>
      <c r="F471">
        <v>0.4689</v>
      </c>
      <c r="G471">
        <v>-950</v>
      </c>
      <c r="H471">
        <v>5.39961</v>
      </c>
      <c r="I471">
        <v>5.461571</v>
      </c>
      <c r="J471">
        <v>-0.061961</v>
      </c>
      <c r="K471" s="4">
        <f t="shared" si="21"/>
        <v>-0.0113449042409226</v>
      </c>
      <c r="L471" s="4">
        <f t="shared" si="22"/>
        <v>-0.00818226141296144</v>
      </c>
      <c r="M471" s="18">
        <f t="shared" si="23"/>
        <v>-0.0445455</v>
      </c>
    </row>
    <row r="472" spans="1:13">
      <c r="A472" t="s">
        <v>13</v>
      </c>
      <c r="B472" t="s">
        <v>954</v>
      </c>
      <c r="C472" t="s">
        <v>955</v>
      </c>
      <c r="D472">
        <v>19152.8306</v>
      </c>
      <c r="E472">
        <v>19252.8306</v>
      </c>
      <c r="F472">
        <v>0.8128</v>
      </c>
      <c r="G472">
        <v>-100</v>
      </c>
      <c r="H472">
        <v>1.556742</v>
      </c>
      <c r="I472">
        <v>1.558132</v>
      </c>
      <c r="J472">
        <v>-0.00139</v>
      </c>
      <c r="K472" s="4">
        <f t="shared" si="21"/>
        <v>-0.000892093866244965</v>
      </c>
      <c r="L472" s="4">
        <f t="shared" si="22"/>
        <v>-0.00519404144136603</v>
      </c>
      <c r="M472" s="18">
        <f t="shared" si="23"/>
        <v>-0.008128</v>
      </c>
    </row>
    <row r="473" spans="1:13">
      <c r="A473" t="s">
        <v>13</v>
      </c>
      <c r="B473" t="s">
        <v>956</v>
      </c>
      <c r="C473" t="s">
        <v>957</v>
      </c>
      <c r="D473">
        <v>2148.406</v>
      </c>
      <c r="E473">
        <v>2148.406</v>
      </c>
      <c r="F473">
        <v>1.9559</v>
      </c>
      <c r="G473">
        <v>0</v>
      </c>
      <c r="H473">
        <v>0.420207</v>
      </c>
      <c r="I473">
        <v>0.40925</v>
      </c>
      <c r="J473">
        <v>0.010957</v>
      </c>
      <c r="K473" s="4">
        <f t="shared" si="21"/>
        <v>0.026773365913256</v>
      </c>
      <c r="L473" s="4">
        <f t="shared" si="22"/>
        <v>0</v>
      </c>
      <c r="M473" s="18">
        <f t="shared" si="23"/>
        <v>0</v>
      </c>
    </row>
    <row r="474" spans="1:13">
      <c r="A474" t="s">
        <v>13</v>
      </c>
      <c r="B474" t="s">
        <v>958</v>
      </c>
      <c r="C474" t="s">
        <v>959</v>
      </c>
      <c r="D474">
        <v>4846.5157</v>
      </c>
      <c r="E474">
        <v>4846.5157</v>
      </c>
      <c r="F474">
        <v>1.288</v>
      </c>
      <c r="G474">
        <v>0</v>
      </c>
      <c r="H474">
        <v>0.624231</v>
      </c>
      <c r="I474">
        <v>0.628593</v>
      </c>
      <c r="J474">
        <v>-0.004362</v>
      </c>
      <c r="K474" s="4">
        <f t="shared" si="21"/>
        <v>-0.00693930731013549</v>
      </c>
      <c r="L474" s="4">
        <f t="shared" si="22"/>
        <v>0</v>
      </c>
      <c r="M474" s="18">
        <f t="shared" si="23"/>
        <v>0</v>
      </c>
    </row>
    <row r="475" spans="1:13">
      <c r="A475" t="s">
        <v>13</v>
      </c>
      <c r="B475" t="s">
        <v>960</v>
      </c>
      <c r="C475" t="s">
        <v>961</v>
      </c>
      <c r="D475">
        <v>10677.8813</v>
      </c>
      <c r="E475">
        <v>10677.8813</v>
      </c>
      <c r="F475">
        <v>1.1981</v>
      </c>
      <c r="G475">
        <v>0</v>
      </c>
      <c r="H475">
        <v>1.279317</v>
      </c>
      <c r="I475">
        <v>1.288286</v>
      </c>
      <c r="J475">
        <v>-0.008969</v>
      </c>
      <c r="K475" s="4">
        <f t="shared" si="21"/>
        <v>-0.006961963414956</v>
      </c>
      <c r="L475" s="4">
        <f t="shared" si="22"/>
        <v>0</v>
      </c>
      <c r="M475" s="18">
        <f t="shared" si="23"/>
        <v>0</v>
      </c>
    </row>
    <row r="476" spans="1:13">
      <c r="A476" t="s">
        <v>13</v>
      </c>
      <c r="B476" t="s">
        <v>962</v>
      </c>
      <c r="C476" t="s">
        <v>963</v>
      </c>
      <c r="D476">
        <v>60025.5051</v>
      </c>
      <c r="E476">
        <v>62475.5051</v>
      </c>
      <c r="F476">
        <v>1.5055</v>
      </c>
      <c r="G476">
        <v>-2450</v>
      </c>
      <c r="H476">
        <v>9.03684</v>
      </c>
      <c r="I476">
        <v>9.516269</v>
      </c>
      <c r="J476">
        <v>-0.479429</v>
      </c>
      <c r="K476" s="4">
        <f t="shared" si="21"/>
        <v>-0.0503799335642992</v>
      </c>
      <c r="L476" s="4">
        <f t="shared" si="22"/>
        <v>-0.039215369224762</v>
      </c>
      <c r="M476" s="18">
        <f t="shared" si="23"/>
        <v>-0.3688475</v>
      </c>
    </row>
    <row r="477" spans="1:13">
      <c r="A477" t="s">
        <v>13</v>
      </c>
      <c r="B477" t="s">
        <v>964</v>
      </c>
      <c r="C477" t="s">
        <v>965</v>
      </c>
      <c r="D477">
        <v>62053.0274</v>
      </c>
      <c r="E477">
        <v>58003.0274</v>
      </c>
      <c r="F477">
        <v>1.3813</v>
      </c>
      <c r="G477">
        <v>4050</v>
      </c>
      <c r="H477">
        <v>8.571385</v>
      </c>
      <c r="I477">
        <v>8.107663</v>
      </c>
      <c r="J477">
        <v>0.463722</v>
      </c>
      <c r="K477" s="4">
        <f t="shared" si="21"/>
        <v>0.0571955198433877</v>
      </c>
      <c r="L477" s="4">
        <f t="shared" si="22"/>
        <v>0.0698239416379153</v>
      </c>
      <c r="M477" s="18">
        <f t="shared" si="23"/>
        <v>0.5594265</v>
      </c>
    </row>
    <row r="478" spans="1:13">
      <c r="A478" t="s">
        <v>13</v>
      </c>
      <c r="B478" t="s">
        <v>966</v>
      </c>
      <c r="C478" t="s">
        <v>967</v>
      </c>
      <c r="D478">
        <v>5566.6732</v>
      </c>
      <c r="E478">
        <v>5566.6732</v>
      </c>
      <c r="F478">
        <v>1.2573</v>
      </c>
      <c r="G478">
        <v>0</v>
      </c>
      <c r="H478">
        <v>0.699898</v>
      </c>
      <c r="I478">
        <v>0.691325</v>
      </c>
      <c r="J478">
        <v>0.008573</v>
      </c>
      <c r="K478" s="4">
        <f t="shared" si="21"/>
        <v>0.0124008245036705</v>
      </c>
      <c r="L478" s="4">
        <f t="shared" si="22"/>
        <v>0</v>
      </c>
      <c r="M478" s="18">
        <f t="shared" si="23"/>
        <v>0</v>
      </c>
    </row>
    <row r="479" spans="1:13">
      <c r="A479" t="s">
        <v>13</v>
      </c>
      <c r="B479" t="s">
        <v>968</v>
      </c>
      <c r="C479" t="s">
        <v>969</v>
      </c>
      <c r="D479">
        <v>2537.3183</v>
      </c>
      <c r="E479">
        <v>2537.3183</v>
      </c>
      <c r="F479">
        <v>1.116</v>
      </c>
      <c r="G479">
        <v>0</v>
      </c>
      <c r="H479">
        <v>0.283165</v>
      </c>
      <c r="I479">
        <v>0.281262</v>
      </c>
      <c r="J479">
        <v>0.001903</v>
      </c>
      <c r="K479" s="4">
        <f t="shared" si="21"/>
        <v>0.00676593354239108</v>
      </c>
      <c r="L479" s="4">
        <f t="shared" si="22"/>
        <v>0</v>
      </c>
      <c r="M479" s="18">
        <f t="shared" si="23"/>
        <v>0</v>
      </c>
    </row>
    <row r="480" spans="1:13">
      <c r="A480" t="s">
        <v>13</v>
      </c>
      <c r="B480" t="s">
        <v>970</v>
      </c>
      <c r="C480" t="s">
        <v>971</v>
      </c>
      <c r="D480">
        <v>22883.2634</v>
      </c>
      <c r="E480">
        <v>22883.2634</v>
      </c>
      <c r="F480">
        <v>0.7065</v>
      </c>
      <c r="G480">
        <v>0</v>
      </c>
      <c r="H480">
        <v>1.616703</v>
      </c>
      <c r="I480">
        <v>1.63867</v>
      </c>
      <c r="J480">
        <v>-0.021967</v>
      </c>
      <c r="K480" s="4">
        <f t="shared" si="21"/>
        <v>-0.0134053836342888</v>
      </c>
      <c r="L480" s="4">
        <f t="shared" si="22"/>
        <v>0</v>
      </c>
      <c r="M480" s="18">
        <f t="shared" si="23"/>
        <v>0</v>
      </c>
    </row>
    <row r="481" spans="1:13">
      <c r="A481" t="s">
        <v>13</v>
      </c>
      <c r="B481" t="s">
        <v>972</v>
      </c>
      <c r="C481" t="s">
        <v>973</v>
      </c>
      <c r="D481">
        <v>2419.5986</v>
      </c>
      <c r="E481">
        <v>2419.5986</v>
      </c>
      <c r="F481">
        <v>1.5371</v>
      </c>
      <c r="G481">
        <v>0</v>
      </c>
      <c r="H481">
        <v>0.371917</v>
      </c>
      <c r="I481">
        <v>0.372497</v>
      </c>
      <c r="J481">
        <v>-0.00058</v>
      </c>
      <c r="K481" s="4">
        <f t="shared" si="21"/>
        <v>-0.00155705951994244</v>
      </c>
      <c r="L481" s="4">
        <f t="shared" si="22"/>
        <v>0</v>
      </c>
      <c r="M481" s="18">
        <f t="shared" si="23"/>
        <v>0</v>
      </c>
    </row>
    <row r="482" spans="1:13">
      <c r="A482" t="s">
        <v>13</v>
      </c>
      <c r="B482" t="s">
        <v>974</v>
      </c>
      <c r="C482" t="s">
        <v>975</v>
      </c>
      <c r="D482">
        <v>4481.2357</v>
      </c>
      <c r="E482">
        <v>4481.2357</v>
      </c>
      <c r="F482">
        <v>0.8287</v>
      </c>
      <c r="G482">
        <v>0</v>
      </c>
      <c r="H482">
        <v>0.37136</v>
      </c>
      <c r="I482">
        <v>0.372391</v>
      </c>
      <c r="J482">
        <v>-0.001031</v>
      </c>
      <c r="K482" s="4">
        <f t="shared" si="21"/>
        <v>-0.00276859537421688</v>
      </c>
      <c r="L482" s="4">
        <f t="shared" si="22"/>
        <v>0</v>
      </c>
      <c r="M482" s="18">
        <f t="shared" si="23"/>
        <v>0</v>
      </c>
    </row>
    <row r="483" spans="1:13">
      <c r="A483" t="s">
        <v>13</v>
      </c>
      <c r="B483" t="s">
        <v>976</v>
      </c>
      <c r="C483" t="s">
        <v>977</v>
      </c>
      <c r="D483">
        <v>6943.1696</v>
      </c>
      <c r="E483">
        <v>6943.1696</v>
      </c>
      <c r="F483">
        <v>1.1907</v>
      </c>
      <c r="G483">
        <v>0</v>
      </c>
      <c r="H483">
        <v>0.826723</v>
      </c>
      <c r="I483">
        <v>0.816586</v>
      </c>
      <c r="J483">
        <v>0.010137</v>
      </c>
      <c r="K483" s="4">
        <f t="shared" si="21"/>
        <v>0.0124138792484809</v>
      </c>
      <c r="L483" s="4">
        <f t="shared" si="22"/>
        <v>0</v>
      </c>
      <c r="M483" s="18">
        <f t="shared" si="23"/>
        <v>0</v>
      </c>
    </row>
    <row r="484" spans="1:13">
      <c r="A484" t="s">
        <v>13</v>
      </c>
      <c r="B484" t="s">
        <v>978</v>
      </c>
      <c r="C484" t="s">
        <v>979</v>
      </c>
      <c r="D484">
        <v>3502.5575</v>
      </c>
      <c r="E484">
        <v>3502.5575</v>
      </c>
      <c r="F484">
        <v>1.1676</v>
      </c>
      <c r="G484">
        <v>0</v>
      </c>
      <c r="H484">
        <v>0.408959</v>
      </c>
      <c r="I484">
        <v>0.402409</v>
      </c>
      <c r="J484">
        <v>0.00655</v>
      </c>
      <c r="K484" s="4">
        <f t="shared" si="21"/>
        <v>0.0162769719365124</v>
      </c>
      <c r="L484" s="4">
        <f t="shared" si="22"/>
        <v>0</v>
      </c>
      <c r="M484" s="18">
        <f t="shared" si="23"/>
        <v>0</v>
      </c>
    </row>
    <row r="485" spans="1:13">
      <c r="A485" t="s">
        <v>13</v>
      </c>
      <c r="B485" t="s">
        <v>980</v>
      </c>
      <c r="C485" t="s">
        <v>981</v>
      </c>
      <c r="D485">
        <v>13242.4924</v>
      </c>
      <c r="E485">
        <v>13542.4924</v>
      </c>
      <c r="F485">
        <v>0.7587</v>
      </c>
      <c r="G485">
        <v>-300</v>
      </c>
      <c r="H485">
        <v>1.004708</v>
      </c>
      <c r="I485">
        <v>1.041689</v>
      </c>
      <c r="J485">
        <v>-0.036981</v>
      </c>
      <c r="K485" s="4">
        <f t="shared" si="21"/>
        <v>-0.0355009988585845</v>
      </c>
      <c r="L485" s="4">
        <f t="shared" si="22"/>
        <v>-0.0221524953560247</v>
      </c>
      <c r="M485" s="18">
        <f t="shared" si="23"/>
        <v>-0.022761</v>
      </c>
    </row>
    <row r="486" spans="1:13">
      <c r="A486" t="s">
        <v>13</v>
      </c>
      <c r="B486" t="s">
        <v>982</v>
      </c>
      <c r="C486" t="s">
        <v>983</v>
      </c>
      <c r="D486">
        <v>27691.138</v>
      </c>
      <c r="E486">
        <v>27691.138</v>
      </c>
      <c r="F486">
        <v>1.3366</v>
      </c>
      <c r="G486">
        <v>0</v>
      </c>
      <c r="H486">
        <v>3.701198</v>
      </c>
      <c r="I486">
        <v>3.769595</v>
      </c>
      <c r="J486">
        <v>-0.068397</v>
      </c>
      <c r="K486" s="4">
        <f t="shared" si="21"/>
        <v>-0.0181443895166457</v>
      </c>
      <c r="L486" s="4">
        <f t="shared" si="22"/>
        <v>0</v>
      </c>
      <c r="M486" s="18">
        <f t="shared" si="23"/>
        <v>0</v>
      </c>
    </row>
    <row r="487" spans="1:13">
      <c r="A487" t="s">
        <v>13</v>
      </c>
      <c r="B487" t="s">
        <v>984</v>
      </c>
      <c r="C487" t="s">
        <v>985</v>
      </c>
      <c r="D487">
        <v>4391.0129</v>
      </c>
      <c r="E487">
        <v>4441.0129</v>
      </c>
      <c r="F487">
        <v>0.7675</v>
      </c>
      <c r="G487">
        <v>-50</v>
      </c>
      <c r="H487">
        <v>0.33701</v>
      </c>
      <c r="I487">
        <v>0.344223</v>
      </c>
      <c r="J487">
        <v>-0.007213</v>
      </c>
      <c r="K487" s="4">
        <f t="shared" si="21"/>
        <v>-0.0209544394186327</v>
      </c>
      <c r="L487" s="4">
        <f t="shared" si="22"/>
        <v>-0.0112586928085708</v>
      </c>
      <c r="M487" s="18">
        <f t="shared" si="23"/>
        <v>-0.0038375</v>
      </c>
    </row>
    <row r="488" spans="1:13">
      <c r="A488" t="s">
        <v>13</v>
      </c>
      <c r="B488" t="s">
        <v>986</v>
      </c>
      <c r="C488" t="s">
        <v>987</v>
      </c>
      <c r="D488">
        <v>6856.0633</v>
      </c>
      <c r="E488">
        <v>6856.0633</v>
      </c>
      <c r="F488">
        <v>0.6776</v>
      </c>
      <c r="G488">
        <v>0</v>
      </c>
      <c r="H488">
        <v>0.464567</v>
      </c>
      <c r="I488">
        <v>0.466349</v>
      </c>
      <c r="J488">
        <v>-0.001782</v>
      </c>
      <c r="K488" s="4">
        <f t="shared" si="21"/>
        <v>-0.00382117255531801</v>
      </c>
      <c r="L488" s="4">
        <f t="shared" si="22"/>
        <v>0</v>
      </c>
      <c r="M488" s="18">
        <f t="shared" si="23"/>
        <v>0</v>
      </c>
    </row>
    <row r="489" spans="1:13">
      <c r="A489" t="s">
        <v>13</v>
      </c>
      <c r="B489" t="s">
        <v>988</v>
      </c>
      <c r="C489" t="s">
        <v>989</v>
      </c>
      <c r="D489">
        <v>4357.134</v>
      </c>
      <c r="E489">
        <v>4357.134</v>
      </c>
      <c r="F489">
        <v>1.0178</v>
      </c>
      <c r="G489">
        <v>0</v>
      </c>
      <c r="H489">
        <v>0.443469</v>
      </c>
      <c r="I489">
        <v>0.447434</v>
      </c>
      <c r="J489">
        <v>-0.003965</v>
      </c>
      <c r="K489" s="4">
        <f t="shared" si="21"/>
        <v>-0.00886164216398396</v>
      </c>
      <c r="L489" s="4">
        <f t="shared" si="22"/>
        <v>0</v>
      </c>
      <c r="M489" s="18">
        <f t="shared" si="23"/>
        <v>0</v>
      </c>
    </row>
    <row r="490" spans="1:13">
      <c r="A490" t="s">
        <v>13</v>
      </c>
      <c r="B490" t="s">
        <v>990</v>
      </c>
      <c r="C490" t="s">
        <v>991</v>
      </c>
      <c r="D490">
        <v>83137.5802</v>
      </c>
      <c r="E490">
        <v>87337.5802</v>
      </c>
      <c r="F490">
        <v>0.9275</v>
      </c>
      <c r="G490">
        <v>-4200</v>
      </c>
      <c r="H490">
        <v>7.711011</v>
      </c>
      <c r="I490">
        <v>8.123268</v>
      </c>
      <c r="J490">
        <v>-0.412257</v>
      </c>
      <c r="K490" s="4">
        <f t="shared" si="21"/>
        <v>-0.0507501414455365</v>
      </c>
      <c r="L490" s="4">
        <f t="shared" si="22"/>
        <v>-0.0480892645569312</v>
      </c>
      <c r="M490" s="18">
        <f t="shared" si="23"/>
        <v>-0.38955</v>
      </c>
    </row>
    <row r="491" spans="1:13">
      <c r="A491" t="s">
        <v>13</v>
      </c>
      <c r="B491" t="s">
        <v>992</v>
      </c>
      <c r="C491" t="s">
        <v>993</v>
      </c>
      <c r="D491">
        <v>288144.7904</v>
      </c>
      <c r="E491">
        <v>276244.7904</v>
      </c>
      <c r="F491">
        <v>1.6969</v>
      </c>
      <c r="G491">
        <v>11900</v>
      </c>
      <c r="H491">
        <v>48.895289</v>
      </c>
      <c r="I491">
        <v>44.759943</v>
      </c>
      <c r="J491">
        <v>4.135346</v>
      </c>
      <c r="K491" s="4">
        <f t="shared" si="21"/>
        <v>0.0923894384762733</v>
      </c>
      <c r="L491" s="4">
        <f t="shared" si="22"/>
        <v>0.0430777354489433</v>
      </c>
      <c r="M491" s="18">
        <f t="shared" si="23"/>
        <v>2.019311</v>
      </c>
    </row>
    <row r="492" spans="1:13">
      <c r="A492" t="s">
        <v>13</v>
      </c>
      <c r="B492" t="s">
        <v>994</v>
      </c>
      <c r="C492" t="s">
        <v>995</v>
      </c>
      <c r="D492">
        <v>81356.1371</v>
      </c>
      <c r="E492">
        <v>81356.1371</v>
      </c>
      <c r="F492">
        <v>0.6765</v>
      </c>
      <c r="G492">
        <v>0</v>
      </c>
      <c r="H492">
        <v>5.503743</v>
      </c>
      <c r="I492">
        <v>5.611946</v>
      </c>
      <c r="J492">
        <v>-0.108203</v>
      </c>
      <c r="K492" s="4">
        <f t="shared" si="21"/>
        <v>-0.0192808341348972</v>
      </c>
      <c r="L492" s="4">
        <f t="shared" si="22"/>
        <v>0</v>
      </c>
      <c r="M492" s="18">
        <f t="shared" si="23"/>
        <v>0</v>
      </c>
    </row>
    <row r="493" spans="1:13">
      <c r="A493" t="s">
        <v>13</v>
      </c>
      <c r="B493" t="s">
        <v>996</v>
      </c>
      <c r="C493" t="s">
        <v>997</v>
      </c>
      <c r="D493">
        <v>752239.4457</v>
      </c>
      <c r="E493">
        <v>752239.4457</v>
      </c>
      <c r="F493">
        <v>0.5722</v>
      </c>
      <c r="G493">
        <v>0</v>
      </c>
      <c r="H493">
        <v>43.043141</v>
      </c>
      <c r="I493">
        <v>43.374126</v>
      </c>
      <c r="J493">
        <v>-0.330985</v>
      </c>
      <c r="K493" s="4">
        <f t="shared" si="21"/>
        <v>-0.00763093186016013</v>
      </c>
      <c r="L493" s="4">
        <f t="shared" si="22"/>
        <v>0</v>
      </c>
      <c r="M493" s="18">
        <f t="shared" si="23"/>
        <v>0</v>
      </c>
    </row>
    <row r="494" spans="1:13">
      <c r="A494" t="s">
        <v>13</v>
      </c>
      <c r="B494" t="s">
        <v>998</v>
      </c>
      <c r="C494" t="s">
        <v>999</v>
      </c>
      <c r="D494">
        <v>13499.2667</v>
      </c>
      <c r="E494">
        <v>13499.2667</v>
      </c>
      <c r="F494">
        <v>2.1002</v>
      </c>
      <c r="G494">
        <v>0</v>
      </c>
      <c r="H494">
        <v>2.835116</v>
      </c>
      <c r="I494">
        <v>2.816892</v>
      </c>
      <c r="J494">
        <v>0.018224</v>
      </c>
      <c r="K494" s="4">
        <f t="shared" si="21"/>
        <v>0.00646954160826897</v>
      </c>
      <c r="L494" s="4">
        <f t="shared" si="22"/>
        <v>0</v>
      </c>
      <c r="M494" s="18">
        <f t="shared" si="23"/>
        <v>0</v>
      </c>
    </row>
    <row r="495" spans="1:13">
      <c r="A495" t="s">
        <v>13</v>
      </c>
      <c r="B495" t="s">
        <v>1000</v>
      </c>
      <c r="C495" t="s">
        <v>1001</v>
      </c>
      <c r="D495">
        <v>24218.0615</v>
      </c>
      <c r="E495">
        <v>24298.0615</v>
      </c>
      <c r="F495">
        <v>1.6257</v>
      </c>
      <c r="G495">
        <v>-80</v>
      </c>
      <c r="H495">
        <v>3.93713</v>
      </c>
      <c r="I495">
        <v>3.914661</v>
      </c>
      <c r="J495">
        <v>0.022469</v>
      </c>
      <c r="K495" s="4">
        <f t="shared" si="21"/>
        <v>0.00573970517498195</v>
      </c>
      <c r="L495" s="4">
        <f t="shared" si="22"/>
        <v>-0.00329244372025316</v>
      </c>
      <c r="M495" s="18">
        <f t="shared" si="23"/>
        <v>-0.0130056</v>
      </c>
    </row>
    <row r="496" spans="1:13">
      <c r="A496" t="s">
        <v>13</v>
      </c>
      <c r="B496" t="s">
        <v>1002</v>
      </c>
      <c r="C496" t="s">
        <v>1003</v>
      </c>
      <c r="D496">
        <v>2947912.0448</v>
      </c>
      <c r="E496">
        <v>2957812.0448</v>
      </c>
      <c r="F496">
        <v>0.5889</v>
      </c>
      <c r="G496">
        <v>-9900</v>
      </c>
      <c r="H496">
        <v>173.60254</v>
      </c>
      <c r="I496">
        <v>173.801036</v>
      </c>
      <c r="J496">
        <v>-0.198496</v>
      </c>
      <c r="K496" s="4">
        <f t="shared" si="21"/>
        <v>-0.00114208755349422</v>
      </c>
      <c r="L496" s="4">
        <f t="shared" si="22"/>
        <v>-0.00334706866090587</v>
      </c>
      <c r="M496" s="18">
        <f t="shared" si="23"/>
        <v>-0.583011</v>
      </c>
    </row>
    <row r="497" spans="1:13">
      <c r="A497" t="s">
        <v>13</v>
      </c>
      <c r="B497" t="s">
        <v>1004</v>
      </c>
      <c r="C497" t="s">
        <v>1005</v>
      </c>
      <c r="D497">
        <v>169279.6712</v>
      </c>
      <c r="E497">
        <v>169279.6712</v>
      </c>
      <c r="F497">
        <v>0.5898</v>
      </c>
      <c r="G497">
        <v>0</v>
      </c>
      <c r="H497">
        <v>9.984115</v>
      </c>
      <c r="I497">
        <v>9.960416</v>
      </c>
      <c r="J497">
        <v>0.023699</v>
      </c>
      <c r="K497" s="4">
        <f t="shared" si="21"/>
        <v>0.00237931829353312</v>
      </c>
      <c r="L497" s="4">
        <f t="shared" si="22"/>
        <v>0</v>
      </c>
      <c r="M497" s="18">
        <f t="shared" si="23"/>
        <v>0</v>
      </c>
    </row>
    <row r="498" spans="1:13">
      <c r="A498" t="s">
        <v>13</v>
      </c>
      <c r="B498" t="s">
        <v>1006</v>
      </c>
      <c r="C498" t="s">
        <v>1007</v>
      </c>
      <c r="D498">
        <v>723592.8292</v>
      </c>
      <c r="E498">
        <v>723592.8292</v>
      </c>
      <c r="F498">
        <v>0.6038</v>
      </c>
      <c r="G498">
        <v>0</v>
      </c>
      <c r="H498">
        <v>43.690535</v>
      </c>
      <c r="I498">
        <v>43.596468</v>
      </c>
      <c r="J498">
        <v>0.094067</v>
      </c>
      <c r="K498" s="4">
        <f t="shared" si="21"/>
        <v>0.00215767479145329</v>
      </c>
      <c r="L498" s="4">
        <f t="shared" si="22"/>
        <v>0</v>
      </c>
      <c r="M498" s="18">
        <f t="shared" si="23"/>
        <v>0</v>
      </c>
    </row>
    <row r="499" spans="1:13">
      <c r="A499" t="s">
        <v>13</v>
      </c>
      <c r="B499" t="s">
        <v>1008</v>
      </c>
      <c r="C499" t="s">
        <v>1009</v>
      </c>
      <c r="D499">
        <v>10894.11</v>
      </c>
      <c r="E499">
        <v>10894.11</v>
      </c>
      <c r="F499">
        <v>1.6158</v>
      </c>
      <c r="G499">
        <v>0</v>
      </c>
      <c r="H499">
        <v>1.76027</v>
      </c>
      <c r="I499">
        <v>1.744365</v>
      </c>
      <c r="J499">
        <v>0.015905</v>
      </c>
      <c r="K499" s="4">
        <f t="shared" si="21"/>
        <v>0.00911793116692894</v>
      </c>
      <c r="L499" s="4">
        <f t="shared" si="22"/>
        <v>0</v>
      </c>
      <c r="M499" s="18">
        <f t="shared" si="23"/>
        <v>0</v>
      </c>
    </row>
    <row r="500" spans="1:13">
      <c r="A500" t="s">
        <v>13</v>
      </c>
      <c r="B500" t="s">
        <v>1010</v>
      </c>
      <c r="C500" t="s">
        <v>1011</v>
      </c>
      <c r="D500">
        <v>145368.8265</v>
      </c>
      <c r="E500">
        <v>146868.8265</v>
      </c>
      <c r="F500">
        <v>0.5864</v>
      </c>
      <c r="G500">
        <v>-1500</v>
      </c>
      <c r="H500">
        <v>8.524428</v>
      </c>
      <c r="I500">
        <v>8.533079</v>
      </c>
      <c r="J500">
        <v>-0.008651</v>
      </c>
      <c r="K500" s="4">
        <f t="shared" si="21"/>
        <v>-0.00101381927906679</v>
      </c>
      <c r="L500" s="4">
        <f t="shared" si="22"/>
        <v>-0.0102131952419461</v>
      </c>
      <c r="M500" s="18">
        <f t="shared" si="23"/>
        <v>-0.08796</v>
      </c>
    </row>
    <row r="501" spans="1:13">
      <c r="A501" t="s">
        <v>13</v>
      </c>
      <c r="B501" t="s">
        <v>1012</v>
      </c>
      <c r="C501" t="s">
        <v>1013</v>
      </c>
      <c r="D501">
        <v>36171.2278</v>
      </c>
      <c r="E501">
        <v>36171.2278</v>
      </c>
      <c r="F501">
        <v>1.1644</v>
      </c>
      <c r="G501">
        <v>0</v>
      </c>
      <c r="H501">
        <v>4.211778</v>
      </c>
      <c r="I501">
        <v>4.214671</v>
      </c>
      <c r="J501">
        <v>-0.002893</v>
      </c>
      <c r="K501" s="4">
        <f t="shared" si="21"/>
        <v>-0.000686411821942923</v>
      </c>
      <c r="L501" s="4">
        <f t="shared" si="22"/>
        <v>0</v>
      </c>
      <c r="M501" s="18">
        <f t="shared" si="23"/>
        <v>0</v>
      </c>
    </row>
    <row r="502" spans="1:13">
      <c r="A502" t="s">
        <v>13</v>
      </c>
      <c r="B502" t="s">
        <v>1014</v>
      </c>
      <c r="C502" t="s">
        <v>1015</v>
      </c>
      <c r="D502">
        <v>95369.2128</v>
      </c>
      <c r="E502">
        <v>95369.2128</v>
      </c>
      <c r="F502">
        <v>0.6461</v>
      </c>
      <c r="G502">
        <v>0</v>
      </c>
      <c r="H502">
        <v>6.161805</v>
      </c>
      <c r="I502">
        <v>6.219026</v>
      </c>
      <c r="J502">
        <v>-0.057221</v>
      </c>
      <c r="K502" s="4">
        <f t="shared" si="21"/>
        <v>-0.00920095847806393</v>
      </c>
      <c r="L502" s="4">
        <f t="shared" si="22"/>
        <v>0</v>
      </c>
      <c r="M502" s="18">
        <f t="shared" si="23"/>
        <v>0</v>
      </c>
    </row>
    <row r="503" spans="1:13">
      <c r="A503" t="s">
        <v>13</v>
      </c>
      <c r="B503" t="s">
        <v>1016</v>
      </c>
      <c r="C503" t="s">
        <v>1017</v>
      </c>
      <c r="D503">
        <v>149061.8251</v>
      </c>
      <c r="E503">
        <v>149061.8251</v>
      </c>
      <c r="F503">
        <v>0.8545</v>
      </c>
      <c r="G503">
        <v>0</v>
      </c>
      <c r="H503">
        <v>12.737333</v>
      </c>
      <c r="I503">
        <v>12.743295</v>
      </c>
      <c r="J503">
        <v>-0.005962</v>
      </c>
      <c r="K503" s="4">
        <f t="shared" si="21"/>
        <v>-0.0004678538792361</v>
      </c>
      <c r="L503" s="4">
        <f t="shared" si="22"/>
        <v>0</v>
      </c>
      <c r="M503" s="18">
        <f t="shared" si="23"/>
        <v>0</v>
      </c>
    </row>
    <row r="504" spans="1:13">
      <c r="A504" t="s">
        <v>13</v>
      </c>
      <c r="B504" t="s">
        <v>1018</v>
      </c>
      <c r="C504" t="s">
        <v>1019</v>
      </c>
      <c r="D504">
        <v>107862.9628</v>
      </c>
      <c r="E504">
        <v>108762.9628</v>
      </c>
      <c r="F504">
        <v>0.875</v>
      </c>
      <c r="G504">
        <v>-900</v>
      </c>
      <c r="H504">
        <v>9.438009</v>
      </c>
      <c r="I504">
        <v>9.528723</v>
      </c>
      <c r="J504">
        <v>-0.090714</v>
      </c>
      <c r="K504" s="4">
        <f t="shared" si="21"/>
        <v>-0.00952005845904011</v>
      </c>
      <c r="L504" s="4">
        <f t="shared" si="22"/>
        <v>-0.00827487571899797</v>
      </c>
      <c r="M504" s="18">
        <f t="shared" si="23"/>
        <v>-0.07875</v>
      </c>
    </row>
    <row r="505" spans="1:13">
      <c r="A505" t="s">
        <v>13</v>
      </c>
      <c r="B505" t="s">
        <v>1020</v>
      </c>
      <c r="C505" t="s">
        <v>1021</v>
      </c>
      <c r="D505">
        <v>51695.8917</v>
      </c>
      <c r="E505">
        <v>51995.8917</v>
      </c>
      <c r="F505">
        <v>0.7343</v>
      </c>
      <c r="G505">
        <v>-300</v>
      </c>
      <c r="H505">
        <v>3.796029</v>
      </c>
      <c r="I505">
        <v>3.818578</v>
      </c>
      <c r="J505">
        <v>-0.022549</v>
      </c>
      <c r="K505" s="4">
        <f t="shared" si="21"/>
        <v>-0.00590507775407495</v>
      </c>
      <c r="L505" s="4">
        <f t="shared" si="22"/>
        <v>-0.00576968660775944</v>
      </c>
      <c r="M505" s="18">
        <f t="shared" si="23"/>
        <v>-0.022029</v>
      </c>
    </row>
    <row r="506" spans="1:13">
      <c r="A506" t="s">
        <v>13</v>
      </c>
      <c r="B506" t="s">
        <v>1022</v>
      </c>
      <c r="C506" t="s">
        <v>1023</v>
      </c>
      <c r="D506">
        <v>983164.6746</v>
      </c>
      <c r="E506">
        <v>979364.6746</v>
      </c>
      <c r="F506">
        <v>1.1327</v>
      </c>
      <c r="G506">
        <v>3800</v>
      </c>
      <c r="H506">
        <v>111.363063</v>
      </c>
      <c r="I506">
        <v>111.05016</v>
      </c>
      <c r="J506">
        <v>0.312903</v>
      </c>
      <c r="K506" s="4">
        <f t="shared" si="21"/>
        <v>0.00281767266251575</v>
      </c>
      <c r="L506" s="4">
        <f t="shared" si="22"/>
        <v>0.00388006643342739</v>
      </c>
      <c r="M506" s="18">
        <f t="shared" si="23"/>
        <v>0.430426</v>
      </c>
    </row>
    <row r="507" spans="1:13">
      <c r="A507" t="s">
        <v>13</v>
      </c>
      <c r="B507" t="s">
        <v>1024</v>
      </c>
      <c r="C507" t="s">
        <v>1025</v>
      </c>
      <c r="D507">
        <v>23693.1891</v>
      </c>
      <c r="E507">
        <v>24193.1891</v>
      </c>
      <c r="F507">
        <v>0.9409</v>
      </c>
      <c r="G507">
        <v>-500</v>
      </c>
      <c r="H507">
        <v>2.229292</v>
      </c>
      <c r="I507">
        <v>2.278756</v>
      </c>
      <c r="J507">
        <v>-0.049464</v>
      </c>
      <c r="K507" s="4">
        <f t="shared" si="21"/>
        <v>-0.0217065802569472</v>
      </c>
      <c r="L507" s="4">
        <f t="shared" si="22"/>
        <v>-0.0206669735822467</v>
      </c>
      <c r="M507" s="18">
        <f t="shared" si="23"/>
        <v>-0.047045</v>
      </c>
    </row>
    <row r="508" spans="1:13">
      <c r="A508" t="s">
        <v>13</v>
      </c>
      <c r="B508" t="s">
        <v>1026</v>
      </c>
      <c r="C508" t="s">
        <v>1027</v>
      </c>
      <c r="D508">
        <v>130629.0777</v>
      </c>
      <c r="E508">
        <v>131029.0777</v>
      </c>
      <c r="F508">
        <v>1.0713</v>
      </c>
      <c r="G508">
        <v>-400</v>
      </c>
      <c r="H508">
        <v>13.994293</v>
      </c>
      <c r="I508">
        <v>14.062041</v>
      </c>
      <c r="J508">
        <v>-0.067748</v>
      </c>
      <c r="K508" s="4">
        <f t="shared" si="21"/>
        <v>-0.00481779280831282</v>
      </c>
      <c r="L508" s="4">
        <f t="shared" si="22"/>
        <v>-0.00305275750254327</v>
      </c>
      <c r="M508" s="18">
        <f t="shared" si="23"/>
        <v>-0.042852</v>
      </c>
    </row>
    <row r="509" spans="1:13">
      <c r="A509" t="s">
        <v>13</v>
      </c>
      <c r="B509" t="s">
        <v>1028</v>
      </c>
      <c r="C509" t="s">
        <v>1029</v>
      </c>
      <c r="D509">
        <v>14436.0223</v>
      </c>
      <c r="E509">
        <v>14436.0223</v>
      </c>
      <c r="F509">
        <v>0.5077</v>
      </c>
      <c r="G509">
        <v>0</v>
      </c>
      <c r="H509">
        <v>0.732917</v>
      </c>
      <c r="I509">
        <v>0.738258</v>
      </c>
      <c r="J509">
        <v>-0.005341</v>
      </c>
      <c r="K509" s="4">
        <f t="shared" si="21"/>
        <v>-0.00723459820279631</v>
      </c>
      <c r="L509" s="4">
        <f t="shared" si="22"/>
        <v>0</v>
      </c>
      <c r="M509" s="18">
        <f t="shared" si="23"/>
        <v>0</v>
      </c>
    </row>
    <row r="510" spans="1:13">
      <c r="A510" t="s">
        <v>13</v>
      </c>
      <c r="B510" t="s">
        <v>1030</v>
      </c>
      <c r="C510" t="s">
        <v>1031</v>
      </c>
      <c r="D510">
        <v>20673.4117</v>
      </c>
      <c r="E510">
        <v>20373.4117</v>
      </c>
      <c r="F510">
        <v>0.9343</v>
      </c>
      <c r="G510">
        <v>300</v>
      </c>
      <c r="H510">
        <v>1.931517</v>
      </c>
      <c r="I510">
        <v>1.862945</v>
      </c>
      <c r="J510">
        <v>0.068572</v>
      </c>
      <c r="K510" s="4">
        <f t="shared" si="21"/>
        <v>0.036808386721025</v>
      </c>
      <c r="L510" s="4">
        <f t="shared" si="22"/>
        <v>0.0147250742495917</v>
      </c>
      <c r="M510" s="18">
        <f t="shared" si="23"/>
        <v>0.028029</v>
      </c>
    </row>
    <row r="511" spans="1:13">
      <c r="A511" t="s">
        <v>13</v>
      </c>
      <c r="B511" t="s">
        <v>1032</v>
      </c>
      <c r="C511" t="s">
        <v>1033</v>
      </c>
      <c r="D511">
        <v>9070.7747</v>
      </c>
      <c r="E511">
        <v>9070.7747</v>
      </c>
      <c r="F511">
        <v>0.8513</v>
      </c>
      <c r="G511">
        <v>0</v>
      </c>
      <c r="H511">
        <v>0.772195</v>
      </c>
      <c r="I511">
        <v>0.755686</v>
      </c>
      <c r="J511">
        <v>0.016509</v>
      </c>
      <c r="K511" s="4">
        <f t="shared" si="21"/>
        <v>0.021846375346374</v>
      </c>
      <c r="L511" s="4">
        <f t="shared" si="22"/>
        <v>0</v>
      </c>
      <c r="M511" s="18">
        <f t="shared" si="23"/>
        <v>0</v>
      </c>
    </row>
    <row r="512" spans="1:13">
      <c r="A512" t="s">
        <v>13</v>
      </c>
      <c r="B512" t="s">
        <v>1034</v>
      </c>
      <c r="C512" t="s">
        <v>1035</v>
      </c>
      <c r="D512">
        <v>546014.0963</v>
      </c>
      <c r="E512">
        <v>538564.0963</v>
      </c>
      <c r="F512">
        <v>0.5797</v>
      </c>
      <c r="G512">
        <v>7450</v>
      </c>
      <c r="H512">
        <v>31.652437</v>
      </c>
      <c r="I512">
        <v>31.672955</v>
      </c>
      <c r="J512">
        <v>-0.020518</v>
      </c>
      <c r="K512" s="4">
        <f t="shared" si="21"/>
        <v>-0.000647808201034605</v>
      </c>
      <c r="L512" s="4">
        <f t="shared" si="22"/>
        <v>0.0138330795743392</v>
      </c>
      <c r="M512" s="18">
        <f t="shared" si="23"/>
        <v>0.4318765</v>
      </c>
    </row>
    <row r="513" spans="1:13">
      <c r="A513" t="s">
        <v>13</v>
      </c>
      <c r="B513" t="s">
        <v>1036</v>
      </c>
      <c r="C513" t="s">
        <v>1037</v>
      </c>
      <c r="D513">
        <v>24187.3672</v>
      </c>
      <c r="E513">
        <v>24187.3672</v>
      </c>
      <c r="F513">
        <v>0.922</v>
      </c>
      <c r="G513">
        <v>0</v>
      </c>
      <c r="H513">
        <v>2.230075</v>
      </c>
      <c r="I513">
        <v>2.232252</v>
      </c>
      <c r="J513">
        <v>-0.002177</v>
      </c>
      <c r="K513" s="4">
        <f t="shared" si="21"/>
        <v>-0.000975248314258426</v>
      </c>
      <c r="L513" s="4">
        <f t="shared" si="22"/>
        <v>0</v>
      </c>
      <c r="M513" s="18">
        <f t="shared" si="23"/>
        <v>0</v>
      </c>
    </row>
    <row r="514" spans="1:13">
      <c r="A514" t="s">
        <v>13</v>
      </c>
      <c r="B514" t="s">
        <v>1038</v>
      </c>
      <c r="C514" t="s">
        <v>1039</v>
      </c>
      <c r="D514">
        <v>83045.0311</v>
      </c>
      <c r="E514">
        <v>83445.0311</v>
      </c>
      <c r="F514">
        <v>0.4202</v>
      </c>
      <c r="G514">
        <v>-400</v>
      </c>
      <c r="H514">
        <v>3.489552</v>
      </c>
      <c r="I514">
        <v>3.517208</v>
      </c>
      <c r="J514">
        <v>-0.027656</v>
      </c>
      <c r="K514" s="4">
        <f t="shared" ref="K514:K577" si="24">IFERROR(J514/I514,"")</f>
        <v>-0.00786305501409072</v>
      </c>
      <c r="L514" s="4">
        <f t="shared" ref="L514:L577" si="25">IFERROR((D514-E514)/E514,"")</f>
        <v>-0.00479357482077804</v>
      </c>
      <c r="M514" s="18">
        <f t="shared" ref="M514:M577" si="26">IFERROR(F514*G514/10000,"")</f>
        <v>-0.016808</v>
      </c>
    </row>
    <row r="515" spans="1:13">
      <c r="A515" t="s">
        <v>13</v>
      </c>
      <c r="B515" t="s">
        <v>1040</v>
      </c>
      <c r="C515" t="s">
        <v>1041</v>
      </c>
      <c r="D515">
        <v>552258.7762</v>
      </c>
      <c r="E515">
        <v>559458.7762</v>
      </c>
      <c r="F515">
        <v>1.1833</v>
      </c>
      <c r="G515">
        <v>-7200</v>
      </c>
      <c r="H515">
        <v>65.348781</v>
      </c>
      <c r="I515">
        <v>66.111244</v>
      </c>
      <c r="J515">
        <v>-0.762463</v>
      </c>
      <c r="K515" s="4">
        <f t="shared" si="24"/>
        <v>-0.0115330305991519</v>
      </c>
      <c r="L515" s="4">
        <f t="shared" si="25"/>
        <v>-0.0128695809348178</v>
      </c>
      <c r="M515" s="18">
        <f t="shared" si="26"/>
        <v>-0.851976</v>
      </c>
    </row>
    <row r="516" spans="1:13">
      <c r="A516" t="s">
        <v>13</v>
      </c>
      <c r="B516" t="s">
        <v>1042</v>
      </c>
      <c r="C516" t="s">
        <v>1043</v>
      </c>
      <c r="D516">
        <v>15230.312</v>
      </c>
      <c r="E516">
        <v>15230.312</v>
      </c>
      <c r="F516">
        <v>1.5247</v>
      </c>
      <c r="G516">
        <v>0</v>
      </c>
      <c r="H516">
        <v>2.322166</v>
      </c>
      <c r="I516">
        <v>2.285765</v>
      </c>
      <c r="J516">
        <v>0.036401</v>
      </c>
      <c r="K516" s="4">
        <f t="shared" si="24"/>
        <v>0.0159250841621952</v>
      </c>
      <c r="L516" s="4">
        <f t="shared" si="25"/>
        <v>0</v>
      </c>
      <c r="M516" s="18">
        <f t="shared" si="26"/>
        <v>0</v>
      </c>
    </row>
    <row r="517" spans="1:13">
      <c r="A517" t="s">
        <v>13</v>
      </c>
      <c r="B517" t="s">
        <v>1044</v>
      </c>
      <c r="C517" t="s">
        <v>1045</v>
      </c>
      <c r="D517">
        <v>67564.8961</v>
      </c>
      <c r="E517">
        <v>60164.8961</v>
      </c>
      <c r="F517">
        <v>0.942</v>
      </c>
      <c r="G517">
        <v>7400</v>
      </c>
      <c r="H517">
        <v>6.364613</v>
      </c>
      <c r="I517">
        <v>5.67355</v>
      </c>
      <c r="J517">
        <v>0.691063</v>
      </c>
      <c r="K517" s="4">
        <f t="shared" si="24"/>
        <v>0.121804337672181</v>
      </c>
      <c r="L517" s="4">
        <f t="shared" si="25"/>
        <v>0.122995309219856</v>
      </c>
      <c r="M517" s="18">
        <f t="shared" si="26"/>
        <v>0.69708</v>
      </c>
    </row>
    <row r="518" spans="1:13">
      <c r="A518" t="s">
        <v>13</v>
      </c>
      <c r="B518" t="s">
        <v>1046</v>
      </c>
      <c r="C518" t="s">
        <v>1047</v>
      </c>
      <c r="D518">
        <v>8796.8765</v>
      </c>
      <c r="E518">
        <v>8796.8765</v>
      </c>
      <c r="F518">
        <v>0.9445</v>
      </c>
      <c r="G518">
        <v>0</v>
      </c>
      <c r="H518">
        <v>0.830865</v>
      </c>
      <c r="I518">
        <v>0.842037</v>
      </c>
      <c r="J518">
        <v>-0.011172</v>
      </c>
      <c r="K518" s="4">
        <f t="shared" si="24"/>
        <v>-0.0132678255231065</v>
      </c>
      <c r="L518" s="4">
        <f t="shared" si="25"/>
        <v>0</v>
      </c>
      <c r="M518" s="18">
        <f t="shared" si="26"/>
        <v>0</v>
      </c>
    </row>
    <row r="519" spans="1:13">
      <c r="A519" t="s">
        <v>13</v>
      </c>
      <c r="B519" t="s">
        <v>1048</v>
      </c>
      <c r="C519" t="s">
        <v>1049</v>
      </c>
      <c r="D519">
        <v>3228.0565</v>
      </c>
      <c r="E519">
        <v>3228.0565</v>
      </c>
      <c r="F519">
        <v>1.4327</v>
      </c>
      <c r="G519">
        <v>0</v>
      </c>
      <c r="H519">
        <v>0.462484</v>
      </c>
      <c r="I519">
        <v>0.455253</v>
      </c>
      <c r="J519">
        <v>0.007231</v>
      </c>
      <c r="K519" s="4">
        <f t="shared" si="24"/>
        <v>0.0158834757815984</v>
      </c>
      <c r="L519" s="4">
        <f t="shared" si="25"/>
        <v>0</v>
      </c>
      <c r="M519" s="18">
        <f t="shared" si="26"/>
        <v>0</v>
      </c>
    </row>
    <row r="520" spans="1:13">
      <c r="A520" t="s">
        <v>13</v>
      </c>
      <c r="B520" t="s">
        <v>1050</v>
      </c>
      <c r="C520" t="s">
        <v>1051</v>
      </c>
      <c r="D520">
        <v>3725.5382</v>
      </c>
      <c r="E520">
        <v>3725.5382</v>
      </c>
      <c r="F520">
        <v>1.3706</v>
      </c>
      <c r="G520">
        <v>0</v>
      </c>
      <c r="H520">
        <v>0.510622</v>
      </c>
      <c r="I520">
        <v>0.500154</v>
      </c>
      <c r="J520">
        <v>0.010468</v>
      </c>
      <c r="K520" s="4">
        <f t="shared" si="24"/>
        <v>0.0209295536974612</v>
      </c>
      <c r="L520" s="4">
        <f t="shared" si="25"/>
        <v>0</v>
      </c>
      <c r="M520" s="18">
        <f t="shared" si="26"/>
        <v>0</v>
      </c>
    </row>
    <row r="521" spans="1:13">
      <c r="A521" t="s">
        <v>13</v>
      </c>
      <c r="B521" t="s">
        <v>1052</v>
      </c>
      <c r="C521" t="s">
        <v>1053</v>
      </c>
      <c r="D521">
        <v>12986.9337</v>
      </c>
      <c r="E521">
        <v>12586.9337</v>
      </c>
      <c r="F521">
        <v>1.7669</v>
      </c>
      <c r="G521">
        <v>400</v>
      </c>
      <c r="H521">
        <v>2.294661</v>
      </c>
      <c r="I521">
        <v>2.143177</v>
      </c>
      <c r="J521">
        <v>0.151484</v>
      </c>
      <c r="K521" s="4">
        <f t="shared" si="24"/>
        <v>0.070681982869357</v>
      </c>
      <c r="L521" s="4">
        <f t="shared" si="25"/>
        <v>0.0317789868075654</v>
      </c>
      <c r="M521" s="18">
        <f t="shared" si="26"/>
        <v>0.070676</v>
      </c>
    </row>
    <row r="522" spans="1:13">
      <c r="A522" t="s">
        <v>13</v>
      </c>
      <c r="B522" t="s">
        <v>1054</v>
      </c>
      <c r="C522" t="s">
        <v>1055</v>
      </c>
      <c r="D522">
        <v>268204.8583</v>
      </c>
      <c r="E522">
        <v>263804.8583</v>
      </c>
      <c r="F522">
        <v>1.3336</v>
      </c>
      <c r="G522">
        <v>4400</v>
      </c>
      <c r="H522">
        <v>35.7678</v>
      </c>
      <c r="I522">
        <v>34.21549</v>
      </c>
      <c r="J522">
        <v>1.55231</v>
      </c>
      <c r="K522" s="4">
        <f t="shared" si="24"/>
        <v>0.0453686327449936</v>
      </c>
      <c r="L522" s="4">
        <f t="shared" si="25"/>
        <v>0.0166789953314518</v>
      </c>
      <c r="M522" s="18">
        <f t="shared" si="26"/>
        <v>0.586784</v>
      </c>
    </row>
    <row r="523" spans="1:13">
      <c r="A523" t="s">
        <v>13</v>
      </c>
      <c r="B523" t="s">
        <v>1056</v>
      </c>
      <c r="C523" t="s">
        <v>1057</v>
      </c>
      <c r="D523">
        <v>1153386.0533</v>
      </c>
      <c r="E523">
        <v>1150986.0533</v>
      </c>
      <c r="F523">
        <v>1.3356</v>
      </c>
      <c r="G523">
        <v>2400</v>
      </c>
      <c r="H523">
        <v>154.046241</v>
      </c>
      <c r="I523">
        <v>149.547618</v>
      </c>
      <c r="J523">
        <v>4.498623</v>
      </c>
      <c r="K523" s="4">
        <f t="shared" si="24"/>
        <v>0.0300815423218576</v>
      </c>
      <c r="L523" s="4">
        <f t="shared" si="25"/>
        <v>0.00208516861965351</v>
      </c>
      <c r="M523" s="18">
        <f t="shared" si="26"/>
        <v>0.320544</v>
      </c>
    </row>
    <row r="524" spans="1:13">
      <c r="A524" t="s">
        <v>13</v>
      </c>
      <c r="B524" t="s">
        <v>1058</v>
      </c>
      <c r="C524" t="s">
        <v>1059</v>
      </c>
      <c r="D524">
        <v>48619.0267</v>
      </c>
      <c r="E524">
        <v>49519.0267</v>
      </c>
      <c r="F524">
        <v>1.3377</v>
      </c>
      <c r="G524">
        <v>-900</v>
      </c>
      <c r="H524">
        <v>6.503767</v>
      </c>
      <c r="I524">
        <v>6.443416</v>
      </c>
      <c r="J524">
        <v>0.060351</v>
      </c>
      <c r="K524" s="4">
        <f t="shared" si="24"/>
        <v>0.00936630507792761</v>
      </c>
      <c r="L524" s="4">
        <f t="shared" si="25"/>
        <v>-0.0181748321802133</v>
      </c>
      <c r="M524" s="18">
        <f t="shared" si="26"/>
        <v>-0.120393</v>
      </c>
    </row>
    <row r="525" spans="1:13">
      <c r="A525" t="s">
        <v>13</v>
      </c>
      <c r="B525" t="s">
        <v>1060</v>
      </c>
      <c r="C525" t="s">
        <v>1061</v>
      </c>
      <c r="D525">
        <v>441445.9442</v>
      </c>
      <c r="E525">
        <v>438325.9442</v>
      </c>
      <c r="F525">
        <v>1.3416</v>
      </c>
      <c r="G525">
        <v>3120</v>
      </c>
      <c r="H525">
        <v>59.224388</v>
      </c>
      <c r="I525">
        <v>57.192769</v>
      </c>
      <c r="J525">
        <v>2.031619</v>
      </c>
      <c r="K525" s="4">
        <f t="shared" si="24"/>
        <v>0.0355223052760394</v>
      </c>
      <c r="L525" s="4">
        <f t="shared" si="25"/>
        <v>0.00711799071281166</v>
      </c>
      <c r="M525" s="18">
        <f t="shared" si="26"/>
        <v>0.4185792</v>
      </c>
    </row>
    <row r="526" spans="1:13">
      <c r="A526" t="s">
        <v>13</v>
      </c>
      <c r="B526" t="s">
        <v>1062</v>
      </c>
      <c r="C526" t="s">
        <v>1063</v>
      </c>
      <c r="D526">
        <v>8270.1174</v>
      </c>
      <c r="E526">
        <v>8070.1174</v>
      </c>
      <c r="F526">
        <v>1.3691</v>
      </c>
      <c r="G526">
        <v>200</v>
      </c>
      <c r="H526">
        <v>1.132262</v>
      </c>
      <c r="I526">
        <v>1.067596</v>
      </c>
      <c r="J526">
        <v>0.064666</v>
      </c>
      <c r="K526" s="4">
        <f t="shared" si="24"/>
        <v>0.0605716019917647</v>
      </c>
      <c r="L526" s="4">
        <f t="shared" si="25"/>
        <v>0.0247827869269906</v>
      </c>
      <c r="M526" s="18">
        <f t="shared" si="26"/>
        <v>0.027382</v>
      </c>
    </row>
    <row r="527" spans="1:13">
      <c r="A527" t="s">
        <v>13</v>
      </c>
      <c r="B527" t="s">
        <v>1064</v>
      </c>
      <c r="C527" t="s">
        <v>1065</v>
      </c>
      <c r="D527">
        <v>12902.1633</v>
      </c>
      <c r="E527">
        <v>12902.1633</v>
      </c>
      <c r="F527">
        <v>0.6447</v>
      </c>
      <c r="G527">
        <v>0</v>
      </c>
      <c r="H527">
        <v>0.831802</v>
      </c>
      <c r="I527">
        <v>0.82419</v>
      </c>
      <c r="J527">
        <v>0.007612</v>
      </c>
      <c r="K527" s="4">
        <f t="shared" si="24"/>
        <v>0.0092357344787003</v>
      </c>
      <c r="L527" s="4">
        <f t="shared" si="25"/>
        <v>0</v>
      </c>
      <c r="M527" s="18">
        <f t="shared" si="26"/>
        <v>0</v>
      </c>
    </row>
    <row r="528" spans="1:13">
      <c r="A528" t="s">
        <v>13</v>
      </c>
      <c r="B528" t="s">
        <v>1066</v>
      </c>
      <c r="C528" t="s">
        <v>1067</v>
      </c>
      <c r="D528">
        <v>10442.4965</v>
      </c>
      <c r="E528">
        <v>10442.4965</v>
      </c>
      <c r="F528">
        <v>1.1808</v>
      </c>
      <c r="G528">
        <v>0</v>
      </c>
      <c r="H528">
        <v>1.23305</v>
      </c>
      <c r="I528">
        <v>1.246625</v>
      </c>
      <c r="J528">
        <v>-0.013575</v>
      </c>
      <c r="K528" s="4">
        <f t="shared" si="24"/>
        <v>-0.0108894013837361</v>
      </c>
      <c r="L528" s="4">
        <f t="shared" si="25"/>
        <v>0</v>
      </c>
      <c r="M528" s="18">
        <f t="shared" si="26"/>
        <v>0</v>
      </c>
    </row>
    <row r="529" spans="1:13">
      <c r="A529" t="s">
        <v>13</v>
      </c>
      <c r="B529" t="s">
        <v>1068</v>
      </c>
      <c r="C529" t="s">
        <v>1069</v>
      </c>
      <c r="D529">
        <v>164852.8485</v>
      </c>
      <c r="E529">
        <v>164252.8485</v>
      </c>
      <c r="F529">
        <v>0.79</v>
      </c>
      <c r="G529">
        <v>600</v>
      </c>
      <c r="H529">
        <v>13.023375</v>
      </c>
      <c r="I529">
        <v>13.036749</v>
      </c>
      <c r="J529">
        <v>-0.013374</v>
      </c>
      <c r="K529" s="4">
        <f t="shared" si="24"/>
        <v>-0.00102586925620797</v>
      </c>
      <c r="L529" s="4">
        <f t="shared" si="25"/>
        <v>0.00365290468615526</v>
      </c>
      <c r="M529" s="18">
        <f t="shared" si="26"/>
        <v>0.0474</v>
      </c>
    </row>
    <row r="530" spans="1:13">
      <c r="A530" t="s">
        <v>13</v>
      </c>
      <c r="B530" t="s">
        <v>1070</v>
      </c>
      <c r="C530" t="s">
        <v>1071</v>
      </c>
      <c r="D530">
        <v>2708.3347</v>
      </c>
      <c r="E530">
        <v>2708.3347</v>
      </c>
      <c r="F530">
        <v>1.173</v>
      </c>
      <c r="G530">
        <v>0</v>
      </c>
      <c r="H530">
        <v>0.317688</v>
      </c>
      <c r="I530">
        <v>0.314275</v>
      </c>
      <c r="J530">
        <v>0.003413</v>
      </c>
      <c r="K530" s="4">
        <f t="shared" si="24"/>
        <v>0.0108599156789436</v>
      </c>
      <c r="L530" s="4">
        <f t="shared" si="25"/>
        <v>0</v>
      </c>
      <c r="M530" s="18">
        <f t="shared" si="26"/>
        <v>0</v>
      </c>
    </row>
    <row r="531" spans="1:13">
      <c r="A531" t="s">
        <v>13</v>
      </c>
      <c r="B531" t="s">
        <v>1072</v>
      </c>
      <c r="C531" t="s">
        <v>1073</v>
      </c>
      <c r="D531">
        <v>6878285.5237</v>
      </c>
      <c r="E531">
        <v>6978285.5237</v>
      </c>
      <c r="F531">
        <v>0.5858</v>
      </c>
      <c r="G531">
        <v>-100000</v>
      </c>
      <c r="H531">
        <v>402.929966</v>
      </c>
      <c r="I531">
        <v>411.649063</v>
      </c>
      <c r="J531">
        <v>-8.719097</v>
      </c>
      <c r="K531" s="4">
        <f t="shared" si="24"/>
        <v>-0.0211808984489295</v>
      </c>
      <c r="L531" s="4">
        <f t="shared" si="25"/>
        <v>-0.0143301674401793</v>
      </c>
      <c r="M531" s="18">
        <f t="shared" si="26"/>
        <v>-5.858</v>
      </c>
    </row>
    <row r="532" spans="1:13">
      <c r="A532" t="s">
        <v>13</v>
      </c>
      <c r="B532" t="s">
        <v>1074</v>
      </c>
      <c r="C532" t="s">
        <v>1075</v>
      </c>
      <c r="D532">
        <v>3975.8908</v>
      </c>
      <c r="E532">
        <v>3975.8908</v>
      </c>
      <c r="F532">
        <v>0.7848</v>
      </c>
      <c r="G532">
        <v>0</v>
      </c>
      <c r="H532">
        <v>0.312028</v>
      </c>
      <c r="I532">
        <v>0.314095</v>
      </c>
      <c r="J532">
        <v>-0.002067</v>
      </c>
      <c r="K532" s="4">
        <f t="shared" si="24"/>
        <v>-0.0065808115379105</v>
      </c>
      <c r="L532" s="4">
        <f t="shared" si="25"/>
        <v>0</v>
      </c>
      <c r="M532" s="18">
        <f t="shared" si="26"/>
        <v>0</v>
      </c>
    </row>
    <row r="533" spans="1:13">
      <c r="A533" t="s">
        <v>13</v>
      </c>
      <c r="B533" t="s">
        <v>1076</v>
      </c>
      <c r="C533" t="s">
        <v>1077</v>
      </c>
      <c r="D533">
        <v>2716.9473</v>
      </c>
      <c r="E533">
        <v>2716.9473</v>
      </c>
      <c r="F533">
        <v>1.0043</v>
      </c>
      <c r="G533">
        <v>0</v>
      </c>
      <c r="H533">
        <v>0.272863</v>
      </c>
      <c r="I533">
        <v>0.269385</v>
      </c>
      <c r="J533">
        <v>0.003478</v>
      </c>
      <c r="K533" s="4">
        <f t="shared" si="24"/>
        <v>0.0129108896189469</v>
      </c>
      <c r="L533" s="4">
        <f t="shared" si="25"/>
        <v>0</v>
      </c>
      <c r="M533" s="18">
        <f t="shared" si="26"/>
        <v>0</v>
      </c>
    </row>
    <row r="534" spans="1:13">
      <c r="A534" t="s">
        <v>13</v>
      </c>
      <c r="B534" t="s">
        <v>1078</v>
      </c>
      <c r="C534" t="s">
        <v>1079</v>
      </c>
      <c r="D534">
        <v>696846.755</v>
      </c>
      <c r="E534">
        <v>716946.755</v>
      </c>
      <c r="F534">
        <v>1.0674</v>
      </c>
      <c r="G534">
        <v>-20100</v>
      </c>
      <c r="H534">
        <v>74.381423</v>
      </c>
      <c r="I534">
        <v>76.806506</v>
      </c>
      <c r="J534">
        <v>-2.425083</v>
      </c>
      <c r="K534" s="4">
        <f t="shared" si="24"/>
        <v>-0.0315739268233345</v>
      </c>
      <c r="L534" s="4">
        <f t="shared" si="25"/>
        <v>-0.0280355547463214</v>
      </c>
      <c r="M534" s="18">
        <f t="shared" si="26"/>
        <v>-2.145474</v>
      </c>
    </row>
    <row r="535" spans="1:13">
      <c r="A535" t="s">
        <v>13</v>
      </c>
      <c r="B535" t="s">
        <v>1080</v>
      </c>
      <c r="C535" t="s">
        <v>1081</v>
      </c>
      <c r="D535">
        <v>37898.9247</v>
      </c>
      <c r="E535">
        <v>37898.9247</v>
      </c>
      <c r="F535">
        <v>0.6564</v>
      </c>
      <c r="G535">
        <v>0</v>
      </c>
      <c r="H535">
        <v>2.487685</v>
      </c>
      <c r="I535">
        <v>2.502466</v>
      </c>
      <c r="J535">
        <v>-0.014781</v>
      </c>
      <c r="K535" s="4">
        <f t="shared" si="24"/>
        <v>-0.00590657375564743</v>
      </c>
      <c r="L535" s="4">
        <f t="shared" si="25"/>
        <v>0</v>
      </c>
      <c r="M535" s="18">
        <f t="shared" si="26"/>
        <v>0</v>
      </c>
    </row>
    <row r="536" spans="1:13">
      <c r="A536" t="s">
        <v>13</v>
      </c>
      <c r="B536" t="s">
        <v>1082</v>
      </c>
      <c r="C536" t="s">
        <v>1083</v>
      </c>
      <c r="D536">
        <v>15824.539</v>
      </c>
      <c r="E536">
        <v>15524.539</v>
      </c>
      <c r="F536">
        <v>0.7939</v>
      </c>
      <c r="G536">
        <v>300</v>
      </c>
      <c r="H536">
        <v>1.25631</v>
      </c>
      <c r="I536">
        <v>1.243205</v>
      </c>
      <c r="J536">
        <v>0.013105</v>
      </c>
      <c r="K536" s="4">
        <f t="shared" si="24"/>
        <v>0.0105413025205014</v>
      </c>
      <c r="L536" s="4">
        <f t="shared" si="25"/>
        <v>0.0193242453125339</v>
      </c>
      <c r="M536" s="18">
        <f t="shared" si="26"/>
        <v>0.023817</v>
      </c>
    </row>
    <row r="537" spans="1:13">
      <c r="A537" t="s">
        <v>13</v>
      </c>
      <c r="B537" t="s">
        <v>1084</v>
      </c>
      <c r="C537" t="s">
        <v>1085</v>
      </c>
      <c r="D537">
        <v>2673.6802</v>
      </c>
      <c r="E537">
        <v>2673.6802</v>
      </c>
      <c r="F537">
        <v>1.5217</v>
      </c>
      <c r="G537">
        <v>0</v>
      </c>
      <c r="H537">
        <v>0.406854</v>
      </c>
      <c r="I537">
        <v>0.40271</v>
      </c>
      <c r="J537">
        <v>0.004144</v>
      </c>
      <c r="K537" s="4">
        <f t="shared" si="24"/>
        <v>0.0102902833304363</v>
      </c>
      <c r="L537" s="4">
        <f t="shared" si="25"/>
        <v>0</v>
      </c>
      <c r="M537" s="18">
        <f t="shared" si="26"/>
        <v>0</v>
      </c>
    </row>
    <row r="538" spans="1:13">
      <c r="A538" t="s">
        <v>13</v>
      </c>
      <c r="B538" t="s">
        <v>1086</v>
      </c>
      <c r="C538" t="s">
        <v>1087</v>
      </c>
      <c r="D538">
        <v>354512.0172</v>
      </c>
      <c r="E538">
        <v>359012.0172</v>
      </c>
      <c r="F538">
        <v>1.331</v>
      </c>
      <c r="G538">
        <v>-4500</v>
      </c>
      <c r="H538">
        <v>47.185549</v>
      </c>
      <c r="I538">
        <v>45.073959</v>
      </c>
      <c r="J538">
        <v>2.11159</v>
      </c>
      <c r="K538" s="4">
        <f t="shared" si="24"/>
        <v>0.0468472272426746</v>
      </c>
      <c r="L538" s="4">
        <f t="shared" si="25"/>
        <v>-0.0125343993638328</v>
      </c>
      <c r="M538" s="18">
        <f t="shared" si="26"/>
        <v>-0.59895</v>
      </c>
    </row>
    <row r="539" spans="1:13">
      <c r="A539" t="s">
        <v>13</v>
      </c>
      <c r="B539" t="s">
        <v>1088</v>
      </c>
      <c r="C539" t="s">
        <v>1089</v>
      </c>
      <c r="D539">
        <v>2389.9676</v>
      </c>
      <c r="E539">
        <v>2389.9676</v>
      </c>
      <c r="F539">
        <v>1.8787</v>
      </c>
      <c r="G539">
        <v>0</v>
      </c>
      <c r="H539">
        <v>0.449003</v>
      </c>
      <c r="I539">
        <v>0.444964</v>
      </c>
      <c r="J539">
        <v>0.004039</v>
      </c>
      <c r="K539" s="4">
        <f t="shared" si="24"/>
        <v>0.00907713882471391</v>
      </c>
      <c r="L539" s="4">
        <f t="shared" si="25"/>
        <v>0</v>
      </c>
      <c r="M539" s="18">
        <f t="shared" si="26"/>
        <v>0</v>
      </c>
    </row>
    <row r="540" spans="1:13">
      <c r="A540" t="s">
        <v>13</v>
      </c>
      <c r="B540" t="s">
        <v>1090</v>
      </c>
      <c r="C540" t="s">
        <v>1091</v>
      </c>
      <c r="D540">
        <v>26145.248</v>
      </c>
      <c r="E540">
        <v>26295.248</v>
      </c>
      <c r="F540">
        <v>1.1499</v>
      </c>
      <c r="G540">
        <v>-150</v>
      </c>
      <c r="H540">
        <v>3.006442</v>
      </c>
      <c r="I540">
        <v>3.068655</v>
      </c>
      <c r="J540">
        <v>-0.062213</v>
      </c>
      <c r="K540" s="4">
        <f t="shared" si="24"/>
        <v>-0.0202737029741043</v>
      </c>
      <c r="L540" s="4">
        <f t="shared" si="25"/>
        <v>-0.00570445275891674</v>
      </c>
      <c r="M540" s="18">
        <f t="shared" si="26"/>
        <v>-0.0172485</v>
      </c>
    </row>
    <row r="541" spans="1:13">
      <c r="A541" t="s">
        <v>13</v>
      </c>
      <c r="B541" t="s">
        <v>1092</v>
      </c>
      <c r="C541" t="s">
        <v>1093</v>
      </c>
      <c r="D541">
        <v>86008.9446</v>
      </c>
      <c r="E541">
        <v>86508.9446</v>
      </c>
      <c r="F541">
        <v>0.8539</v>
      </c>
      <c r="G541">
        <v>-500</v>
      </c>
      <c r="H541">
        <v>7.344304</v>
      </c>
      <c r="I541">
        <v>7.425063</v>
      </c>
      <c r="J541">
        <v>-0.080759</v>
      </c>
      <c r="K541" s="4">
        <f t="shared" si="24"/>
        <v>-0.010876540710833</v>
      </c>
      <c r="L541" s="4">
        <f t="shared" si="25"/>
        <v>-0.00577974916133701</v>
      </c>
      <c r="M541" s="18">
        <f t="shared" si="26"/>
        <v>-0.042695</v>
      </c>
    </row>
    <row r="542" spans="1:13">
      <c r="A542" t="s">
        <v>13</v>
      </c>
      <c r="B542" t="s">
        <v>1094</v>
      </c>
      <c r="C542" t="s">
        <v>1095</v>
      </c>
      <c r="D542">
        <v>81005.1428</v>
      </c>
      <c r="E542">
        <v>81905.1428</v>
      </c>
      <c r="F542">
        <v>1.0379</v>
      </c>
      <c r="G542">
        <v>-900</v>
      </c>
      <c r="H542">
        <v>8.407524</v>
      </c>
      <c r="I542">
        <v>8.209352</v>
      </c>
      <c r="J542">
        <v>0.198172</v>
      </c>
      <c r="K542" s="4">
        <f t="shared" si="24"/>
        <v>0.0241397859416919</v>
      </c>
      <c r="L542" s="4">
        <f t="shared" si="25"/>
        <v>-0.0109883209922198</v>
      </c>
      <c r="M542" s="18">
        <f t="shared" si="26"/>
        <v>-0.093411</v>
      </c>
    </row>
    <row r="543" spans="1:13">
      <c r="A543" t="s">
        <v>13</v>
      </c>
      <c r="B543" t="s">
        <v>1096</v>
      </c>
      <c r="C543" t="s">
        <v>1097</v>
      </c>
      <c r="D543">
        <v>4948.479</v>
      </c>
      <c r="E543">
        <v>4948.479</v>
      </c>
      <c r="F543">
        <v>1.6088</v>
      </c>
      <c r="G543">
        <v>0</v>
      </c>
      <c r="H543">
        <v>0.796111</v>
      </c>
      <c r="I543">
        <v>0.783988</v>
      </c>
      <c r="J543">
        <v>0.012123</v>
      </c>
      <c r="K543" s="4">
        <f t="shared" si="24"/>
        <v>0.0154632468864319</v>
      </c>
      <c r="L543" s="4">
        <f t="shared" si="25"/>
        <v>0</v>
      </c>
      <c r="M543" s="18">
        <f t="shared" si="26"/>
        <v>0</v>
      </c>
    </row>
    <row r="544" spans="1:13">
      <c r="A544" t="s">
        <v>13</v>
      </c>
      <c r="B544" t="s">
        <v>1098</v>
      </c>
      <c r="C544" t="s">
        <v>1099</v>
      </c>
      <c r="D544">
        <v>4547.5458</v>
      </c>
      <c r="E544">
        <v>4547.5458</v>
      </c>
      <c r="F544">
        <v>1.6775</v>
      </c>
      <c r="G544">
        <v>0</v>
      </c>
      <c r="H544">
        <v>0.762851</v>
      </c>
      <c r="I544">
        <v>0.751255</v>
      </c>
      <c r="J544">
        <v>0.011596</v>
      </c>
      <c r="K544" s="4">
        <f t="shared" si="24"/>
        <v>0.0154355045889878</v>
      </c>
      <c r="L544" s="4">
        <f t="shared" si="25"/>
        <v>0</v>
      </c>
      <c r="M544" s="18">
        <f t="shared" si="26"/>
        <v>0</v>
      </c>
    </row>
    <row r="545" spans="1:13">
      <c r="A545" t="s">
        <v>13</v>
      </c>
      <c r="B545" t="s">
        <v>1100</v>
      </c>
      <c r="C545" t="s">
        <v>1101</v>
      </c>
      <c r="D545">
        <v>6834.3393</v>
      </c>
      <c r="E545">
        <v>6834.3393</v>
      </c>
      <c r="F545">
        <v>3.7326</v>
      </c>
      <c r="G545">
        <v>0</v>
      </c>
      <c r="H545">
        <v>2.550985</v>
      </c>
      <c r="I545">
        <v>2.485034</v>
      </c>
      <c r="J545">
        <v>0.065951</v>
      </c>
      <c r="K545" s="4">
        <f t="shared" si="24"/>
        <v>0.0265392747141488</v>
      </c>
      <c r="L545" s="4">
        <f t="shared" si="25"/>
        <v>0</v>
      </c>
      <c r="M545" s="18">
        <f t="shared" si="26"/>
        <v>0</v>
      </c>
    </row>
    <row r="546" spans="1:13">
      <c r="A546" t="s">
        <v>13</v>
      </c>
      <c r="B546" t="s">
        <v>1102</v>
      </c>
      <c r="C546" t="s">
        <v>1103</v>
      </c>
      <c r="D546">
        <v>18031.3149</v>
      </c>
      <c r="E546">
        <v>18181.3149</v>
      </c>
      <c r="F546">
        <v>8.9127</v>
      </c>
      <c r="G546">
        <v>-150</v>
      </c>
      <c r="H546">
        <v>16.07077</v>
      </c>
      <c r="I546">
        <v>16.227005</v>
      </c>
      <c r="J546">
        <v>-0.156235</v>
      </c>
      <c r="K546" s="4">
        <f t="shared" si="24"/>
        <v>-0.00962808602080298</v>
      </c>
      <c r="L546" s="4">
        <f t="shared" si="25"/>
        <v>-0.00825022837044641</v>
      </c>
      <c r="M546" s="18">
        <f t="shared" si="26"/>
        <v>-0.1336905</v>
      </c>
    </row>
    <row r="547" spans="1:13">
      <c r="A547" t="s">
        <v>13</v>
      </c>
      <c r="B547" t="s">
        <v>1104</v>
      </c>
      <c r="C547" t="s">
        <v>1105</v>
      </c>
      <c r="D547">
        <v>316986.241</v>
      </c>
      <c r="E547">
        <v>324586.241</v>
      </c>
      <c r="F547">
        <v>1.72</v>
      </c>
      <c r="G547">
        <v>-7600</v>
      </c>
      <c r="H547">
        <v>54.521633</v>
      </c>
      <c r="I547">
        <v>52.673855</v>
      </c>
      <c r="J547">
        <v>1.847778</v>
      </c>
      <c r="K547" s="4">
        <f t="shared" si="24"/>
        <v>0.035079604483097</v>
      </c>
      <c r="L547" s="4">
        <f t="shared" si="25"/>
        <v>-0.023414424396381</v>
      </c>
      <c r="M547" s="18">
        <f t="shared" si="26"/>
        <v>-1.3072</v>
      </c>
    </row>
    <row r="548" spans="1:13">
      <c r="A548" t="s">
        <v>13</v>
      </c>
      <c r="B548" t="s">
        <v>1106</v>
      </c>
      <c r="C548" t="s">
        <v>1107</v>
      </c>
      <c r="D548">
        <v>44624.652</v>
      </c>
      <c r="E548">
        <v>45224.652</v>
      </c>
      <c r="F548">
        <v>0.8762</v>
      </c>
      <c r="G548">
        <v>-600</v>
      </c>
      <c r="H548">
        <v>3.910012</v>
      </c>
      <c r="I548">
        <v>3.906053</v>
      </c>
      <c r="J548">
        <v>0.003959</v>
      </c>
      <c r="K548" s="4">
        <f t="shared" si="24"/>
        <v>0.00101355511561159</v>
      </c>
      <c r="L548" s="4">
        <f t="shared" si="25"/>
        <v>-0.0132671004300929</v>
      </c>
      <c r="M548" s="18">
        <f t="shared" si="26"/>
        <v>-0.052572</v>
      </c>
    </row>
    <row r="549" spans="1:13">
      <c r="A549" t="s">
        <v>13</v>
      </c>
      <c r="B549" t="s">
        <v>1108</v>
      </c>
      <c r="C549" t="s">
        <v>1109</v>
      </c>
      <c r="D549">
        <v>9301.7484</v>
      </c>
      <c r="E549">
        <v>9291.7484</v>
      </c>
      <c r="F549">
        <v>114.3309</v>
      </c>
      <c r="G549">
        <v>10</v>
      </c>
      <c r="H549">
        <v>106.347727</v>
      </c>
      <c r="I549">
        <v>106.218901</v>
      </c>
      <c r="J549">
        <v>0.128826</v>
      </c>
      <c r="K549" s="4">
        <f t="shared" si="24"/>
        <v>0.00121283499252172</v>
      </c>
      <c r="L549" s="4">
        <f t="shared" si="25"/>
        <v>0.00107622371694869</v>
      </c>
      <c r="M549" s="18">
        <f t="shared" si="26"/>
        <v>0.1143309</v>
      </c>
    </row>
    <row r="550" spans="1:13">
      <c r="A550" t="s">
        <v>13</v>
      </c>
      <c r="B550" t="s">
        <v>1110</v>
      </c>
      <c r="C550" t="s">
        <v>1111</v>
      </c>
      <c r="D550">
        <v>1103122.9669</v>
      </c>
      <c r="E550">
        <v>1120522.9669</v>
      </c>
      <c r="F550">
        <v>2.0109</v>
      </c>
      <c r="G550">
        <v>-17400</v>
      </c>
      <c r="H550">
        <v>221.826997</v>
      </c>
      <c r="I550">
        <v>219.633707</v>
      </c>
      <c r="J550">
        <v>2.19329</v>
      </c>
      <c r="K550" s="4">
        <f t="shared" si="24"/>
        <v>0.00998612658302034</v>
      </c>
      <c r="L550" s="4">
        <f t="shared" si="25"/>
        <v>-0.0155284635067662</v>
      </c>
      <c r="M550" s="18">
        <f t="shared" si="26"/>
        <v>-3.498966</v>
      </c>
    </row>
    <row r="551" spans="1:13">
      <c r="A551" t="s">
        <v>13</v>
      </c>
      <c r="B551" t="s">
        <v>1112</v>
      </c>
      <c r="C551" t="s">
        <v>1113</v>
      </c>
      <c r="D551">
        <v>129140.847</v>
      </c>
      <c r="E551">
        <v>129140.847</v>
      </c>
      <c r="F551">
        <v>1.4827</v>
      </c>
      <c r="G551">
        <v>0</v>
      </c>
      <c r="H551">
        <v>19.147713</v>
      </c>
      <c r="I551">
        <v>18.881683</v>
      </c>
      <c r="J551">
        <v>0.26603</v>
      </c>
      <c r="K551" s="4">
        <f t="shared" si="24"/>
        <v>0.0140893160848003</v>
      </c>
      <c r="L551" s="4">
        <f t="shared" si="25"/>
        <v>0</v>
      </c>
      <c r="M551" s="18">
        <f t="shared" si="26"/>
        <v>0</v>
      </c>
    </row>
    <row r="552" spans="1:13">
      <c r="A552" t="s">
        <v>13</v>
      </c>
      <c r="B552" t="s">
        <v>1114</v>
      </c>
      <c r="C552" t="s">
        <v>1115</v>
      </c>
      <c r="D552">
        <v>5162</v>
      </c>
      <c r="E552">
        <v>5292</v>
      </c>
      <c r="F552">
        <v>1.568</v>
      </c>
      <c r="G552">
        <v>-130</v>
      </c>
      <c r="H552">
        <v>0.809402</v>
      </c>
      <c r="I552">
        <v>0.817032</v>
      </c>
      <c r="J552">
        <v>-0.00763</v>
      </c>
      <c r="K552" s="4">
        <f t="shared" si="24"/>
        <v>-0.00933867951316472</v>
      </c>
      <c r="L552" s="4">
        <f t="shared" si="25"/>
        <v>-0.0245653817082389</v>
      </c>
      <c r="M552" s="18">
        <f t="shared" si="26"/>
        <v>-0.020384</v>
      </c>
    </row>
    <row r="553" spans="1:13">
      <c r="A553" t="s">
        <v>13</v>
      </c>
      <c r="B553" t="s">
        <v>1116</v>
      </c>
      <c r="C553" t="s">
        <v>1117</v>
      </c>
      <c r="D553">
        <v>32753.4315</v>
      </c>
      <c r="E553">
        <v>32753.4315</v>
      </c>
      <c r="F553">
        <v>0.5928</v>
      </c>
      <c r="G553">
        <v>0</v>
      </c>
      <c r="H553">
        <v>1.941623</v>
      </c>
      <c r="I553">
        <v>1.976342</v>
      </c>
      <c r="J553">
        <v>-0.034719</v>
      </c>
      <c r="K553" s="4">
        <f t="shared" si="24"/>
        <v>-0.0175673036346948</v>
      </c>
      <c r="L553" s="4">
        <f t="shared" si="25"/>
        <v>0</v>
      </c>
      <c r="M553" s="18">
        <f t="shared" si="26"/>
        <v>0</v>
      </c>
    </row>
    <row r="554" spans="1:13">
      <c r="A554" t="s">
        <v>13</v>
      </c>
      <c r="B554" t="s">
        <v>1118</v>
      </c>
      <c r="C554" t="s">
        <v>1119</v>
      </c>
      <c r="D554">
        <v>8513.507</v>
      </c>
      <c r="E554">
        <v>8513.507</v>
      </c>
      <c r="F554">
        <v>1.2996</v>
      </c>
      <c r="G554">
        <v>0</v>
      </c>
      <c r="H554">
        <v>1.106415</v>
      </c>
      <c r="I554">
        <v>1.11246</v>
      </c>
      <c r="J554">
        <v>-0.006045</v>
      </c>
      <c r="K554" s="4">
        <f t="shared" si="24"/>
        <v>-0.00543390324146486</v>
      </c>
      <c r="L554" s="4">
        <f t="shared" si="25"/>
        <v>0</v>
      </c>
      <c r="M554" s="18">
        <f t="shared" si="26"/>
        <v>0</v>
      </c>
    </row>
    <row r="555" spans="1:13">
      <c r="A555" t="s">
        <v>13</v>
      </c>
      <c r="B555" t="s">
        <v>1120</v>
      </c>
      <c r="C555" t="s">
        <v>1121</v>
      </c>
      <c r="D555">
        <v>248207.7407</v>
      </c>
      <c r="E555">
        <v>248007.7407</v>
      </c>
      <c r="F555">
        <v>0.6847</v>
      </c>
      <c r="G555">
        <v>200</v>
      </c>
      <c r="H555">
        <v>16.994784</v>
      </c>
      <c r="I555">
        <v>17.214217</v>
      </c>
      <c r="J555">
        <v>-0.219433</v>
      </c>
      <c r="K555" s="4">
        <f t="shared" si="24"/>
        <v>-0.0127471961112144</v>
      </c>
      <c r="L555" s="4">
        <f t="shared" si="25"/>
        <v>0.000806426442317895</v>
      </c>
      <c r="M555" s="18">
        <f t="shared" si="26"/>
        <v>0.013694</v>
      </c>
    </row>
    <row r="556" spans="1:13">
      <c r="A556" t="s">
        <v>13</v>
      </c>
      <c r="B556" t="s">
        <v>1122</v>
      </c>
      <c r="C556" t="s">
        <v>1123</v>
      </c>
      <c r="D556">
        <v>9271.6463</v>
      </c>
      <c r="E556">
        <v>9271.6463</v>
      </c>
      <c r="F556">
        <v>0.7392</v>
      </c>
      <c r="G556">
        <v>0</v>
      </c>
      <c r="H556">
        <v>0.68536</v>
      </c>
      <c r="I556">
        <v>0.694724</v>
      </c>
      <c r="J556">
        <v>-0.009364</v>
      </c>
      <c r="K556" s="4">
        <f t="shared" si="24"/>
        <v>-0.0134787340008406</v>
      </c>
      <c r="L556" s="4">
        <f t="shared" si="25"/>
        <v>0</v>
      </c>
      <c r="M556" s="18">
        <f t="shared" si="26"/>
        <v>0</v>
      </c>
    </row>
    <row r="557" spans="1:13">
      <c r="A557" t="s">
        <v>13</v>
      </c>
      <c r="B557" t="s">
        <v>1124</v>
      </c>
      <c r="C557" t="s">
        <v>1125</v>
      </c>
      <c r="D557">
        <v>576943.9464</v>
      </c>
      <c r="E557">
        <v>582643.9464</v>
      </c>
      <c r="F557">
        <v>0.3651</v>
      </c>
      <c r="G557">
        <v>-5700</v>
      </c>
      <c r="H557">
        <v>21.064223</v>
      </c>
      <c r="I557">
        <v>21.295636</v>
      </c>
      <c r="J557">
        <v>-0.231413</v>
      </c>
      <c r="K557" s="4">
        <f t="shared" si="24"/>
        <v>-0.0108666864891943</v>
      </c>
      <c r="L557" s="4">
        <f t="shared" si="25"/>
        <v>-0.00978299016958601</v>
      </c>
      <c r="M557" s="18">
        <f t="shared" si="26"/>
        <v>-0.208107</v>
      </c>
    </row>
    <row r="558" spans="1:13">
      <c r="A558" t="s">
        <v>13</v>
      </c>
      <c r="B558" t="s">
        <v>1126</v>
      </c>
      <c r="C558" t="s">
        <v>1127</v>
      </c>
      <c r="D558">
        <v>38061.4066</v>
      </c>
      <c r="E558">
        <v>38361.4066</v>
      </c>
      <c r="F558">
        <v>9.3505</v>
      </c>
      <c r="G558">
        <v>-300</v>
      </c>
      <c r="H558">
        <v>35.589318</v>
      </c>
      <c r="I558">
        <v>35.8706</v>
      </c>
      <c r="J558">
        <v>-0.281282</v>
      </c>
      <c r="K558" s="4">
        <f t="shared" si="24"/>
        <v>-0.00784157499456379</v>
      </c>
      <c r="L558" s="4">
        <f t="shared" si="25"/>
        <v>-0.00782035974666268</v>
      </c>
      <c r="M558" s="18">
        <f t="shared" si="26"/>
        <v>-0.280515</v>
      </c>
    </row>
    <row r="559" spans="1:13">
      <c r="A559" t="s">
        <v>13</v>
      </c>
      <c r="B559" t="s">
        <v>1128</v>
      </c>
      <c r="C559" t="s">
        <v>1129</v>
      </c>
      <c r="D559">
        <v>20825.6243</v>
      </c>
      <c r="E559">
        <v>20885.6243</v>
      </c>
      <c r="F559">
        <v>9.0443</v>
      </c>
      <c r="G559">
        <v>-60</v>
      </c>
      <c r="H559">
        <v>18.835319</v>
      </c>
      <c r="I559">
        <v>18.890003</v>
      </c>
      <c r="J559">
        <v>-0.054684</v>
      </c>
      <c r="K559" s="4">
        <f t="shared" si="24"/>
        <v>-0.00289486454819515</v>
      </c>
      <c r="L559" s="4">
        <f t="shared" si="25"/>
        <v>-0.00287278939514391</v>
      </c>
      <c r="M559" s="18">
        <f t="shared" si="26"/>
        <v>-0.0542658</v>
      </c>
    </row>
    <row r="560" spans="1:13">
      <c r="A560" t="s">
        <v>13</v>
      </c>
      <c r="B560" t="s">
        <v>1130</v>
      </c>
      <c r="C560" t="s">
        <v>1131</v>
      </c>
      <c r="D560">
        <v>19416.1376</v>
      </c>
      <c r="E560">
        <v>19676.1376</v>
      </c>
      <c r="F560">
        <v>9.3519</v>
      </c>
      <c r="G560">
        <v>-260</v>
      </c>
      <c r="H560">
        <v>18.157778</v>
      </c>
      <c r="I560">
        <v>18.401321</v>
      </c>
      <c r="J560">
        <v>-0.243543</v>
      </c>
      <c r="K560" s="4">
        <f t="shared" si="24"/>
        <v>-0.0132350824160939</v>
      </c>
      <c r="L560" s="4">
        <f t="shared" si="25"/>
        <v>-0.0132139754907996</v>
      </c>
      <c r="M560" s="18">
        <f t="shared" si="26"/>
        <v>-0.2431494</v>
      </c>
    </row>
    <row r="561" spans="1:13">
      <c r="A561" t="s">
        <v>13</v>
      </c>
      <c r="B561" t="s">
        <v>1132</v>
      </c>
      <c r="C561" t="s">
        <v>1133</v>
      </c>
      <c r="D561">
        <v>50350.4143</v>
      </c>
      <c r="E561">
        <v>50650.4143</v>
      </c>
      <c r="F561">
        <v>0.557</v>
      </c>
      <c r="G561">
        <v>-300</v>
      </c>
      <c r="H561">
        <v>2.804518</v>
      </c>
      <c r="I561">
        <v>2.839462</v>
      </c>
      <c r="J561">
        <v>-0.034944</v>
      </c>
      <c r="K561" s="4">
        <f t="shared" si="24"/>
        <v>-0.0123065566646076</v>
      </c>
      <c r="L561" s="4">
        <f t="shared" si="25"/>
        <v>-0.00592295253940302</v>
      </c>
      <c r="M561" s="18">
        <f t="shared" si="26"/>
        <v>-0.01671</v>
      </c>
    </row>
    <row r="562" spans="1:13">
      <c r="A562" t="s">
        <v>13</v>
      </c>
      <c r="B562" t="s">
        <v>1134</v>
      </c>
      <c r="C562" t="s">
        <v>1135</v>
      </c>
      <c r="D562">
        <v>9374.7113</v>
      </c>
      <c r="E562">
        <v>9574.7113</v>
      </c>
      <c r="F562">
        <v>1.5163</v>
      </c>
      <c r="G562">
        <v>-200</v>
      </c>
      <c r="H562">
        <v>1.421487</v>
      </c>
      <c r="I562">
        <v>1.431611</v>
      </c>
      <c r="J562">
        <v>-0.010124</v>
      </c>
      <c r="K562" s="4">
        <f t="shared" si="24"/>
        <v>-0.00707175343022651</v>
      </c>
      <c r="L562" s="4">
        <f t="shared" si="25"/>
        <v>-0.0208883582735283</v>
      </c>
      <c r="M562" s="18">
        <f t="shared" si="26"/>
        <v>-0.030326</v>
      </c>
    </row>
    <row r="563" spans="1:13">
      <c r="A563" t="s">
        <v>13</v>
      </c>
      <c r="B563" t="s">
        <v>1136</v>
      </c>
      <c r="C563" t="s">
        <v>1137</v>
      </c>
      <c r="D563">
        <v>317215.2837</v>
      </c>
      <c r="E563">
        <v>316815.2837</v>
      </c>
      <c r="F563">
        <v>0.4184</v>
      </c>
      <c r="G563">
        <v>400</v>
      </c>
      <c r="H563">
        <v>13.272287</v>
      </c>
      <c r="I563">
        <v>13.315746</v>
      </c>
      <c r="J563">
        <v>-0.043459</v>
      </c>
      <c r="K563" s="4">
        <f t="shared" si="24"/>
        <v>-0.00326373002308695</v>
      </c>
      <c r="L563" s="4">
        <f t="shared" si="25"/>
        <v>0.00126256535142026</v>
      </c>
      <c r="M563" s="18">
        <f t="shared" si="26"/>
        <v>0.016736</v>
      </c>
    </row>
    <row r="564" spans="1:13">
      <c r="A564" t="s">
        <v>13</v>
      </c>
      <c r="B564" t="s">
        <v>1138</v>
      </c>
      <c r="C564" t="s">
        <v>1139</v>
      </c>
      <c r="D564">
        <v>29476.3462</v>
      </c>
      <c r="E564">
        <v>29476.3462</v>
      </c>
      <c r="F564">
        <v>0.5039</v>
      </c>
      <c r="G564">
        <v>0</v>
      </c>
      <c r="H564">
        <v>1.485313</v>
      </c>
      <c r="I564">
        <v>1.491208</v>
      </c>
      <c r="J564">
        <v>-0.005895</v>
      </c>
      <c r="K564" s="4">
        <f t="shared" si="24"/>
        <v>-0.0039531708520877</v>
      </c>
      <c r="L564" s="4">
        <f t="shared" si="25"/>
        <v>0</v>
      </c>
      <c r="M564" s="18">
        <f t="shared" si="26"/>
        <v>0</v>
      </c>
    </row>
    <row r="565" spans="1:13">
      <c r="A565" t="s">
        <v>13</v>
      </c>
      <c r="B565" t="s">
        <v>1140</v>
      </c>
      <c r="C565" t="s">
        <v>1141</v>
      </c>
      <c r="D565">
        <v>330673.5165</v>
      </c>
      <c r="E565">
        <v>339523.5165</v>
      </c>
      <c r="F565">
        <v>0.2998</v>
      </c>
      <c r="G565">
        <v>-8850</v>
      </c>
      <c r="H565">
        <v>9.913592</v>
      </c>
      <c r="I565">
        <v>10.229844</v>
      </c>
      <c r="J565">
        <v>-0.316252</v>
      </c>
      <c r="K565" s="4">
        <f t="shared" si="24"/>
        <v>-0.030914645423723</v>
      </c>
      <c r="L565" s="4">
        <f t="shared" si="25"/>
        <v>-0.0260659411496169</v>
      </c>
      <c r="M565" s="18">
        <f t="shared" si="26"/>
        <v>-0.265323</v>
      </c>
    </row>
    <row r="566" spans="1:13">
      <c r="A566" t="s">
        <v>13</v>
      </c>
      <c r="B566" t="s">
        <v>1142</v>
      </c>
      <c r="C566" t="s">
        <v>1143</v>
      </c>
      <c r="D566">
        <v>213257.4851</v>
      </c>
      <c r="E566">
        <v>213357.4851</v>
      </c>
      <c r="F566">
        <v>0.9082</v>
      </c>
      <c r="G566">
        <v>-100</v>
      </c>
      <c r="H566">
        <v>19.368045</v>
      </c>
      <c r="I566">
        <v>19.398463</v>
      </c>
      <c r="J566">
        <v>-0.030418</v>
      </c>
      <c r="K566" s="4">
        <f t="shared" si="24"/>
        <v>-0.00156806237690069</v>
      </c>
      <c r="L566" s="4">
        <f t="shared" si="25"/>
        <v>-0.000468696938160526</v>
      </c>
      <c r="M566" s="18">
        <f t="shared" si="26"/>
        <v>-0.009082</v>
      </c>
    </row>
    <row r="567" spans="1:13">
      <c r="A567" t="s">
        <v>13</v>
      </c>
      <c r="B567" t="s">
        <v>1144</v>
      </c>
      <c r="C567" t="s">
        <v>1145</v>
      </c>
      <c r="D567">
        <v>1082323.8465</v>
      </c>
      <c r="E567">
        <v>1080283.8465</v>
      </c>
      <c r="F567">
        <v>0.9798</v>
      </c>
      <c r="G567">
        <v>2040</v>
      </c>
      <c r="H567">
        <v>106.04609</v>
      </c>
      <c r="I567">
        <v>105.997451</v>
      </c>
      <c r="J567">
        <v>0.048639</v>
      </c>
      <c r="K567" s="4">
        <f t="shared" si="24"/>
        <v>0.000458869525079429</v>
      </c>
      <c r="L567" s="4">
        <f t="shared" si="25"/>
        <v>0.00188839257997736</v>
      </c>
      <c r="M567" s="18">
        <f t="shared" si="26"/>
        <v>0.1998792</v>
      </c>
    </row>
    <row r="568" spans="1:13">
      <c r="A568" t="s">
        <v>13</v>
      </c>
      <c r="B568" t="s">
        <v>1146</v>
      </c>
      <c r="C568" t="s">
        <v>1147</v>
      </c>
      <c r="D568">
        <v>971725.0631</v>
      </c>
      <c r="E568">
        <v>958025.0631</v>
      </c>
      <c r="F568">
        <v>1.0284</v>
      </c>
      <c r="G568">
        <v>13700</v>
      </c>
      <c r="H568">
        <v>99.932205</v>
      </c>
      <c r="I568">
        <v>98.647841</v>
      </c>
      <c r="J568">
        <v>1.284364</v>
      </c>
      <c r="K568" s="4">
        <f t="shared" si="24"/>
        <v>0.0130196868677542</v>
      </c>
      <c r="L568" s="4">
        <f t="shared" si="25"/>
        <v>0.0143002521830371</v>
      </c>
      <c r="M568" s="18">
        <f t="shared" si="26"/>
        <v>1.408908</v>
      </c>
    </row>
    <row r="569" spans="1:13">
      <c r="A569" t="s">
        <v>13</v>
      </c>
      <c r="B569" t="s">
        <v>1148</v>
      </c>
      <c r="C569" t="s">
        <v>1149</v>
      </c>
      <c r="D569">
        <v>67045.5141</v>
      </c>
      <c r="E569">
        <v>66895.5141</v>
      </c>
      <c r="F569">
        <v>0.5232</v>
      </c>
      <c r="G569">
        <v>150</v>
      </c>
      <c r="H569">
        <v>3.507821</v>
      </c>
      <c r="I569">
        <v>3.524725</v>
      </c>
      <c r="J569">
        <v>-0.016904</v>
      </c>
      <c r="K569" s="4">
        <f t="shared" si="24"/>
        <v>-0.00479583513607445</v>
      </c>
      <c r="L569" s="4">
        <f t="shared" si="25"/>
        <v>0.00224230282131878</v>
      </c>
      <c r="M569" s="18">
        <f t="shared" si="26"/>
        <v>0.007848</v>
      </c>
    </row>
    <row r="570" spans="1:13">
      <c r="A570" t="s">
        <v>13</v>
      </c>
      <c r="B570" t="s">
        <v>1150</v>
      </c>
      <c r="C570" t="s">
        <v>1151</v>
      </c>
      <c r="D570">
        <v>128642.5606</v>
      </c>
      <c r="E570">
        <v>126242.5606</v>
      </c>
      <c r="F570">
        <v>3.6062</v>
      </c>
      <c r="G570">
        <v>2400</v>
      </c>
      <c r="H570">
        <v>46.39108</v>
      </c>
      <c r="I570">
        <v>45.218823</v>
      </c>
      <c r="J570">
        <v>1.172257</v>
      </c>
      <c r="K570" s="4">
        <f t="shared" si="24"/>
        <v>0.0259240936014633</v>
      </c>
      <c r="L570" s="4">
        <f t="shared" si="25"/>
        <v>0.0190110212324068</v>
      </c>
      <c r="M570" s="18">
        <f t="shared" si="26"/>
        <v>0.865488</v>
      </c>
    </row>
    <row r="571" spans="1:13">
      <c r="A571" t="s">
        <v>13</v>
      </c>
      <c r="B571" t="s">
        <v>1152</v>
      </c>
      <c r="C571" t="s">
        <v>1153</v>
      </c>
      <c r="D571">
        <v>427182.5354</v>
      </c>
      <c r="E571">
        <v>430682.5354</v>
      </c>
      <c r="F571">
        <v>0.3476</v>
      </c>
      <c r="G571">
        <v>-3500</v>
      </c>
      <c r="H571">
        <v>14.848865</v>
      </c>
      <c r="I571">
        <v>14.987752</v>
      </c>
      <c r="J571">
        <v>-0.138887</v>
      </c>
      <c r="K571" s="4">
        <f t="shared" si="24"/>
        <v>-0.00926669990269388</v>
      </c>
      <c r="L571" s="4">
        <f t="shared" si="25"/>
        <v>-0.00812663554316022</v>
      </c>
      <c r="M571" s="18">
        <f t="shared" si="26"/>
        <v>-0.12166</v>
      </c>
    </row>
    <row r="572" spans="1:13">
      <c r="A572" t="s">
        <v>13</v>
      </c>
      <c r="B572" t="s">
        <v>1154</v>
      </c>
      <c r="C572" t="s">
        <v>1155</v>
      </c>
      <c r="D572">
        <v>16231.1239</v>
      </c>
      <c r="E572">
        <v>16281.1239</v>
      </c>
      <c r="F572">
        <v>0.8612</v>
      </c>
      <c r="G572">
        <v>-50</v>
      </c>
      <c r="H572">
        <v>1.397824</v>
      </c>
      <c r="I572">
        <v>1.404084</v>
      </c>
      <c r="J572">
        <v>-0.00626</v>
      </c>
      <c r="K572" s="4">
        <f t="shared" si="24"/>
        <v>-0.00445842271545007</v>
      </c>
      <c r="L572" s="4">
        <f t="shared" si="25"/>
        <v>-0.00307104106000938</v>
      </c>
      <c r="M572" s="18">
        <f t="shared" si="26"/>
        <v>-0.004306</v>
      </c>
    </row>
    <row r="573" spans="1:13">
      <c r="A573" t="s">
        <v>13</v>
      </c>
      <c r="B573" t="s">
        <v>1156</v>
      </c>
      <c r="C573" t="s">
        <v>1157</v>
      </c>
      <c r="D573">
        <v>17537.2396</v>
      </c>
      <c r="E573">
        <v>17437.2396</v>
      </c>
      <c r="F573">
        <v>0.4272</v>
      </c>
      <c r="G573">
        <v>100</v>
      </c>
      <c r="H573">
        <v>0.749191</v>
      </c>
      <c r="I573">
        <v>0.748581</v>
      </c>
      <c r="J573">
        <v>0.00061</v>
      </c>
      <c r="K573" s="4">
        <f t="shared" si="24"/>
        <v>0.000814875076978978</v>
      </c>
      <c r="L573" s="4">
        <f t="shared" si="25"/>
        <v>0.00573485266555608</v>
      </c>
      <c r="M573" s="18">
        <f t="shared" si="26"/>
        <v>0.004272</v>
      </c>
    </row>
    <row r="574" spans="1:13">
      <c r="A574" t="s">
        <v>13</v>
      </c>
      <c r="B574" t="s">
        <v>1158</v>
      </c>
      <c r="C574" t="s">
        <v>1159</v>
      </c>
      <c r="D574">
        <v>57070.6498</v>
      </c>
      <c r="E574">
        <v>57070.6498</v>
      </c>
      <c r="F574">
        <v>0.7948</v>
      </c>
      <c r="G574">
        <v>0</v>
      </c>
      <c r="H574">
        <v>4.535975</v>
      </c>
      <c r="I574">
        <v>4.591334</v>
      </c>
      <c r="J574">
        <v>-0.055359</v>
      </c>
      <c r="K574" s="4">
        <f t="shared" si="24"/>
        <v>-0.0120572800846116</v>
      </c>
      <c r="L574" s="4">
        <f t="shared" si="25"/>
        <v>0</v>
      </c>
      <c r="M574" s="18">
        <f t="shared" si="26"/>
        <v>0</v>
      </c>
    </row>
    <row r="575" spans="1:13">
      <c r="A575" t="s">
        <v>13</v>
      </c>
      <c r="B575" t="s">
        <v>1160</v>
      </c>
      <c r="C575" t="s">
        <v>1161</v>
      </c>
      <c r="D575">
        <v>989290.4148</v>
      </c>
      <c r="E575">
        <v>994590.4148</v>
      </c>
      <c r="F575">
        <v>0.6474</v>
      </c>
      <c r="G575">
        <v>-5300</v>
      </c>
      <c r="H575">
        <v>64.046661</v>
      </c>
      <c r="I575">
        <v>64.628485</v>
      </c>
      <c r="J575">
        <v>-0.581824</v>
      </c>
      <c r="K575" s="4">
        <f t="shared" si="24"/>
        <v>-0.00900259382530784</v>
      </c>
      <c r="L575" s="4">
        <f t="shared" si="25"/>
        <v>-0.00532882674227839</v>
      </c>
      <c r="M575" s="18">
        <f t="shared" si="26"/>
        <v>-0.343122</v>
      </c>
    </row>
    <row r="576" spans="1:13">
      <c r="A576" t="s">
        <v>13</v>
      </c>
      <c r="B576" t="s">
        <v>1162</v>
      </c>
      <c r="C576" t="s">
        <v>1163</v>
      </c>
      <c r="D576">
        <v>1150462.3921</v>
      </c>
      <c r="E576">
        <v>1156962.3921</v>
      </c>
      <c r="F576">
        <v>0.7014</v>
      </c>
      <c r="G576">
        <v>-6500</v>
      </c>
      <c r="H576">
        <v>80.693432</v>
      </c>
      <c r="I576">
        <v>81.461722</v>
      </c>
      <c r="J576">
        <v>-0.76829</v>
      </c>
      <c r="K576" s="4">
        <f t="shared" si="24"/>
        <v>-0.00943130075251785</v>
      </c>
      <c r="L576" s="4">
        <f t="shared" si="25"/>
        <v>-0.0056181601445159</v>
      </c>
      <c r="M576" s="18">
        <f t="shared" si="26"/>
        <v>-0.45591</v>
      </c>
    </row>
    <row r="577" spans="1:13">
      <c r="A577" t="s">
        <v>13</v>
      </c>
      <c r="B577" t="s">
        <v>1164</v>
      </c>
      <c r="C577" t="s">
        <v>1165</v>
      </c>
      <c r="D577">
        <v>16492.5236</v>
      </c>
      <c r="E577">
        <v>16642.5236</v>
      </c>
      <c r="F577">
        <v>0.7625</v>
      </c>
      <c r="G577">
        <v>-150</v>
      </c>
      <c r="H577">
        <v>1.257555</v>
      </c>
      <c r="I577">
        <v>1.302777</v>
      </c>
      <c r="J577">
        <v>-0.045222</v>
      </c>
      <c r="K577" s="4">
        <f t="shared" si="24"/>
        <v>-0.034712003666015</v>
      </c>
      <c r="L577" s="4">
        <f t="shared" si="25"/>
        <v>-0.00901305616895745</v>
      </c>
      <c r="M577" s="18">
        <f t="shared" si="26"/>
        <v>-0.0114375</v>
      </c>
    </row>
    <row r="578" spans="1:13">
      <c r="A578" t="s">
        <v>13</v>
      </c>
      <c r="B578" t="s">
        <v>1166</v>
      </c>
      <c r="C578" t="s">
        <v>1167</v>
      </c>
      <c r="D578">
        <v>35537.2474</v>
      </c>
      <c r="E578">
        <v>35537.2474</v>
      </c>
      <c r="F578">
        <v>0.5682</v>
      </c>
      <c r="G578">
        <v>0</v>
      </c>
      <c r="H578">
        <v>2.019226</v>
      </c>
      <c r="I578">
        <v>2.0274</v>
      </c>
      <c r="J578">
        <v>-0.008174</v>
      </c>
      <c r="K578" s="4">
        <f t="shared" ref="K578:K641" si="27">IFERROR(J578/I578,"")</f>
        <v>-0.00403176482193943</v>
      </c>
      <c r="L578" s="4">
        <f t="shared" ref="L578:L641" si="28">IFERROR((D578-E578)/E578,"")</f>
        <v>0</v>
      </c>
      <c r="M578" s="18">
        <f t="shared" ref="M578:M641" si="29">IFERROR(F578*G578/10000,"")</f>
        <v>0</v>
      </c>
    </row>
    <row r="579" spans="1:13">
      <c r="A579" t="s">
        <v>13</v>
      </c>
      <c r="B579" t="s">
        <v>1168</v>
      </c>
      <c r="C579" t="s">
        <v>1169</v>
      </c>
      <c r="D579">
        <v>227951.5725</v>
      </c>
      <c r="E579">
        <v>229451.5725</v>
      </c>
      <c r="F579">
        <v>0.8766</v>
      </c>
      <c r="G579">
        <v>-1500</v>
      </c>
      <c r="H579">
        <v>19.982235</v>
      </c>
      <c r="I579">
        <v>20.212389</v>
      </c>
      <c r="J579">
        <v>-0.230154</v>
      </c>
      <c r="K579" s="4">
        <f t="shared" si="27"/>
        <v>-0.0113867786732187</v>
      </c>
      <c r="L579" s="4">
        <f t="shared" si="28"/>
        <v>-0.00653732717390725</v>
      </c>
      <c r="M579" s="18">
        <f t="shared" si="29"/>
        <v>-0.13149</v>
      </c>
    </row>
    <row r="580" spans="1:13">
      <c r="A580" t="s">
        <v>13</v>
      </c>
      <c r="B580" t="s">
        <v>1170</v>
      </c>
      <c r="C580" t="s">
        <v>1171</v>
      </c>
      <c r="D580">
        <v>77209.8318</v>
      </c>
      <c r="E580">
        <v>77609.8318</v>
      </c>
      <c r="F580">
        <v>0.5719</v>
      </c>
      <c r="G580">
        <v>-400</v>
      </c>
      <c r="H580">
        <v>4.41563</v>
      </c>
      <c r="I580">
        <v>4.467222</v>
      </c>
      <c r="J580">
        <v>-0.051592</v>
      </c>
      <c r="K580" s="4">
        <f t="shared" si="27"/>
        <v>-0.0115490118915066</v>
      </c>
      <c r="L580" s="4">
        <f t="shared" si="28"/>
        <v>-0.00515398617317967</v>
      </c>
      <c r="M580" s="18">
        <f t="shared" si="29"/>
        <v>-0.022876</v>
      </c>
    </row>
    <row r="581" spans="1:13">
      <c r="A581" t="s">
        <v>13</v>
      </c>
      <c r="B581" t="s">
        <v>1172</v>
      </c>
      <c r="C581" t="s">
        <v>1173</v>
      </c>
      <c r="D581">
        <v>1272284.0054</v>
      </c>
      <c r="E581">
        <v>1282004.0054</v>
      </c>
      <c r="F581">
        <v>0.3226</v>
      </c>
      <c r="G581">
        <v>-9720</v>
      </c>
      <c r="H581">
        <v>41.043882</v>
      </c>
      <c r="I581">
        <v>41.54975</v>
      </c>
      <c r="J581">
        <v>-0.505868</v>
      </c>
      <c r="K581" s="4">
        <f t="shared" si="27"/>
        <v>-0.0121749950360712</v>
      </c>
      <c r="L581" s="4">
        <f t="shared" si="28"/>
        <v>-0.00758187958778432</v>
      </c>
      <c r="M581" s="18">
        <f t="shared" si="29"/>
        <v>-0.3135672</v>
      </c>
    </row>
    <row r="582" spans="1:13">
      <c r="A582" t="s">
        <v>13</v>
      </c>
      <c r="B582" t="s">
        <v>1174</v>
      </c>
      <c r="C582" t="s">
        <v>1175</v>
      </c>
      <c r="D582">
        <v>9811.7535</v>
      </c>
      <c r="E582">
        <v>9811.7535</v>
      </c>
      <c r="F582">
        <v>1.1952</v>
      </c>
      <c r="G582">
        <v>0</v>
      </c>
      <c r="H582">
        <v>1.172701</v>
      </c>
      <c r="I582">
        <v>1.174761</v>
      </c>
      <c r="J582">
        <v>-0.00206</v>
      </c>
      <c r="K582" s="4">
        <f t="shared" si="27"/>
        <v>-0.00175354816852109</v>
      </c>
      <c r="L582" s="4">
        <f t="shared" si="28"/>
        <v>0</v>
      </c>
      <c r="M582" s="18">
        <f t="shared" si="29"/>
        <v>0</v>
      </c>
    </row>
    <row r="583" spans="1:13">
      <c r="A583" t="s">
        <v>13</v>
      </c>
      <c r="B583" t="s">
        <v>1176</v>
      </c>
      <c r="C583" t="s">
        <v>1177</v>
      </c>
      <c r="D583">
        <v>35400.0623</v>
      </c>
      <c r="E583">
        <v>35400.0623</v>
      </c>
      <c r="F583">
        <v>0.5281</v>
      </c>
      <c r="G583">
        <v>0</v>
      </c>
      <c r="H583">
        <v>1.869477</v>
      </c>
      <c r="I583">
        <v>1.881867</v>
      </c>
      <c r="J583">
        <v>-0.01239</v>
      </c>
      <c r="K583" s="4">
        <f t="shared" si="27"/>
        <v>-0.00658388717162265</v>
      </c>
      <c r="L583" s="4">
        <f t="shared" si="28"/>
        <v>0</v>
      </c>
      <c r="M583" s="18">
        <f t="shared" si="29"/>
        <v>0</v>
      </c>
    </row>
    <row r="584" spans="1:13">
      <c r="A584" t="s">
        <v>13</v>
      </c>
      <c r="B584" t="s">
        <v>1178</v>
      </c>
      <c r="C584" t="s">
        <v>1179</v>
      </c>
      <c r="D584">
        <v>29672.9352</v>
      </c>
      <c r="E584">
        <v>29772.9352</v>
      </c>
      <c r="F584">
        <v>0.6844</v>
      </c>
      <c r="G584">
        <v>-100</v>
      </c>
      <c r="H584">
        <v>2.030816</v>
      </c>
      <c r="I584">
        <v>2.047485</v>
      </c>
      <c r="J584">
        <v>-0.016669</v>
      </c>
      <c r="K584" s="4">
        <f t="shared" si="27"/>
        <v>-0.00814120738369268</v>
      </c>
      <c r="L584" s="4">
        <f t="shared" si="28"/>
        <v>-0.00335875516902344</v>
      </c>
      <c r="M584" s="18">
        <f t="shared" si="29"/>
        <v>-0.006844</v>
      </c>
    </row>
    <row r="585" spans="1:13">
      <c r="A585" t="s">
        <v>13</v>
      </c>
      <c r="B585" t="s">
        <v>1180</v>
      </c>
      <c r="C585" t="s">
        <v>1181</v>
      </c>
      <c r="D585">
        <v>67652.6827</v>
      </c>
      <c r="E585">
        <v>67552.6827</v>
      </c>
      <c r="F585">
        <v>0.6737</v>
      </c>
      <c r="G585">
        <v>100</v>
      </c>
      <c r="H585">
        <v>4.557761</v>
      </c>
      <c r="I585">
        <v>4.570615</v>
      </c>
      <c r="J585">
        <v>-0.012854</v>
      </c>
      <c r="K585" s="4">
        <f t="shared" si="27"/>
        <v>-0.0028123130038299</v>
      </c>
      <c r="L585" s="4">
        <f t="shared" si="28"/>
        <v>0.00148032610997994</v>
      </c>
      <c r="M585" s="18">
        <f t="shared" si="29"/>
        <v>0.006737</v>
      </c>
    </row>
    <row r="586" spans="1:13">
      <c r="A586" t="s">
        <v>13</v>
      </c>
      <c r="B586" t="s">
        <v>1182</v>
      </c>
      <c r="C586" t="s">
        <v>1183</v>
      </c>
      <c r="D586">
        <v>1107845.5659</v>
      </c>
      <c r="E586">
        <v>1108145.5659</v>
      </c>
      <c r="F586">
        <v>0.5026</v>
      </c>
      <c r="G586">
        <v>-300</v>
      </c>
      <c r="H586">
        <v>55.680318</v>
      </c>
      <c r="I586">
        <v>56.581913</v>
      </c>
      <c r="J586">
        <v>-0.901595</v>
      </c>
      <c r="K586" s="4">
        <f t="shared" si="27"/>
        <v>-0.0159343322308668</v>
      </c>
      <c r="L586" s="4">
        <f t="shared" si="28"/>
        <v>-0.000270722555981488</v>
      </c>
      <c r="M586" s="18">
        <f t="shared" si="29"/>
        <v>-0.015078</v>
      </c>
    </row>
    <row r="587" spans="1:13">
      <c r="A587" t="s">
        <v>13</v>
      </c>
      <c r="B587" t="s">
        <v>1184</v>
      </c>
      <c r="C587" t="s">
        <v>1185</v>
      </c>
      <c r="D587">
        <v>76797.9377</v>
      </c>
      <c r="E587">
        <v>76597.9377</v>
      </c>
      <c r="F587">
        <v>1.735</v>
      </c>
      <c r="G587">
        <v>200</v>
      </c>
      <c r="H587">
        <v>13.324442</v>
      </c>
      <c r="I587">
        <v>13.177143</v>
      </c>
      <c r="J587">
        <v>0.147299</v>
      </c>
      <c r="K587" s="4">
        <f t="shared" si="27"/>
        <v>0.0111783715180142</v>
      </c>
      <c r="L587" s="4">
        <f t="shared" si="28"/>
        <v>0.00261103635431166</v>
      </c>
      <c r="M587" s="18">
        <f t="shared" si="29"/>
        <v>0.0347</v>
      </c>
    </row>
    <row r="588" spans="1:13">
      <c r="A588" t="s">
        <v>13</v>
      </c>
      <c r="B588" t="s">
        <v>1186</v>
      </c>
      <c r="C588" t="s">
        <v>1187</v>
      </c>
      <c r="D588">
        <v>169064.3594</v>
      </c>
      <c r="E588">
        <v>169414.3594</v>
      </c>
      <c r="F588">
        <v>0.5107</v>
      </c>
      <c r="G588">
        <v>-350</v>
      </c>
      <c r="H588">
        <v>8.634117</v>
      </c>
      <c r="I588">
        <v>8.780746</v>
      </c>
      <c r="J588">
        <v>-0.146629</v>
      </c>
      <c r="K588" s="4">
        <f t="shared" si="27"/>
        <v>-0.0166989228477854</v>
      </c>
      <c r="L588" s="4">
        <f t="shared" si="28"/>
        <v>-0.00206594058047715</v>
      </c>
      <c r="M588" s="18">
        <f t="shared" si="29"/>
        <v>-0.0178745</v>
      </c>
    </row>
    <row r="589" spans="1:13">
      <c r="A589" t="s">
        <v>13</v>
      </c>
      <c r="B589" t="s">
        <v>1188</v>
      </c>
      <c r="C589" t="s">
        <v>1189</v>
      </c>
      <c r="D589">
        <v>679608.2127</v>
      </c>
      <c r="E589">
        <v>682608.2127</v>
      </c>
      <c r="F589">
        <v>1.0452</v>
      </c>
      <c r="G589">
        <v>-3000</v>
      </c>
      <c r="H589">
        <v>71.03265</v>
      </c>
      <c r="I589">
        <v>72.67047</v>
      </c>
      <c r="J589">
        <v>-1.63782</v>
      </c>
      <c r="K589" s="4">
        <f t="shared" si="27"/>
        <v>-0.0225376277324201</v>
      </c>
      <c r="L589" s="4">
        <f t="shared" si="28"/>
        <v>-0.00439490756803782</v>
      </c>
      <c r="M589" s="18">
        <f t="shared" si="29"/>
        <v>-0.31356</v>
      </c>
    </row>
    <row r="590" spans="1:13">
      <c r="A590" t="s">
        <v>13</v>
      </c>
      <c r="B590" t="s">
        <v>1190</v>
      </c>
      <c r="C590" t="s">
        <v>1191</v>
      </c>
      <c r="D590">
        <v>1941310.7019</v>
      </c>
      <c r="E590">
        <v>2044560.7019</v>
      </c>
      <c r="F590">
        <v>0.8579</v>
      </c>
      <c r="G590">
        <v>-103250</v>
      </c>
      <c r="H590">
        <v>166.545045</v>
      </c>
      <c r="I590">
        <v>175.382417</v>
      </c>
      <c r="J590">
        <v>-8.837372</v>
      </c>
      <c r="K590" s="4">
        <f t="shared" si="27"/>
        <v>-0.0503891561717957</v>
      </c>
      <c r="L590" s="4">
        <f t="shared" si="28"/>
        <v>-0.0504998457145588</v>
      </c>
      <c r="M590" s="18">
        <f t="shared" si="29"/>
        <v>-8.8578175</v>
      </c>
    </row>
    <row r="591" spans="1:13">
      <c r="A591" t="s">
        <v>13</v>
      </c>
      <c r="B591" t="s">
        <v>1192</v>
      </c>
      <c r="C591" t="s">
        <v>1193</v>
      </c>
      <c r="D591">
        <v>120773.2506</v>
      </c>
      <c r="E591">
        <v>121173.2506</v>
      </c>
      <c r="F591">
        <v>1.021</v>
      </c>
      <c r="G591">
        <v>-400</v>
      </c>
      <c r="H591">
        <v>12.330949</v>
      </c>
      <c r="I591">
        <v>12.403294</v>
      </c>
      <c r="J591">
        <v>-0.072345</v>
      </c>
      <c r="K591" s="4">
        <f t="shared" si="27"/>
        <v>-0.00583272475843917</v>
      </c>
      <c r="L591" s="4">
        <f t="shared" si="28"/>
        <v>-0.00330105859188695</v>
      </c>
      <c r="M591" s="18">
        <f t="shared" si="29"/>
        <v>-0.04084</v>
      </c>
    </row>
    <row r="592" spans="1:13">
      <c r="A592" t="s">
        <v>13</v>
      </c>
      <c r="B592" t="s">
        <v>1194</v>
      </c>
      <c r="C592" t="s">
        <v>1195</v>
      </c>
      <c r="D592">
        <v>5929.9732</v>
      </c>
      <c r="E592">
        <v>6029.9732</v>
      </c>
      <c r="F592">
        <v>0.9067</v>
      </c>
      <c r="G592">
        <v>-100</v>
      </c>
      <c r="H592">
        <v>0.537671</v>
      </c>
      <c r="I592">
        <v>0.549331</v>
      </c>
      <c r="J592">
        <v>-0.01166</v>
      </c>
      <c r="K592" s="4">
        <f t="shared" si="27"/>
        <v>-0.0212258183135487</v>
      </c>
      <c r="L592" s="4">
        <f t="shared" si="28"/>
        <v>-0.0165838216329054</v>
      </c>
      <c r="M592" s="18">
        <f t="shared" si="29"/>
        <v>-0.009067</v>
      </c>
    </row>
    <row r="593" spans="1:13">
      <c r="A593" t="s">
        <v>13</v>
      </c>
      <c r="B593" t="s">
        <v>1196</v>
      </c>
      <c r="C593" t="s">
        <v>1197</v>
      </c>
      <c r="D593">
        <v>52992</v>
      </c>
      <c r="E593">
        <v>53392</v>
      </c>
      <c r="F593">
        <v>0.5061</v>
      </c>
      <c r="G593">
        <v>-400</v>
      </c>
      <c r="H593">
        <v>2.681925</v>
      </c>
      <c r="I593">
        <v>2.714983</v>
      </c>
      <c r="J593">
        <v>-0.033058</v>
      </c>
      <c r="K593" s="4">
        <f t="shared" si="27"/>
        <v>-0.0121761351728538</v>
      </c>
      <c r="L593" s="4">
        <f t="shared" si="28"/>
        <v>-0.00749175906502847</v>
      </c>
      <c r="M593" s="18">
        <f t="shared" si="29"/>
        <v>-0.020244</v>
      </c>
    </row>
    <row r="594" spans="1:13">
      <c r="A594" t="s">
        <v>13</v>
      </c>
      <c r="B594" t="s">
        <v>1198</v>
      </c>
      <c r="C594" t="s">
        <v>1199</v>
      </c>
      <c r="D594">
        <v>195916.2899</v>
      </c>
      <c r="E594">
        <v>191716.2899</v>
      </c>
      <c r="F594">
        <v>0.7164</v>
      </c>
      <c r="G594">
        <v>4200</v>
      </c>
      <c r="H594">
        <v>14.035443</v>
      </c>
      <c r="I594">
        <v>13.753727</v>
      </c>
      <c r="J594">
        <v>0.281716</v>
      </c>
      <c r="K594" s="4">
        <f t="shared" si="27"/>
        <v>0.0204828843847199</v>
      </c>
      <c r="L594" s="4">
        <f t="shared" si="28"/>
        <v>0.0219073715759403</v>
      </c>
      <c r="M594" s="18">
        <f t="shared" si="29"/>
        <v>0.300888</v>
      </c>
    </row>
    <row r="595" spans="1:13">
      <c r="A595" t="s">
        <v>13</v>
      </c>
      <c r="B595" t="s">
        <v>1200</v>
      </c>
      <c r="C595" t="s">
        <v>1201</v>
      </c>
      <c r="D595">
        <v>146757.7018</v>
      </c>
      <c r="E595">
        <v>147777.7018</v>
      </c>
      <c r="F595">
        <v>1.0493</v>
      </c>
      <c r="G595">
        <v>-1020</v>
      </c>
      <c r="H595">
        <v>15.399286</v>
      </c>
      <c r="I595">
        <v>15.544736</v>
      </c>
      <c r="J595">
        <v>-0.14545</v>
      </c>
      <c r="K595" s="4">
        <f t="shared" si="27"/>
        <v>-0.00935686524364261</v>
      </c>
      <c r="L595" s="4">
        <f t="shared" si="28"/>
        <v>-0.00690225918779311</v>
      </c>
      <c r="M595" s="18">
        <f t="shared" si="29"/>
        <v>-0.1070286</v>
      </c>
    </row>
    <row r="596" spans="1:13">
      <c r="A596" t="s">
        <v>13</v>
      </c>
      <c r="B596" t="s">
        <v>1202</v>
      </c>
      <c r="C596" t="s">
        <v>1203</v>
      </c>
      <c r="D596">
        <v>20779.2292</v>
      </c>
      <c r="E596">
        <v>20979.2292</v>
      </c>
      <c r="F596">
        <v>0.4977</v>
      </c>
      <c r="G596">
        <v>-200</v>
      </c>
      <c r="H596">
        <v>1.034182</v>
      </c>
      <c r="I596">
        <v>1.048961</v>
      </c>
      <c r="J596">
        <v>-0.014779</v>
      </c>
      <c r="K596" s="4">
        <f t="shared" si="27"/>
        <v>-0.0140891796739822</v>
      </c>
      <c r="L596" s="4">
        <f t="shared" si="28"/>
        <v>-0.00953323871403245</v>
      </c>
      <c r="M596" s="18">
        <f t="shared" si="29"/>
        <v>-0.009954</v>
      </c>
    </row>
    <row r="597" spans="1:13">
      <c r="A597" t="s">
        <v>13</v>
      </c>
      <c r="B597" t="s">
        <v>1204</v>
      </c>
      <c r="C597" t="s">
        <v>1205</v>
      </c>
      <c r="D597">
        <v>68755.1518</v>
      </c>
      <c r="E597">
        <v>69055.1518</v>
      </c>
      <c r="F597">
        <v>2.0575</v>
      </c>
      <c r="G597">
        <v>-300</v>
      </c>
      <c r="H597">
        <v>14.146372</v>
      </c>
      <c r="I597">
        <v>14.239863</v>
      </c>
      <c r="J597">
        <v>-0.093491</v>
      </c>
      <c r="K597" s="4">
        <f t="shared" si="27"/>
        <v>-0.00656544237820266</v>
      </c>
      <c r="L597" s="4">
        <f t="shared" si="28"/>
        <v>-0.00434435363879687</v>
      </c>
      <c r="M597" s="18">
        <f t="shared" si="29"/>
        <v>-0.061725</v>
      </c>
    </row>
    <row r="598" spans="1:13">
      <c r="A598" t="s">
        <v>13</v>
      </c>
      <c r="B598" t="s">
        <v>1206</v>
      </c>
      <c r="C598" t="s">
        <v>1207</v>
      </c>
      <c r="D598">
        <v>8524.9583</v>
      </c>
      <c r="E598">
        <v>8524.9583</v>
      </c>
      <c r="F598">
        <v>1.9577</v>
      </c>
      <c r="G598">
        <v>0</v>
      </c>
      <c r="H598">
        <v>1.668931</v>
      </c>
      <c r="I598">
        <v>1.673194</v>
      </c>
      <c r="J598">
        <v>-0.004263</v>
      </c>
      <c r="K598" s="4">
        <f t="shared" si="27"/>
        <v>-0.00254782171105084</v>
      </c>
      <c r="L598" s="4">
        <f t="shared" si="28"/>
        <v>0</v>
      </c>
      <c r="M598" s="18">
        <f t="shared" si="29"/>
        <v>0</v>
      </c>
    </row>
    <row r="599" spans="1:13">
      <c r="A599" t="s">
        <v>13</v>
      </c>
      <c r="B599" t="s">
        <v>1208</v>
      </c>
      <c r="C599" t="s">
        <v>1209</v>
      </c>
      <c r="D599">
        <v>932003.7843</v>
      </c>
      <c r="E599">
        <v>942003.7843</v>
      </c>
      <c r="F599">
        <v>0.4266</v>
      </c>
      <c r="G599">
        <v>-10000</v>
      </c>
      <c r="H599">
        <v>39.759281</v>
      </c>
      <c r="I599">
        <v>40.430802</v>
      </c>
      <c r="J599">
        <v>-0.671521</v>
      </c>
      <c r="K599" s="4">
        <f t="shared" si="27"/>
        <v>-0.0166091436919802</v>
      </c>
      <c r="L599" s="4">
        <f t="shared" si="28"/>
        <v>-0.0106156686062901</v>
      </c>
      <c r="M599" s="18">
        <f t="shared" si="29"/>
        <v>-0.4266</v>
      </c>
    </row>
    <row r="600" spans="1:13">
      <c r="A600" t="s">
        <v>13</v>
      </c>
      <c r="B600" t="s">
        <v>1210</v>
      </c>
      <c r="C600" t="s">
        <v>1211</v>
      </c>
      <c r="D600">
        <v>24846.7316</v>
      </c>
      <c r="E600">
        <v>24846.7316</v>
      </c>
      <c r="F600">
        <v>0.8087</v>
      </c>
      <c r="G600">
        <v>0</v>
      </c>
      <c r="H600">
        <v>2.009355</v>
      </c>
      <c r="I600">
        <v>2.018797</v>
      </c>
      <c r="J600">
        <v>-0.009442</v>
      </c>
      <c r="K600" s="4">
        <f t="shared" si="27"/>
        <v>-0.00467704281312088</v>
      </c>
      <c r="L600" s="4">
        <f t="shared" si="28"/>
        <v>0</v>
      </c>
      <c r="M600" s="18">
        <f t="shared" si="29"/>
        <v>0</v>
      </c>
    </row>
    <row r="601" spans="1:13">
      <c r="A601" t="s">
        <v>13</v>
      </c>
      <c r="B601" t="s">
        <v>1212</v>
      </c>
      <c r="C601" t="s">
        <v>1213</v>
      </c>
      <c r="D601">
        <v>6664.2555</v>
      </c>
      <c r="E601">
        <v>6664.2555</v>
      </c>
      <c r="F601">
        <v>1.039</v>
      </c>
      <c r="G601">
        <v>0</v>
      </c>
      <c r="H601">
        <v>0.692416</v>
      </c>
      <c r="I601">
        <v>0.689617</v>
      </c>
      <c r="J601">
        <v>0.002799</v>
      </c>
      <c r="K601" s="4">
        <f t="shared" si="27"/>
        <v>0.00405877465317705</v>
      </c>
      <c r="L601" s="4">
        <f t="shared" si="28"/>
        <v>0</v>
      </c>
      <c r="M601" s="18">
        <f t="shared" si="29"/>
        <v>0</v>
      </c>
    </row>
    <row r="602" spans="1:13">
      <c r="A602" t="s">
        <v>13</v>
      </c>
      <c r="B602" t="s">
        <v>1214</v>
      </c>
      <c r="C602" t="s">
        <v>1215</v>
      </c>
      <c r="D602">
        <v>77011.595</v>
      </c>
      <c r="E602">
        <v>76951.595</v>
      </c>
      <c r="F602">
        <v>1.2807</v>
      </c>
      <c r="G602">
        <v>60</v>
      </c>
      <c r="H602">
        <v>9.862875</v>
      </c>
      <c r="I602">
        <v>9.947533</v>
      </c>
      <c r="J602">
        <v>-0.084658</v>
      </c>
      <c r="K602" s="4">
        <f t="shared" si="27"/>
        <v>-0.00851045178739291</v>
      </c>
      <c r="L602" s="4">
        <f t="shared" si="28"/>
        <v>0.000779710933866933</v>
      </c>
      <c r="M602" s="18">
        <f t="shared" si="29"/>
        <v>0.0076842</v>
      </c>
    </row>
    <row r="603" spans="1:13">
      <c r="A603" t="s">
        <v>13</v>
      </c>
      <c r="B603" t="s">
        <v>1216</v>
      </c>
      <c r="C603" t="s">
        <v>1217</v>
      </c>
      <c r="D603">
        <v>8544.6068</v>
      </c>
      <c r="E603">
        <v>8144.6068</v>
      </c>
      <c r="F603">
        <v>1.1745</v>
      </c>
      <c r="G603">
        <v>400</v>
      </c>
      <c r="H603">
        <v>1.003564</v>
      </c>
      <c r="I603">
        <v>0.944286</v>
      </c>
      <c r="J603">
        <v>0.059278</v>
      </c>
      <c r="K603" s="4">
        <f t="shared" si="27"/>
        <v>0.0627754726851822</v>
      </c>
      <c r="L603" s="4">
        <f t="shared" si="28"/>
        <v>0.0491122542588551</v>
      </c>
      <c r="M603" s="18">
        <f t="shared" si="29"/>
        <v>0.04698</v>
      </c>
    </row>
    <row r="604" spans="1:13">
      <c r="A604" t="s">
        <v>13</v>
      </c>
      <c r="B604" t="s">
        <v>1218</v>
      </c>
      <c r="C604" t="s">
        <v>1219</v>
      </c>
      <c r="D604">
        <v>3140.0796</v>
      </c>
      <c r="E604">
        <v>3140.0796</v>
      </c>
      <c r="F604">
        <v>1.0106</v>
      </c>
      <c r="G604">
        <v>0</v>
      </c>
      <c r="H604">
        <v>0.317336</v>
      </c>
      <c r="I604">
        <v>0.313286</v>
      </c>
      <c r="J604">
        <v>0.00405</v>
      </c>
      <c r="K604" s="4">
        <f t="shared" si="27"/>
        <v>0.0129274847902555</v>
      </c>
      <c r="L604" s="4">
        <f t="shared" si="28"/>
        <v>0</v>
      </c>
      <c r="M604" s="18">
        <f t="shared" si="29"/>
        <v>0</v>
      </c>
    </row>
    <row r="605" spans="1:13">
      <c r="A605" t="s">
        <v>13</v>
      </c>
      <c r="B605" t="s">
        <v>1220</v>
      </c>
      <c r="C605" t="s">
        <v>1221</v>
      </c>
      <c r="D605">
        <v>24959.0688</v>
      </c>
      <c r="E605">
        <v>25159.0688</v>
      </c>
      <c r="F605">
        <v>1.7459</v>
      </c>
      <c r="G605">
        <v>-200</v>
      </c>
      <c r="H605">
        <v>4.357604</v>
      </c>
      <c r="I605">
        <v>4.35277</v>
      </c>
      <c r="J605">
        <v>0.004834</v>
      </c>
      <c r="K605" s="4">
        <f t="shared" si="27"/>
        <v>0.00111055718542445</v>
      </c>
      <c r="L605" s="4">
        <f t="shared" si="28"/>
        <v>-0.00794941981318482</v>
      </c>
      <c r="M605" s="18">
        <f t="shared" si="29"/>
        <v>-0.034918</v>
      </c>
    </row>
    <row r="606" spans="1:13">
      <c r="A606" t="s">
        <v>13</v>
      </c>
      <c r="B606" t="s">
        <v>1222</v>
      </c>
      <c r="C606" t="s">
        <v>1223</v>
      </c>
      <c r="D606">
        <v>33302.4837</v>
      </c>
      <c r="E606">
        <v>33302.4837</v>
      </c>
      <c r="F606">
        <v>0.3738</v>
      </c>
      <c r="G606">
        <v>0</v>
      </c>
      <c r="H606">
        <v>1.244847</v>
      </c>
      <c r="I606">
        <v>1.250508</v>
      </c>
      <c r="J606">
        <v>-0.005661</v>
      </c>
      <c r="K606" s="4">
        <f t="shared" si="27"/>
        <v>-0.0045269602433571</v>
      </c>
      <c r="L606" s="4">
        <f t="shared" si="28"/>
        <v>0</v>
      </c>
      <c r="M606" s="18">
        <f t="shared" si="29"/>
        <v>0</v>
      </c>
    </row>
    <row r="607" spans="1:13">
      <c r="A607" t="s">
        <v>13</v>
      </c>
      <c r="B607" t="s">
        <v>1224</v>
      </c>
      <c r="C607" t="s">
        <v>1225</v>
      </c>
      <c r="D607">
        <v>715426.6022</v>
      </c>
      <c r="E607">
        <v>724326.6022</v>
      </c>
      <c r="F607">
        <v>0.6159</v>
      </c>
      <c r="G607">
        <v>-8900</v>
      </c>
      <c r="H607">
        <v>44.063124</v>
      </c>
      <c r="I607">
        <v>45.234196</v>
      </c>
      <c r="J607">
        <v>-1.171072</v>
      </c>
      <c r="K607" s="4">
        <f t="shared" si="27"/>
        <v>-0.0258890862125636</v>
      </c>
      <c r="L607" s="4">
        <f t="shared" si="28"/>
        <v>-0.0122872747914656</v>
      </c>
      <c r="M607" s="18">
        <f t="shared" si="29"/>
        <v>-0.548151</v>
      </c>
    </row>
    <row r="608" spans="1:13">
      <c r="A608" t="s">
        <v>13</v>
      </c>
      <c r="B608" t="s">
        <v>1226</v>
      </c>
      <c r="C608" t="s">
        <v>1227</v>
      </c>
      <c r="D608">
        <v>7224.1864</v>
      </c>
      <c r="E608">
        <v>7224.1864</v>
      </c>
      <c r="F608">
        <v>1.5953</v>
      </c>
      <c r="G608">
        <v>0</v>
      </c>
      <c r="H608">
        <v>1.152474</v>
      </c>
      <c r="I608">
        <v>1.122639</v>
      </c>
      <c r="J608">
        <v>0.029835</v>
      </c>
      <c r="K608" s="4">
        <f t="shared" si="27"/>
        <v>0.0265757736903849</v>
      </c>
      <c r="L608" s="4">
        <f t="shared" si="28"/>
        <v>0</v>
      </c>
      <c r="M608" s="18">
        <f t="shared" si="29"/>
        <v>0</v>
      </c>
    </row>
    <row r="609" spans="1:13">
      <c r="A609" t="s">
        <v>13</v>
      </c>
      <c r="B609" t="s">
        <v>1228</v>
      </c>
      <c r="C609" t="s">
        <v>1229</v>
      </c>
      <c r="D609">
        <v>3605.596</v>
      </c>
      <c r="E609">
        <v>3605.596</v>
      </c>
      <c r="F609">
        <v>1.4802</v>
      </c>
      <c r="G609">
        <v>0</v>
      </c>
      <c r="H609">
        <v>0.5337</v>
      </c>
      <c r="I609">
        <v>0.519711</v>
      </c>
      <c r="J609">
        <v>0.013989</v>
      </c>
      <c r="K609" s="4">
        <f t="shared" si="27"/>
        <v>0.0269168826520893</v>
      </c>
      <c r="L609" s="4">
        <f t="shared" si="28"/>
        <v>0</v>
      </c>
      <c r="M609" s="18">
        <f t="shared" si="29"/>
        <v>0</v>
      </c>
    </row>
    <row r="610" spans="1:13">
      <c r="A610" t="s">
        <v>13</v>
      </c>
      <c r="B610" t="s">
        <v>1230</v>
      </c>
      <c r="C610" t="s">
        <v>1231</v>
      </c>
      <c r="D610">
        <v>96709.8825</v>
      </c>
      <c r="E610">
        <v>91909.8825</v>
      </c>
      <c r="F610">
        <v>0.473</v>
      </c>
      <c r="G610">
        <v>4800</v>
      </c>
      <c r="H610">
        <v>4.574377</v>
      </c>
      <c r="I610">
        <v>4.372153</v>
      </c>
      <c r="J610">
        <v>0.202224</v>
      </c>
      <c r="K610" s="4">
        <f t="shared" si="27"/>
        <v>0.0462527272032795</v>
      </c>
      <c r="L610" s="4">
        <f t="shared" si="28"/>
        <v>0.052225069485863</v>
      </c>
      <c r="M610" s="18">
        <f t="shared" si="29"/>
        <v>0.22704</v>
      </c>
    </row>
    <row r="611" spans="1:13">
      <c r="A611" t="s">
        <v>13</v>
      </c>
      <c r="B611" t="s">
        <v>1232</v>
      </c>
      <c r="C611" t="s">
        <v>1233</v>
      </c>
      <c r="D611">
        <v>83297.7729</v>
      </c>
      <c r="E611">
        <v>83497.7729</v>
      </c>
      <c r="F611">
        <v>0.7267</v>
      </c>
      <c r="G611">
        <v>-200</v>
      </c>
      <c r="H611">
        <v>6.053249</v>
      </c>
      <c r="I611">
        <v>6.086988</v>
      </c>
      <c r="J611">
        <v>-0.033739</v>
      </c>
      <c r="K611" s="4">
        <f t="shared" si="27"/>
        <v>-0.00554280705005497</v>
      </c>
      <c r="L611" s="4">
        <f t="shared" si="28"/>
        <v>-0.00239527346722801</v>
      </c>
      <c r="M611" s="18">
        <f t="shared" si="29"/>
        <v>-0.014534</v>
      </c>
    </row>
    <row r="612" spans="1:13">
      <c r="A612" t="s">
        <v>13</v>
      </c>
      <c r="B612" t="s">
        <v>1234</v>
      </c>
      <c r="C612" t="s">
        <v>1235</v>
      </c>
      <c r="D612">
        <v>93163.493</v>
      </c>
      <c r="E612">
        <v>92323.493</v>
      </c>
      <c r="F612">
        <v>4.0745</v>
      </c>
      <c r="G612">
        <v>840</v>
      </c>
      <c r="H612">
        <v>37.959465</v>
      </c>
      <c r="I612">
        <v>37.15282</v>
      </c>
      <c r="J612">
        <v>0.806645</v>
      </c>
      <c r="K612" s="4">
        <f t="shared" si="27"/>
        <v>0.0217115416810891</v>
      </c>
      <c r="L612" s="4">
        <f t="shared" si="28"/>
        <v>0.00909844258167312</v>
      </c>
      <c r="M612" s="18">
        <f t="shared" si="29"/>
        <v>0.342258</v>
      </c>
    </row>
    <row r="613" spans="1:13">
      <c r="A613" t="s">
        <v>13</v>
      </c>
      <c r="B613" t="s">
        <v>1236</v>
      </c>
      <c r="C613" t="s">
        <v>1237</v>
      </c>
      <c r="D613">
        <v>7196.0849</v>
      </c>
      <c r="E613">
        <v>7346.0849</v>
      </c>
      <c r="F613">
        <v>5.0606</v>
      </c>
      <c r="G613">
        <v>-150</v>
      </c>
      <c r="H613">
        <v>3.641651</v>
      </c>
      <c r="I613">
        <v>3.660628</v>
      </c>
      <c r="J613">
        <v>-0.018977</v>
      </c>
      <c r="K613" s="4">
        <f t="shared" si="27"/>
        <v>-0.00518408316824326</v>
      </c>
      <c r="L613" s="4">
        <f t="shared" si="28"/>
        <v>-0.0204190398071767</v>
      </c>
      <c r="M613" s="18">
        <f t="shared" si="29"/>
        <v>-0.075909</v>
      </c>
    </row>
    <row r="614" spans="1:13">
      <c r="A614" t="s">
        <v>13</v>
      </c>
      <c r="B614" t="s">
        <v>1238</v>
      </c>
      <c r="C614" t="s">
        <v>1239</v>
      </c>
      <c r="D614">
        <v>29815.4507</v>
      </c>
      <c r="E614">
        <v>29815.4507</v>
      </c>
      <c r="F614">
        <v>1.9319</v>
      </c>
      <c r="G614">
        <v>0</v>
      </c>
      <c r="H614">
        <v>5.760047</v>
      </c>
      <c r="I614">
        <v>5.68521</v>
      </c>
      <c r="J614">
        <v>0.074837</v>
      </c>
      <c r="K614" s="4">
        <f t="shared" si="27"/>
        <v>0.0131634539445333</v>
      </c>
      <c r="L614" s="4">
        <f t="shared" si="28"/>
        <v>0</v>
      </c>
      <c r="M614" s="18">
        <f t="shared" si="29"/>
        <v>0</v>
      </c>
    </row>
    <row r="615" spans="1:13">
      <c r="A615" t="s">
        <v>13</v>
      </c>
      <c r="B615" t="s">
        <v>1240</v>
      </c>
      <c r="C615" t="s">
        <v>1241</v>
      </c>
      <c r="D615">
        <v>115044.3951</v>
      </c>
      <c r="E615">
        <v>115244.3951</v>
      </c>
      <c r="F615">
        <v>1.6861</v>
      </c>
      <c r="G615">
        <v>-200</v>
      </c>
      <c r="H615">
        <v>19.397635</v>
      </c>
      <c r="I615">
        <v>19.346077</v>
      </c>
      <c r="J615">
        <v>0.051558</v>
      </c>
      <c r="K615" s="4">
        <f t="shared" si="27"/>
        <v>0.00266503643090018</v>
      </c>
      <c r="L615" s="4">
        <f t="shared" si="28"/>
        <v>-0.00173544231653484</v>
      </c>
      <c r="M615" s="18">
        <f t="shared" si="29"/>
        <v>-0.033722</v>
      </c>
    </row>
    <row r="616" spans="1:13">
      <c r="A616" t="s">
        <v>13</v>
      </c>
      <c r="B616" t="s">
        <v>1242</v>
      </c>
      <c r="C616" t="s">
        <v>1243</v>
      </c>
      <c r="D616">
        <v>17963.9725</v>
      </c>
      <c r="E616">
        <v>17563.9725</v>
      </c>
      <c r="F616">
        <v>2.1283</v>
      </c>
      <c r="G616">
        <v>400</v>
      </c>
      <c r="H616">
        <v>3.823272</v>
      </c>
      <c r="I616">
        <v>3.62415</v>
      </c>
      <c r="J616">
        <v>0.199122</v>
      </c>
      <c r="K616" s="4">
        <f t="shared" si="27"/>
        <v>0.0549430901038864</v>
      </c>
      <c r="L616" s="4">
        <f t="shared" si="28"/>
        <v>0.0227738912708956</v>
      </c>
      <c r="M616" s="18">
        <f t="shared" si="29"/>
        <v>0.085132</v>
      </c>
    </row>
    <row r="617" spans="1:13">
      <c r="A617" t="s">
        <v>13</v>
      </c>
      <c r="B617" t="s">
        <v>1244</v>
      </c>
      <c r="C617" t="s">
        <v>1245</v>
      </c>
      <c r="D617">
        <v>16719.7694</v>
      </c>
      <c r="E617">
        <v>16719.7694</v>
      </c>
      <c r="F617">
        <v>1.1743</v>
      </c>
      <c r="G617">
        <v>0</v>
      </c>
      <c r="H617">
        <v>1.963403</v>
      </c>
      <c r="I617">
        <v>1.957885</v>
      </c>
      <c r="J617">
        <v>0.005518</v>
      </c>
      <c r="K617" s="4">
        <f t="shared" si="27"/>
        <v>0.00281834734930805</v>
      </c>
      <c r="L617" s="4">
        <f t="shared" si="28"/>
        <v>0</v>
      </c>
      <c r="M617" s="18">
        <f t="shared" si="29"/>
        <v>0</v>
      </c>
    </row>
    <row r="618" spans="1:13">
      <c r="A618" t="s">
        <v>13</v>
      </c>
      <c r="B618" t="s">
        <v>1246</v>
      </c>
      <c r="C618" t="s">
        <v>1247</v>
      </c>
      <c r="D618">
        <v>33122.9029</v>
      </c>
      <c r="E618">
        <v>33622.9029</v>
      </c>
      <c r="F618">
        <v>3.8862</v>
      </c>
      <c r="G618">
        <v>-500</v>
      </c>
      <c r="H618">
        <v>12.872223</v>
      </c>
      <c r="I618">
        <v>12.867149</v>
      </c>
      <c r="J618">
        <v>0.005074</v>
      </c>
      <c r="K618" s="4">
        <f t="shared" si="27"/>
        <v>0.000394337549056127</v>
      </c>
      <c r="L618" s="4">
        <f t="shared" si="28"/>
        <v>-0.0148708159282701</v>
      </c>
      <c r="M618" s="18">
        <f t="shared" si="29"/>
        <v>-0.19431</v>
      </c>
    </row>
    <row r="619" spans="1:13">
      <c r="A619" t="s">
        <v>13</v>
      </c>
      <c r="B619" t="s">
        <v>1248</v>
      </c>
      <c r="C619" t="s">
        <v>1249</v>
      </c>
      <c r="D619">
        <v>48156.1992</v>
      </c>
      <c r="E619">
        <v>48406.1992</v>
      </c>
      <c r="F619">
        <v>1.5554</v>
      </c>
      <c r="G619">
        <v>-250</v>
      </c>
      <c r="H619">
        <v>7.490215</v>
      </c>
      <c r="I619">
        <v>7.260446</v>
      </c>
      <c r="J619">
        <v>0.229769</v>
      </c>
      <c r="K619" s="4">
        <f t="shared" si="27"/>
        <v>0.0316466784547396</v>
      </c>
      <c r="L619" s="4">
        <f t="shared" si="28"/>
        <v>-0.00516462775701671</v>
      </c>
      <c r="M619" s="18">
        <f t="shared" si="29"/>
        <v>-0.038885</v>
      </c>
    </row>
    <row r="620" spans="1:13">
      <c r="A620" t="s">
        <v>13</v>
      </c>
      <c r="B620" t="s">
        <v>1250</v>
      </c>
      <c r="C620" t="s">
        <v>1251</v>
      </c>
      <c r="D620">
        <v>8690.6143</v>
      </c>
      <c r="E620">
        <v>8690.6143</v>
      </c>
      <c r="F620">
        <v>2.3739</v>
      </c>
      <c r="G620">
        <v>0</v>
      </c>
      <c r="H620">
        <v>2.063065</v>
      </c>
      <c r="I620">
        <v>2.056286</v>
      </c>
      <c r="J620">
        <v>0.006779</v>
      </c>
      <c r="K620" s="4">
        <f t="shared" si="27"/>
        <v>0.00329672039784349</v>
      </c>
      <c r="L620" s="4">
        <f t="shared" si="28"/>
        <v>0</v>
      </c>
      <c r="M620" s="18">
        <f t="shared" si="29"/>
        <v>0</v>
      </c>
    </row>
    <row r="621" spans="1:13">
      <c r="A621" t="s">
        <v>13</v>
      </c>
      <c r="B621" t="s">
        <v>1252</v>
      </c>
      <c r="C621" t="s">
        <v>1253</v>
      </c>
      <c r="D621">
        <v>5844.8991</v>
      </c>
      <c r="E621">
        <v>5844.8991</v>
      </c>
      <c r="F621">
        <v>2.1761</v>
      </c>
      <c r="G621">
        <v>0</v>
      </c>
      <c r="H621">
        <v>1.271908</v>
      </c>
      <c r="I621">
        <v>1.254023</v>
      </c>
      <c r="J621">
        <v>0.017885</v>
      </c>
      <c r="K621" s="4">
        <f t="shared" si="27"/>
        <v>0.0142620988610257</v>
      </c>
      <c r="L621" s="4">
        <f t="shared" si="28"/>
        <v>0</v>
      </c>
      <c r="M621" s="18">
        <f t="shared" si="29"/>
        <v>0</v>
      </c>
    </row>
    <row r="622" spans="1:13">
      <c r="A622" t="s">
        <v>13</v>
      </c>
      <c r="B622" t="s">
        <v>1254</v>
      </c>
      <c r="C622" t="s">
        <v>1255</v>
      </c>
      <c r="D622">
        <v>2232.9693</v>
      </c>
      <c r="E622">
        <v>2232.9693</v>
      </c>
      <c r="F622">
        <v>2.44</v>
      </c>
      <c r="G622">
        <v>0</v>
      </c>
      <c r="H622">
        <v>0.544845</v>
      </c>
      <c r="I622">
        <v>0.541272</v>
      </c>
      <c r="J622">
        <v>0.003573</v>
      </c>
      <c r="K622" s="4">
        <f t="shared" si="27"/>
        <v>0.00660111736797765</v>
      </c>
      <c r="L622" s="4">
        <f t="shared" si="28"/>
        <v>0</v>
      </c>
      <c r="M622" s="18">
        <f t="shared" si="29"/>
        <v>0</v>
      </c>
    </row>
    <row r="623" spans="1:13">
      <c r="A623" t="s">
        <v>13</v>
      </c>
      <c r="B623" t="s">
        <v>1256</v>
      </c>
      <c r="C623" t="s">
        <v>1257</v>
      </c>
      <c r="D623">
        <v>1052245.4936</v>
      </c>
      <c r="E623">
        <v>1052345.4936</v>
      </c>
      <c r="F623">
        <v>4.1801</v>
      </c>
      <c r="G623">
        <v>-100</v>
      </c>
      <c r="H623">
        <v>439.849139</v>
      </c>
      <c r="I623">
        <v>433.082264</v>
      </c>
      <c r="J623">
        <v>6.766875</v>
      </c>
      <c r="K623" s="4">
        <f t="shared" si="27"/>
        <v>0.0156249183180589</v>
      </c>
      <c r="L623" s="4">
        <f t="shared" si="28"/>
        <v>-9.50258262216784e-5</v>
      </c>
      <c r="M623" s="18">
        <f t="shared" si="29"/>
        <v>-0.041801</v>
      </c>
    </row>
    <row r="624" spans="1:13">
      <c r="A624" t="s">
        <v>13</v>
      </c>
      <c r="B624" t="s">
        <v>1258</v>
      </c>
      <c r="C624" t="s">
        <v>1259</v>
      </c>
      <c r="D624">
        <v>4706.6039</v>
      </c>
      <c r="E624">
        <v>4706.6039</v>
      </c>
      <c r="F624">
        <v>5.0932</v>
      </c>
      <c r="G624">
        <v>0</v>
      </c>
      <c r="H624">
        <v>2.397167</v>
      </c>
      <c r="I624">
        <v>2.384554</v>
      </c>
      <c r="J624">
        <v>0.012613</v>
      </c>
      <c r="K624" s="4">
        <f t="shared" si="27"/>
        <v>0.00528945874155083</v>
      </c>
      <c r="L624" s="4">
        <f t="shared" si="28"/>
        <v>0</v>
      </c>
      <c r="M624" s="18">
        <f t="shared" si="29"/>
        <v>0</v>
      </c>
    </row>
    <row r="625" spans="1:13">
      <c r="A625" t="s">
        <v>13</v>
      </c>
      <c r="B625" t="s">
        <v>1260</v>
      </c>
      <c r="C625" t="s">
        <v>1261</v>
      </c>
      <c r="D625">
        <v>3056.1264</v>
      </c>
      <c r="E625">
        <v>3056.1264</v>
      </c>
      <c r="F625">
        <v>2.8731</v>
      </c>
      <c r="G625">
        <v>0</v>
      </c>
      <c r="H625">
        <v>0.878056</v>
      </c>
      <c r="I625">
        <v>0.870446</v>
      </c>
      <c r="J625">
        <v>0.00761</v>
      </c>
      <c r="K625" s="4">
        <f t="shared" si="27"/>
        <v>0.00874264457530967</v>
      </c>
      <c r="L625" s="4">
        <f t="shared" si="28"/>
        <v>0</v>
      </c>
      <c r="M625" s="18">
        <f t="shared" si="29"/>
        <v>0</v>
      </c>
    </row>
    <row r="626" spans="1:13">
      <c r="A626" t="s">
        <v>13</v>
      </c>
      <c r="B626" t="s">
        <v>1262</v>
      </c>
      <c r="C626" t="s">
        <v>1263</v>
      </c>
      <c r="D626">
        <v>1056441.6676</v>
      </c>
      <c r="E626">
        <v>1104321.6676</v>
      </c>
      <c r="F626">
        <v>5.1705</v>
      </c>
      <c r="G626">
        <v>-47880</v>
      </c>
      <c r="H626">
        <v>546.233164</v>
      </c>
      <c r="I626">
        <v>565.523126</v>
      </c>
      <c r="J626">
        <v>-19.289962</v>
      </c>
      <c r="K626" s="4">
        <f t="shared" si="27"/>
        <v>-0.0341099437196137</v>
      </c>
      <c r="L626" s="4">
        <f t="shared" si="28"/>
        <v>-0.0433569324996191</v>
      </c>
      <c r="M626" s="18">
        <f t="shared" si="29"/>
        <v>-24.756354</v>
      </c>
    </row>
    <row r="627" spans="1:13">
      <c r="A627" t="s">
        <v>13</v>
      </c>
      <c r="B627" t="s">
        <v>1264</v>
      </c>
      <c r="C627" t="s">
        <v>1265</v>
      </c>
      <c r="D627">
        <v>656355.9219</v>
      </c>
      <c r="E627">
        <v>656355.9219</v>
      </c>
      <c r="F627">
        <v>1.4443</v>
      </c>
      <c r="G627">
        <v>0</v>
      </c>
      <c r="H627">
        <v>94.797486</v>
      </c>
      <c r="I627">
        <v>95.50635</v>
      </c>
      <c r="J627">
        <v>-0.708864</v>
      </c>
      <c r="K627" s="4">
        <f t="shared" si="27"/>
        <v>-0.00742216617010283</v>
      </c>
      <c r="L627" s="4">
        <f t="shared" si="28"/>
        <v>0</v>
      </c>
      <c r="M627" s="18">
        <f t="shared" si="29"/>
        <v>0</v>
      </c>
    </row>
    <row r="628" spans="1:13">
      <c r="A628" t="s">
        <v>13</v>
      </c>
      <c r="B628" t="s">
        <v>1266</v>
      </c>
      <c r="C628" t="s">
        <v>1267</v>
      </c>
      <c r="D628">
        <v>220167.6765</v>
      </c>
      <c r="E628">
        <v>216467.6765</v>
      </c>
      <c r="F628">
        <v>3.4841</v>
      </c>
      <c r="G628">
        <v>3700</v>
      </c>
      <c r="H628">
        <v>76.70862</v>
      </c>
      <c r="I628">
        <v>74.373964</v>
      </c>
      <c r="J628">
        <v>2.334656</v>
      </c>
      <c r="K628" s="4">
        <f t="shared" si="27"/>
        <v>0.0313907700280706</v>
      </c>
      <c r="L628" s="4">
        <f t="shared" si="28"/>
        <v>0.0170926212163598</v>
      </c>
      <c r="M628" s="18">
        <f t="shared" si="29"/>
        <v>1.289117</v>
      </c>
    </row>
    <row r="629" spans="1:13">
      <c r="A629" t="s">
        <v>13</v>
      </c>
      <c r="B629" t="s">
        <v>1268</v>
      </c>
      <c r="C629" t="s">
        <v>1269</v>
      </c>
      <c r="D629">
        <v>828.5812</v>
      </c>
      <c r="E629">
        <v>828.5812</v>
      </c>
      <c r="F629">
        <v>2.3008</v>
      </c>
      <c r="G629">
        <v>0</v>
      </c>
      <c r="H629">
        <v>0.19064</v>
      </c>
      <c r="I629">
        <v>0.188743</v>
      </c>
      <c r="J629">
        <v>0.001897</v>
      </c>
      <c r="K629" s="4">
        <f t="shared" si="27"/>
        <v>0.0100507038671633</v>
      </c>
      <c r="L629" s="4">
        <f t="shared" si="28"/>
        <v>0</v>
      </c>
      <c r="M629" s="18">
        <f t="shared" si="29"/>
        <v>0</v>
      </c>
    </row>
    <row r="630" spans="1:13">
      <c r="A630" t="s">
        <v>13</v>
      </c>
      <c r="B630" t="s">
        <v>1270</v>
      </c>
      <c r="C630" t="s">
        <v>1271</v>
      </c>
      <c r="D630">
        <v>53402.0856</v>
      </c>
      <c r="E630">
        <v>52862.0856</v>
      </c>
      <c r="F630">
        <v>5.001</v>
      </c>
      <c r="G630">
        <v>540</v>
      </c>
      <c r="H630">
        <v>26.706383</v>
      </c>
      <c r="I630">
        <v>26.184705</v>
      </c>
      <c r="J630">
        <v>0.521678</v>
      </c>
      <c r="K630" s="4">
        <f t="shared" si="27"/>
        <v>0.0199230046700927</v>
      </c>
      <c r="L630" s="4">
        <f t="shared" si="28"/>
        <v>0.0102152609733582</v>
      </c>
      <c r="M630" s="18">
        <f t="shared" si="29"/>
        <v>0.270054</v>
      </c>
    </row>
    <row r="631" spans="1:13">
      <c r="A631" t="s">
        <v>13</v>
      </c>
      <c r="B631" t="s">
        <v>1272</v>
      </c>
      <c r="C631" t="s">
        <v>1273</v>
      </c>
      <c r="D631">
        <v>2336062.904</v>
      </c>
      <c r="E631">
        <v>2339862.904</v>
      </c>
      <c r="F631">
        <v>0.6359</v>
      </c>
      <c r="G631">
        <v>-3800</v>
      </c>
      <c r="H631">
        <v>148.55024</v>
      </c>
      <c r="I631">
        <v>150.172401</v>
      </c>
      <c r="J631">
        <v>-1.622161</v>
      </c>
      <c r="K631" s="4">
        <f t="shared" si="27"/>
        <v>-0.0108019915057494</v>
      </c>
      <c r="L631" s="4">
        <f t="shared" si="28"/>
        <v>-0.00162402677246769</v>
      </c>
      <c r="M631" s="18">
        <f t="shared" si="29"/>
        <v>-0.241642</v>
      </c>
    </row>
    <row r="632" spans="1:13">
      <c r="A632" t="s">
        <v>13</v>
      </c>
      <c r="B632" t="s">
        <v>1274</v>
      </c>
      <c r="C632" t="s">
        <v>1275</v>
      </c>
      <c r="D632">
        <v>178520.4203</v>
      </c>
      <c r="E632">
        <v>179570.4203</v>
      </c>
      <c r="F632">
        <v>1.157</v>
      </c>
      <c r="G632">
        <v>-1050</v>
      </c>
      <c r="H632">
        <v>20.654813</v>
      </c>
      <c r="I632">
        <v>20.891223</v>
      </c>
      <c r="J632">
        <v>-0.23641</v>
      </c>
      <c r="K632" s="4">
        <f t="shared" si="27"/>
        <v>-0.0113162355310649</v>
      </c>
      <c r="L632" s="4">
        <f t="shared" si="28"/>
        <v>-0.00584728820173063</v>
      </c>
      <c r="M632" s="18">
        <f t="shared" si="29"/>
        <v>-0.121485</v>
      </c>
    </row>
    <row r="633" spans="1:13">
      <c r="A633" t="s">
        <v>13</v>
      </c>
      <c r="B633" t="s">
        <v>1276</v>
      </c>
      <c r="C633" t="s">
        <v>1277</v>
      </c>
      <c r="D633">
        <v>65439.815</v>
      </c>
      <c r="E633">
        <v>68639.815</v>
      </c>
      <c r="F633">
        <v>1.6116</v>
      </c>
      <c r="G633">
        <v>-3200</v>
      </c>
      <c r="H633">
        <v>10.546281</v>
      </c>
      <c r="I633">
        <v>11.186917</v>
      </c>
      <c r="J633">
        <v>-0.640636</v>
      </c>
      <c r="K633" s="4">
        <f t="shared" si="27"/>
        <v>-0.0572665373310627</v>
      </c>
      <c r="L633" s="4">
        <f t="shared" si="28"/>
        <v>-0.0466201722717347</v>
      </c>
      <c r="M633" s="18">
        <f t="shared" si="29"/>
        <v>-0.515712</v>
      </c>
    </row>
    <row r="634" spans="1:13">
      <c r="A634" t="s">
        <v>13</v>
      </c>
      <c r="B634" t="s">
        <v>1278</v>
      </c>
      <c r="C634" t="s">
        <v>1279</v>
      </c>
      <c r="D634">
        <v>2032.8511</v>
      </c>
      <c r="E634">
        <v>2032.8511</v>
      </c>
      <c r="F634">
        <v>1.8087</v>
      </c>
      <c r="G634">
        <v>0</v>
      </c>
      <c r="H634">
        <v>0.367682</v>
      </c>
      <c r="I634">
        <v>0.369877</v>
      </c>
      <c r="J634">
        <v>-0.002195</v>
      </c>
      <c r="K634" s="4">
        <f t="shared" si="27"/>
        <v>-0.00593440522119515</v>
      </c>
      <c r="L634" s="4">
        <f t="shared" si="28"/>
        <v>0</v>
      </c>
      <c r="M634" s="18">
        <f t="shared" si="29"/>
        <v>0</v>
      </c>
    </row>
    <row r="635" spans="1:13">
      <c r="A635" t="s">
        <v>13</v>
      </c>
      <c r="B635" t="s">
        <v>1280</v>
      </c>
      <c r="C635" t="s">
        <v>1281</v>
      </c>
      <c r="D635">
        <v>3737.8943</v>
      </c>
      <c r="E635">
        <v>3737.8943</v>
      </c>
      <c r="F635">
        <v>2.7998</v>
      </c>
      <c r="G635">
        <v>0</v>
      </c>
      <c r="H635">
        <v>1.046536</v>
      </c>
      <c r="I635">
        <v>1.053077</v>
      </c>
      <c r="J635">
        <v>-0.006541</v>
      </c>
      <c r="K635" s="4">
        <f t="shared" si="27"/>
        <v>-0.00621132167923143</v>
      </c>
      <c r="L635" s="4">
        <f t="shared" si="28"/>
        <v>0</v>
      </c>
      <c r="M635" s="18">
        <f t="shared" si="29"/>
        <v>0</v>
      </c>
    </row>
    <row r="636" spans="1:13">
      <c r="A636" t="s">
        <v>13</v>
      </c>
      <c r="B636" t="s">
        <v>1282</v>
      </c>
      <c r="C636" t="s">
        <v>1283</v>
      </c>
      <c r="D636">
        <v>393700.8998</v>
      </c>
      <c r="E636">
        <v>394990.8998</v>
      </c>
      <c r="F636">
        <v>9.3475</v>
      </c>
      <c r="G636">
        <v>-1290</v>
      </c>
      <c r="H636">
        <v>368.011916</v>
      </c>
      <c r="I636">
        <v>369.735182</v>
      </c>
      <c r="J636">
        <v>-1.723266</v>
      </c>
      <c r="K636" s="4">
        <f t="shared" si="27"/>
        <v>-0.00466081153186012</v>
      </c>
      <c r="L636" s="4">
        <f t="shared" si="28"/>
        <v>-0.00326589802613979</v>
      </c>
      <c r="M636" s="18">
        <f t="shared" si="29"/>
        <v>-1.2058275</v>
      </c>
    </row>
    <row r="637" spans="1:13">
      <c r="A637" t="s">
        <v>13</v>
      </c>
      <c r="B637" t="s">
        <v>1284</v>
      </c>
      <c r="C637" t="s">
        <v>1285</v>
      </c>
      <c r="D637">
        <v>2357.2956</v>
      </c>
      <c r="E637">
        <v>2357.2956</v>
      </c>
      <c r="F637">
        <v>2.7109</v>
      </c>
      <c r="G637">
        <v>0</v>
      </c>
      <c r="H637">
        <v>0.639039</v>
      </c>
      <c r="I637">
        <v>0.630364</v>
      </c>
      <c r="J637">
        <v>0.008675</v>
      </c>
      <c r="K637" s="4">
        <f t="shared" si="27"/>
        <v>0.0137618899556447</v>
      </c>
      <c r="L637" s="4">
        <f t="shared" si="28"/>
        <v>0</v>
      </c>
      <c r="M637" s="18">
        <f t="shared" si="29"/>
        <v>0</v>
      </c>
    </row>
    <row r="638" spans="1:13">
      <c r="A638" t="s">
        <v>13</v>
      </c>
      <c r="B638" t="s">
        <v>1286</v>
      </c>
      <c r="C638" t="s">
        <v>1287</v>
      </c>
      <c r="D638">
        <v>11015.6094</v>
      </c>
      <c r="E638">
        <v>11015.6094</v>
      </c>
      <c r="F638">
        <v>1.9523</v>
      </c>
      <c r="G638">
        <v>0</v>
      </c>
      <c r="H638">
        <v>2.150577</v>
      </c>
      <c r="I638">
        <v>2.16666</v>
      </c>
      <c r="J638">
        <v>-0.016083</v>
      </c>
      <c r="K638" s="4">
        <f t="shared" si="27"/>
        <v>-0.00742294591675667</v>
      </c>
      <c r="L638" s="4">
        <f t="shared" si="28"/>
        <v>0</v>
      </c>
      <c r="M638" s="18">
        <f t="shared" si="29"/>
        <v>0</v>
      </c>
    </row>
    <row r="639" spans="1:13">
      <c r="A639" t="s">
        <v>13</v>
      </c>
      <c r="B639" t="s">
        <v>1288</v>
      </c>
      <c r="C639" t="s">
        <v>1289</v>
      </c>
      <c r="D639">
        <v>486562.1977</v>
      </c>
      <c r="E639">
        <v>487532.1977</v>
      </c>
      <c r="F639">
        <v>8.9263</v>
      </c>
      <c r="G639">
        <v>-970</v>
      </c>
      <c r="H639">
        <v>434.320015</v>
      </c>
      <c r="I639">
        <v>435.795281</v>
      </c>
      <c r="J639">
        <v>-1.475266</v>
      </c>
      <c r="K639" s="4">
        <f t="shared" si="27"/>
        <v>-0.00338522711080022</v>
      </c>
      <c r="L639" s="4">
        <f t="shared" si="28"/>
        <v>-0.00198961218269503</v>
      </c>
      <c r="M639" s="18">
        <f t="shared" si="29"/>
        <v>-0.8658511</v>
      </c>
    </row>
    <row r="640" spans="1:13">
      <c r="A640" t="s">
        <v>13</v>
      </c>
      <c r="B640" t="s">
        <v>1290</v>
      </c>
      <c r="C640" t="s">
        <v>1291</v>
      </c>
      <c r="D640">
        <v>739456.7236</v>
      </c>
      <c r="E640">
        <v>740956.7236</v>
      </c>
      <c r="F640">
        <v>0.5633</v>
      </c>
      <c r="G640">
        <v>-1500</v>
      </c>
      <c r="H640">
        <v>41.653597</v>
      </c>
      <c r="I640">
        <v>41.967789</v>
      </c>
      <c r="J640">
        <v>-0.314192</v>
      </c>
      <c r="K640" s="4">
        <f t="shared" si="27"/>
        <v>-0.00748650351821012</v>
      </c>
      <c r="L640" s="4">
        <f t="shared" si="28"/>
        <v>-0.00202440972896787</v>
      </c>
      <c r="M640" s="18">
        <f t="shared" si="29"/>
        <v>-0.084495</v>
      </c>
    </row>
    <row r="641" spans="1:13">
      <c r="A641" t="s">
        <v>13</v>
      </c>
      <c r="B641" t="s">
        <v>1292</v>
      </c>
      <c r="C641" t="s">
        <v>1293</v>
      </c>
      <c r="D641">
        <v>82965.6106</v>
      </c>
      <c r="E641">
        <v>82565.6106</v>
      </c>
      <c r="F641">
        <v>1.2795</v>
      </c>
      <c r="G641">
        <v>400</v>
      </c>
      <c r="H641">
        <v>10.61545</v>
      </c>
      <c r="I641">
        <v>10.110159</v>
      </c>
      <c r="J641">
        <v>0.505291</v>
      </c>
      <c r="K641" s="4">
        <f t="shared" si="27"/>
        <v>0.0499785413859466</v>
      </c>
      <c r="L641" s="4">
        <f t="shared" si="28"/>
        <v>0.0048446320095403</v>
      </c>
      <c r="M641" s="18">
        <f t="shared" si="29"/>
        <v>0.05118</v>
      </c>
    </row>
    <row r="642" spans="1:13">
      <c r="A642" t="s">
        <v>13</v>
      </c>
      <c r="B642" t="s">
        <v>1294</v>
      </c>
      <c r="C642" t="s">
        <v>1295</v>
      </c>
      <c r="D642">
        <v>44305.9983</v>
      </c>
      <c r="E642">
        <v>44405.9983</v>
      </c>
      <c r="F642">
        <v>1.177</v>
      </c>
      <c r="G642">
        <v>-100</v>
      </c>
      <c r="H642">
        <v>5.214816</v>
      </c>
      <c r="I642">
        <v>5.255894</v>
      </c>
      <c r="J642">
        <v>-0.041078</v>
      </c>
      <c r="K642" s="4">
        <f t="shared" ref="K642:K705" si="30">IFERROR(J642/I642,"")</f>
        <v>-0.00781560663133617</v>
      </c>
      <c r="L642" s="4">
        <f t="shared" ref="L642:L705" si="31">IFERROR((D642-E642)/E642,"")</f>
        <v>-0.00225194802117533</v>
      </c>
      <c r="M642" s="18">
        <f t="shared" ref="M642:M705" si="32">IFERROR(F642*G642/10000,"")</f>
        <v>-0.01177</v>
      </c>
    </row>
    <row r="643" spans="1:13">
      <c r="A643" t="s">
        <v>13</v>
      </c>
      <c r="B643" t="s">
        <v>1296</v>
      </c>
      <c r="C643" t="s">
        <v>1297</v>
      </c>
      <c r="D643">
        <v>2247601.0164</v>
      </c>
      <c r="E643">
        <v>2247471.0164</v>
      </c>
      <c r="F643">
        <v>1.5271</v>
      </c>
      <c r="G643">
        <v>130</v>
      </c>
      <c r="H643">
        <v>343.231151</v>
      </c>
      <c r="I643">
        <v>349.75144</v>
      </c>
      <c r="J643">
        <v>-6.520289</v>
      </c>
      <c r="K643" s="4">
        <f t="shared" si="30"/>
        <v>-0.0186426366107313</v>
      </c>
      <c r="L643" s="4">
        <f t="shared" si="31"/>
        <v>5.78427926551124e-5</v>
      </c>
      <c r="M643" s="18">
        <f t="shared" si="32"/>
        <v>0.0198523</v>
      </c>
    </row>
    <row r="644" spans="1:13">
      <c r="A644" t="s">
        <v>13</v>
      </c>
      <c r="B644" t="s">
        <v>1298</v>
      </c>
      <c r="C644" t="s">
        <v>1299</v>
      </c>
      <c r="D644">
        <v>11922.9922</v>
      </c>
      <c r="E644">
        <v>11922.9922</v>
      </c>
      <c r="F644">
        <v>1.7436</v>
      </c>
      <c r="G644">
        <v>0</v>
      </c>
      <c r="H644">
        <v>2.078893</v>
      </c>
      <c r="I644">
        <v>2.052066</v>
      </c>
      <c r="J644">
        <v>0.026827</v>
      </c>
      <c r="K644" s="4">
        <f t="shared" si="30"/>
        <v>0.0130731662626836</v>
      </c>
      <c r="L644" s="4">
        <f t="shared" si="31"/>
        <v>0</v>
      </c>
      <c r="M644" s="18">
        <f t="shared" si="32"/>
        <v>0</v>
      </c>
    </row>
    <row r="645" spans="1:13">
      <c r="A645" t="s">
        <v>13</v>
      </c>
      <c r="B645" t="s">
        <v>1300</v>
      </c>
      <c r="C645" t="s">
        <v>1301</v>
      </c>
      <c r="D645">
        <v>3960.8342</v>
      </c>
      <c r="E645">
        <v>3960.8342</v>
      </c>
      <c r="F645">
        <v>1.595</v>
      </c>
      <c r="G645">
        <v>0</v>
      </c>
      <c r="H645">
        <v>0.631753</v>
      </c>
      <c r="I645">
        <v>0.630882</v>
      </c>
      <c r="J645">
        <v>0.000871</v>
      </c>
      <c r="K645" s="4">
        <f t="shared" si="30"/>
        <v>0.00138060683297352</v>
      </c>
      <c r="L645" s="4">
        <f t="shared" si="31"/>
        <v>0</v>
      </c>
      <c r="M645" s="18">
        <f t="shared" si="32"/>
        <v>0</v>
      </c>
    </row>
    <row r="646" spans="1:13">
      <c r="A646" t="s">
        <v>13</v>
      </c>
      <c r="B646" t="s">
        <v>1302</v>
      </c>
      <c r="C646" t="s">
        <v>1303</v>
      </c>
      <c r="D646">
        <v>6907.2327</v>
      </c>
      <c r="E646">
        <v>7907.2327</v>
      </c>
      <c r="F646">
        <v>1.2856</v>
      </c>
      <c r="G646">
        <v>-1000</v>
      </c>
      <c r="H646">
        <v>0.887994</v>
      </c>
      <c r="I646">
        <v>1.029917</v>
      </c>
      <c r="J646">
        <v>-0.141923</v>
      </c>
      <c r="K646" s="4">
        <f t="shared" si="30"/>
        <v>-0.137800424694417</v>
      </c>
      <c r="L646" s="4">
        <f t="shared" si="31"/>
        <v>-0.126466494403282</v>
      </c>
      <c r="M646" s="18">
        <f t="shared" si="32"/>
        <v>-0.12856</v>
      </c>
    </row>
    <row r="647" spans="1:13">
      <c r="A647" t="s">
        <v>13</v>
      </c>
      <c r="B647" t="s">
        <v>1304</v>
      </c>
      <c r="C647" t="s">
        <v>1305</v>
      </c>
      <c r="D647">
        <v>99369.772</v>
      </c>
      <c r="E647">
        <v>100969.772</v>
      </c>
      <c r="F647">
        <v>4.617</v>
      </c>
      <c r="G647">
        <v>-1600</v>
      </c>
      <c r="H647">
        <v>45.879024</v>
      </c>
      <c r="I647">
        <v>45.899849</v>
      </c>
      <c r="J647">
        <v>-0.020825</v>
      </c>
      <c r="K647" s="4">
        <f t="shared" si="30"/>
        <v>-0.000453705196285068</v>
      </c>
      <c r="L647" s="4">
        <f t="shared" si="31"/>
        <v>-0.0158463267600525</v>
      </c>
      <c r="M647" s="18">
        <f t="shared" si="32"/>
        <v>-0.73872</v>
      </c>
    </row>
    <row r="648" spans="1:13">
      <c r="A648" t="s">
        <v>13</v>
      </c>
      <c r="B648" t="s">
        <v>1306</v>
      </c>
      <c r="C648" t="s">
        <v>1307</v>
      </c>
      <c r="D648">
        <v>1208178.5113</v>
      </c>
      <c r="E648">
        <v>1201478.5113</v>
      </c>
      <c r="F648">
        <v>2.0129</v>
      </c>
      <c r="G648">
        <v>6700</v>
      </c>
      <c r="H648">
        <v>243.194253</v>
      </c>
      <c r="I648">
        <v>238.553558</v>
      </c>
      <c r="J648">
        <v>4.640695</v>
      </c>
      <c r="K648" s="4">
        <f t="shared" si="30"/>
        <v>0.0194534721632615</v>
      </c>
      <c r="L648" s="4">
        <f t="shared" si="31"/>
        <v>0.00557646261417576</v>
      </c>
      <c r="M648" s="18">
        <f t="shared" si="32"/>
        <v>1.348643</v>
      </c>
    </row>
    <row r="649" spans="1:13">
      <c r="A649" t="s">
        <v>13</v>
      </c>
      <c r="B649" t="s">
        <v>1308</v>
      </c>
      <c r="C649" t="s">
        <v>1309</v>
      </c>
      <c r="D649">
        <v>342158.4929</v>
      </c>
      <c r="E649">
        <v>338418.4929</v>
      </c>
      <c r="F649">
        <v>2.5384</v>
      </c>
      <c r="G649">
        <v>3740</v>
      </c>
      <c r="H649">
        <v>86.853512</v>
      </c>
      <c r="I649">
        <v>84.587702</v>
      </c>
      <c r="J649">
        <v>2.26581</v>
      </c>
      <c r="K649" s="4">
        <f t="shared" si="30"/>
        <v>0.0267865179739722</v>
      </c>
      <c r="L649" s="4">
        <f t="shared" si="31"/>
        <v>0.0110514055185073</v>
      </c>
      <c r="M649" s="18">
        <f t="shared" si="32"/>
        <v>0.9493616</v>
      </c>
    </row>
    <row r="650" spans="1:13">
      <c r="A650" t="s">
        <v>13</v>
      </c>
      <c r="B650" t="s">
        <v>1310</v>
      </c>
      <c r="C650" t="s">
        <v>1311</v>
      </c>
      <c r="D650">
        <v>22860.5083</v>
      </c>
      <c r="E650">
        <v>22860.5083</v>
      </c>
      <c r="F650">
        <v>0.8956</v>
      </c>
      <c r="G650">
        <v>0</v>
      </c>
      <c r="H650">
        <v>2.047387</v>
      </c>
      <c r="I650">
        <v>2.071391</v>
      </c>
      <c r="J650">
        <v>-0.024004</v>
      </c>
      <c r="K650" s="4">
        <f t="shared" si="30"/>
        <v>-0.0115883481196935</v>
      </c>
      <c r="L650" s="4">
        <f t="shared" si="31"/>
        <v>0</v>
      </c>
      <c r="M650" s="18">
        <f t="shared" si="32"/>
        <v>0</v>
      </c>
    </row>
    <row r="651" spans="1:13">
      <c r="A651" t="s">
        <v>13</v>
      </c>
      <c r="B651" t="s">
        <v>1312</v>
      </c>
      <c r="C651" t="s">
        <v>1313</v>
      </c>
      <c r="D651">
        <v>4497.8674</v>
      </c>
      <c r="E651">
        <v>4497.8674</v>
      </c>
      <c r="F651">
        <v>2.6467</v>
      </c>
      <c r="G651">
        <v>0</v>
      </c>
      <c r="H651">
        <v>1.190451</v>
      </c>
      <c r="I651">
        <v>1.172189</v>
      </c>
      <c r="J651">
        <v>0.018262</v>
      </c>
      <c r="K651" s="4">
        <f t="shared" si="30"/>
        <v>0.0155793988853333</v>
      </c>
      <c r="L651" s="4">
        <f t="shared" si="31"/>
        <v>0</v>
      </c>
      <c r="M651" s="18">
        <f t="shared" si="32"/>
        <v>0</v>
      </c>
    </row>
    <row r="652" spans="1:13">
      <c r="A652" t="s">
        <v>13</v>
      </c>
      <c r="B652" t="s">
        <v>1314</v>
      </c>
      <c r="C652" t="s">
        <v>1315</v>
      </c>
      <c r="D652">
        <v>77578.456</v>
      </c>
      <c r="E652">
        <v>76978.456</v>
      </c>
      <c r="F652">
        <v>2.7408</v>
      </c>
      <c r="G652">
        <v>600</v>
      </c>
      <c r="H652">
        <v>21.262703</v>
      </c>
      <c r="I652">
        <v>20.774176</v>
      </c>
      <c r="J652">
        <v>0.488527</v>
      </c>
      <c r="K652" s="4">
        <f t="shared" si="30"/>
        <v>0.0235160711067433</v>
      </c>
      <c r="L652" s="4">
        <f t="shared" si="31"/>
        <v>0.00779438860140297</v>
      </c>
      <c r="M652" s="18">
        <f t="shared" si="32"/>
        <v>0.164448</v>
      </c>
    </row>
    <row r="653" spans="1:13">
      <c r="A653" t="s">
        <v>13</v>
      </c>
      <c r="B653" t="s">
        <v>1316</v>
      </c>
      <c r="C653" t="s">
        <v>1317</v>
      </c>
      <c r="D653">
        <v>21541.1448</v>
      </c>
      <c r="E653">
        <v>21751.1448</v>
      </c>
      <c r="F653">
        <v>2.5222</v>
      </c>
      <c r="G653">
        <v>-210</v>
      </c>
      <c r="H653">
        <v>5.433108</v>
      </c>
      <c r="I653">
        <v>5.401897</v>
      </c>
      <c r="J653">
        <v>0.031211</v>
      </c>
      <c r="K653" s="4">
        <f t="shared" si="30"/>
        <v>0.00577778510030828</v>
      </c>
      <c r="L653" s="4">
        <f t="shared" si="31"/>
        <v>-0.00965466424553433</v>
      </c>
      <c r="M653" s="18">
        <f t="shared" si="32"/>
        <v>-0.0529662</v>
      </c>
    </row>
    <row r="654" spans="1:13">
      <c r="A654" t="s">
        <v>13</v>
      </c>
      <c r="B654" t="s">
        <v>1318</v>
      </c>
      <c r="C654" t="s">
        <v>1319</v>
      </c>
      <c r="D654">
        <v>182389.178</v>
      </c>
      <c r="E654">
        <v>182389.178</v>
      </c>
      <c r="F654">
        <v>1.6942</v>
      </c>
      <c r="G654">
        <v>0</v>
      </c>
      <c r="H654">
        <v>30.900375</v>
      </c>
      <c r="I654">
        <v>30.426163</v>
      </c>
      <c r="J654">
        <v>0.474212</v>
      </c>
      <c r="K654" s="4">
        <f t="shared" si="30"/>
        <v>0.0155856655339683</v>
      </c>
      <c r="L654" s="4">
        <f t="shared" si="31"/>
        <v>0</v>
      </c>
      <c r="M654" s="18">
        <f t="shared" si="32"/>
        <v>0</v>
      </c>
    </row>
    <row r="655" spans="1:13">
      <c r="A655" t="s">
        <v>13</v>
      </c>
      <c r="B655" t="s">
        <v>1320</v>
      </c>
      <c r="C655" t="s">
        <v>1321</v>
      </c>
      <c r="D655">
        <v>16357.396</v>
      </c>
      <c r="E655">
        <v>16357.396</v>
      </c>
      <c r="F655">
        <v>0.8278</v>
      </c>
      <c r="G655">
        <v>0</v>
      </c>
      <c r="H655">
        <v>1.354065</v>
      </c>
      <c r="I655">
        <v>1.37075</v>
      </c>
      <c r="J655">
        <v>-0.016685</v>
      </c>
      <c r="K655" s="4">
        <f t="shared" si="30"/>
        <v>-0.0121721685208827</v>
      </c>
      <c r="L655" s="4">
        <f t="shared" si="31"/>
        <v>0</v>
      </c>
      <c r="M655" s="18">
        <f t="shared" si="32"/>
        <v>0</v>
      </c>
    </row>
    <row r="656" spans="1:13">
      <c r="A656" t="s">
        <v>13</v>
      </c>
      <c r="B656" t="s">
        <v>1322</v>
      </c>
      <c r="C656" t="s">
        <v>1323</v>
      </c>
      <c r="D656">
        <v>10624.5196</v>
      </c>
      <c r="E656">
        <v>10624.5196</v>
      </c>
      <c r="F656">
        <v>2.4912</v>
      </c>
      <c r="G656">
        <v>0</v>
      </c>
      <c r="H656">
        <v>2.64678</v>
      </c>
      <c r="I656">
        <v>2.614588</v>
      </c>
      <c r="J656">
        <v>0.032192</v>
      </c>
      <c r="K656" s="4">
        <f t="shared" si="30"/>
        <v>0.0123124561116321</v>
      </c>
      <c r="L656" s="4">
        <f t="shared" si="31"/>
        <v>0</v>
      </c>
      <c r="M656" s="18">
        <f t="shared" si="32"/>
        <v>0</v>
      </c>
    </row>
    <row r="657" spans="1:13">
      <c r="A657" t="s">
        <v>13</v>
      </c>
      <c r="B657" t="s">
        <v>1324</v>
      </c>
      <c r="C657" t="s">
        <v>1325</v>
      </c>
      <c r="D657">
        <v>18348.1881</v>
      </c>
      <c r="E657">
        <v>18548.1881</v>
      </c>
      <c r="F657">
        <v>2.7255</v>
      </c>
      <c r="G657">
        <v>-200</v>
      </c>
      <c r="H657">
        <v>5.000799</v>
      </c>
      <c r="I657">
        <v>4.974253</v>
      </c>
      <c r="J657">
        <v>0.026546</v>
      </c>
      <c r="K657" s="4">
        <f t="shared" si="30"/>
        <v>0.0053366807036152</v>
      </c>
      <c r="L657" s="4">
        <f t="shared" si="31"/>
        <v>-0.0107827243783451</v>
      </c>
      <c r="M657" s="18">
        <f t="shared" si="32"/>
        <v>-0.05451</v>
      </c>
    </row>
    <row r="658" spans="1:13">
      <c r="A658" t="s">
        <v>13</v>
      </c>
      <c r="B658" t="s">
        <v>1326</v>
      </c>
      <c r="C658" t="s">
        <v>1327</v>
      </c>
      <c r="D658">
        <v>2342.6953</v>
      </c>
      <c r="E658">
        <v>2342.6953</v>
      </c>
      <c r="F658">
        <v>1.7067</v>
      </c>
      <c r="G658">
        <v>0</v>
      </c>
      <c r="H658">
        <v>0.399828</v>
      </c>
      <c r="I658">
        <v>0.397415</v>
      </c>
      <c r="J658">
        <v>0.002413</v>
      </c>
      <c r="K658" s="4">
        <f t="shared" si="30"/>
        <v>0.00607173861077212</v>
      </c>
      <c r="L658" s="4">
        <f t="shared" si="31"/>
        <v>0</v>
      </c>
      <c r="M658" s="18">
        <f t="shared" si="32"/>
        <v>0</v>
      </c>
    </row>
    <row r="659" spans="1:13">
      <c r="A659" t="s">
        <v>13</v>
      </c>
      <c r="B659" t="s">
        <v>1328</v>
      </c>
      <c r="C659" t="s">
        <v>1329</v>
      </c>
      <c r="D659">
        <v>56279.9521</v>
      </c>
      <c r="E659">
        <v>56939.9521</v>
      </c>
      <c r="F659">
        <v>0.625</v>
      </c>
      <c r="G659">
        <v>-660</v>
      </c>
      <c r="H659">
        <v>3.517497</v>
      </c>
      <c r="I659">
        <v>3.543943</v>
      </c>
      <c r="J659">
        <v>-0.026446</v>
      </c>
      <c r="K659" s="4">
        <f t="shared" si="30"/>
        <v>-0.00746230963646989</v>
      </c>
      <c r="L659" s="4">
        <f t="shared" si="31"/>
        <v>-0.0115911583283541</v>
      </c>
      <c r="M659" s="18">
        <f t="shared" si="32"/>
        <v>-0.04125</v>
      </c>
    </row>
    <row r="660" spans="1:13">
      <c r="A660" t="s">
        <v>13</v>
      </c>
      <c r="B660" t="s">
        <v>1330</v>
      </c>
      <c r="C660" t="s">
        <v>1331</v>
      </c>
      <c r="D660">
        <v>582090.5811</v>
      </c>
      <c r="E660">
        <v>568150.5811</v>
      </c>
      <c r="F660">
        <v>1.0096</v>
      </c>
      <c r="G660">
        <v>13940</v>
      </c>
      <c r="H660">
        <v>58.767865</v>
      </c>
      <c r="I660">
        <v>55.746935</v>
      </c>
      <c r="J660">
        <v>3.02093</v>
      </c>
      <c r="K660" s="4">
        <f t="shared" si="30"/>
        <v>0.0541900644403141</v>
      </c>
      <c r="L660" s="4">
        <f t="shared" si="31"/>
        <v>0.0245357489083452</v>
      </c>
      <c r="M660" s="18">
        <f t="shared" si="32"/>
        <v>1.4073824</v>
      </c>
    </row>
    <row r="661" spans="1:13">
      <c r="A661" t="s">
        <v>13</v>
      </c>
      <c r="B661" t="s">
        <v>1332</v>
      </c>
      <c r="C661" t="s">
        <v>1333</v>
      </c>
      <c r="D661">
        <v>5969.5098</v>
      </c>
      <c r="E661">
        <v>5969.5098</v>
      </c>
      <c r="F661">
        <v>11.1811</v>
      </c>
      <c r="G661">
        <v>0</v>
      </c>
      <c r="H661">
        <v>6.674569</v>
      </c>
      <c r="I661">
        <v>6.581862</v>
      </c>
      <c r="J661">
        <v>0.092707</v>
      </c>
      <c r="K661" s="4">
        <f t="shared" si="30"/>
        <v>0.0140852239077635</v>
      </c>
      <c r="L661" s="4">
        <f t="shared" si="31"/>
        <v>0</v>
      </c>
      <c r="M661" s="18">
        <f t="shared" si="32"/>
        <v>0</v>
      </c>
    </row>
    <row r="662" spans="1:13">
      <c r="A662" t="s">
        <v>13</v>
      </c>
      <c r="B662" t="s">
        <v>1334</v>
      </c>
      <c r="C662" t="s">
        <v>1335</v>
      </c>
      <c r="D662">
        <v>1046.8704</v>
      </c>
      <c r="E662">
        <v>1046.8704</v>
      </c>
      <c r="F662">
        <v>1.1675</v>
      </c>
      <c r="G662">
        <v>0</v>
      </c>
      <c r="H662">
        <v>0.122222</v>
      </c>
      <c r="I662">
        <v>0.120715</v>
      </c>
      <c r="J662">
        <v>0.001507</v>
      </c>
      <c r="K662" s="4">
        <f t="shared" si="30"/>
        <v>0.0124839497991136</v>
      </c>
      <c r="L662" s="4">
        <f t="shared" si="31"/>
        <v>0</v>
      </c>
      <c r="M662" s="18">
        <f t="shared" si="32"/>
        <v>0</v>
      </c>
    </row>
    <row r="663" spans="1:13">
      <c r="A663" t="s">
        <v>13</v>
      </c>
      <c r="B663" t="s">
        <v>1336</v>
      </c>
      <c r="C663" t="s">
        <v>1337</v>
      </c>
      <c r="D663">
        <v>125802.0288</v>
      </c>
      <c r="E663">
        <v>126402.0288</v>
      </c>
      <c r="F663">
        <v>1.4539</v>
      </c>
      <c r="G663">
        <v>-600</v>
      </c>
      <c r="H663">
        <v>18.290357</v>
      </c>
      <c r="I663">
        <v>18.09445</v>
      </c>
      <c r="J663">
        <v>0.195907</v>
      </c>
      <c r="K663" s="4">
        <f t="shared" si="30"/>
        <v>0.0108269110141507</v>
      </c>
      <c r="L663" s="4">
        <f t="shared" si="31"/>
        <v>-0.00474675925454766</v>
      </c>
      <c r="M663" s="18">
        <f t="shared" si="32"/>
        <v>-0.087234</v>
      </c>
    </row>
    <row r="664" spans="1:13">
      <c r="A664" t="s">
        <v>13</v>
      </c>
      <c r="B664" t="s">
        <v>1338</v>
      </c>
      <c r="C664" t="s">
        <v>1339</v>
      </c>
      <c r="D664">
        <v>4784.591</v>
      </c>
      <c r="E664">
        <v>4626.591</v>
      </c>
      <c r="F664">
        <v>119.1732</v>
      </c>
      <c r="G664">
        <v>158</v>
      </c>
      <c r="H664">
        <v>57.019502</v>
      </c>
      <c r="I664">
        <v>55.132309</v>
      </c>
      <c r="J664">
        <v>1.887193</v>
      </c>
      <c r="K664" s="4">
        <f t="shared" si="30"/>
        <v>0.0342302550760209</v>
      </c>
      <c r="L664" s="4">
        <f t="shared" si="31"/>
        <v>0.0341504144196018</v>
      </c>
      <c r="M664" s="18">
        <f t="shared" si="32"/>
        <v>1.88293656</v>
      </c>
    </row>
    <row r="665" spans="1:13">
      <c r="A665" t="s">
        <v>13</v>
      </c>
      <c r="B665" t="s">
        <v>1340</v>
      </c>
      <c r="C665" t="s">
        <v>1341</v>
      </c>
      <c r="D665">
        <v>19997.6423</v>
      </c>
      <c r="E665">
        <v>19997.6423</v>
      </c>
      <c r="F665">
        <v>2.1734</v>
      </c>
      <c r="G665">
        <v>0</v>
      </c>
      <c r="H665">
        <v>4.346288</v>
      </c>
      <c r="I665">
        <v>4.315091</v>
      </c>
      <c r="J665">
        <v>0.031197</v>
      </c>
      <c r="K665" s="4">
        <f t="shared" si="30"/>
        <v>0.00722974324295826</v>
      </c>
      <c r="L665" s="4">
        <f t="shared" si="31"/>
        <v>0</v>
      </c>
      <c r="M665" s="18">
        <f t="shared" si="32"/>
        <v>0</v>
      </c>
    </row>
    <row r="666" spans="1:13">
      <c r="A666" t="s">
        <v>13</v>
      </c>
      <c r="B666" t="s">
        <v>1342</v>
      </c>
      <c r="C666" t="s">
        <v>1343</v>
      </c>
      <c r="D666">
        <v>4043.2422</v>
      </c>
      <c r="E666">
        <v>4043.2422</v>
      </c>
      <c r="F666">
        <v>1.8839</v>
      </c>
      <c r="G666">
        <v>0</v>
      </c>
      <c r="H666">
        <v>0.761706</v>
      </c>
      <c r="I666">
        <v>0.750507</v>
      </c>
      <c r="J666">
        <v>0.011199</v>
      </c>
      <c r="K666" s="4">
        <f t="shared" si="30"/>
        <v>0.014921912786956</v>
      </c>
      <c r="L666" s="4">
        <f t="shared" si="31"/>
        <v>0</v>
      </c>
      <c r="M666" s="18">
        <f t="shared" si="32"/>
        <v>0</v>
      </c>
    </row>
    <row r="667" spans="1:13">
      <c r="A667" t="s">
        <v>13</v>
      </c>
      <c r="B667" t="s">
        <v>1344</v>
      </c>
      <c r="C667" t="s">
        <v>1345</v>
      </c>
      <c r="D667">
        <v>5693.776</v>
      </c>
      <c r="E667">
        <v>5693.776</v>
      </c>
      <c r="F667">
        <v>0.8565</v>
      </c>
      <c r="G667">
        <v>0</v>
      </c>
      <c r="H667">
        <v>0.487672</v>
      </c>
      <c r="I667">
        <v>0.481693</v>
      </c>
      <c r="J667">
        <v>0.005979</v>
      </c>
      <c r="K667" s="4">
        <f t="shared" si="30"/>
        <v>0.012412470183291</v>
      </c>
      <c r="L667" s="4">
        <f t="shared" si="31"/>
        <v>0</v>
      </c>
      <c r="M667" s="18">
        <f t="shared" si="32"/>
        <v>0</v>
      </c>
    </row>
    <row r="668" spans="1:13">
      <c r="A668" t="s">
        <v>13</v>
      </c>
      <c r="B668" t="s">
        <v>1346</v>
      </c>
      <c r="C668" t="s">
        <v>1347</v>
      </c>
      <c r="D668">
        <v>6588.5872</v>
      </c>
      <c r="E668">
        <v>6588.5872</v>
      </c>
      <c r="F668">
        <v>1.3569</v>
      </c>
      <c r="G668">
        <v>0</v>
      </c>
      <c r="H668">
        <v>0.894005</v>
      </c>
      <c r="I668">
        <v>0.888998</v>
      </c>
      <c r="J668">
        <v>0.005007</v>
      </c>
      <c r="K668" s="4">
        <f t="shared" si="30"/>
        <v>0.00563218364945703</v>
      </c>
      <c r="L668" s="4">
        <f t="shared" si="31"/>
        <v>0</v>
      </c>
      <c r="M668" s="18">
        <f t="shared" si="32"/>
        <v>0</v>
      </c>
    </row>
    <row r="669" spans="1:13">
      <c r="A669" t="s">
        <v>13</v>
      </c>
      <c r="B669" t="s">
        <v>1348</v>
      </c>
      <c r="C669" t="s">
        <v>1349</v>
      </c>
      <c r="D669">
        <v>283787.282</v>
      </c>
      <c r="E669">
        <v>287587.282</v>
      </c>
      <c r="F669">
        <v>2.1704</v>
      </c>
      <c r="G669">
        <v>-3800</v>
      </c>
      <c r="H669">
        <v>61.593192</v>
      </c>
      <c r="I669">
        <v>61.480409</v>
      </c>
      <c r="J669">
        <v>0.112783</v>
      </c>
      <c r="K669" s="4">
        <f t="shared" si="30"/>
        <v>0.00183445428933305</v>
      </c>
      <c r="L669" s="4">
        <f t="shared" si="31"/>
        <v>-0.013213379860101</v>
      </c>
      <c r="M669" s="18">
        <f t="shared" si="32"/>
        <v>-0.824752</v>
      </c>
    </row>
    <row r="670" spans="1:13">
      <c r="A670" t="s">
        <v>13</v>
      </c>
      <c r="B670" t="s">
        <v>1350</v>
      </c>
      <c r="C670" t="s">
        <v>1351</v>
      </c>
      <c r="D670">
        <v>284682.4777</v>
      </c>
      <c r="E670">
        <v>286282.4777</v>
      </c>
      <c r="F670">
        <v>2.1332</v>
      </c>
      <c r="G670">
        <v>-1600</v>
      </c>
      <c r="H670">
        <v>60.728466</v>
      </c>
      <c r="I670">
        <v>60.952402</v>
      </c>
      <c r="J670">
        <v>-0.223936</v>
      </c>
      <c r="K670" s="4">
        <f t="shared" si="30"/>
        <v>-0.00367394873133958</v>
      </c>
      <c r="L670" s="4">
        <f t="shared" si="31"/>
        <v>-0.00558888554009465</v>
      </c>
      <c r="M670" s="18">
        <f t="shared" si="32"/>
        <v>-0.341312</v>
      </c>
    </row>
    <row r="671" spans="1:13">
      <c r="A671" t="s">
        <v>13</v>
      </c>
      <c r="B671" t="s">
        <v>1352</v>
      </c>
      <c r="C671" t="s">
        <v>1353</v>
      </c>
      <c r="D671">
        <v>199353.6957</v>
      </c>
      <c r="E671">
        <v>201253.6957</v>
      </c>
      <c r="F671">
        <v>1.5066</v>
      </c>
      <c r="G671">
        <v>-1900</v>
      </c>
      <c r="H671">
        <v>30.034628</v>
      </c>
      <c r="I671">
        <v>30.842129</v>
      </c>
      <c r="J671">
        <v>-0.807501</v>
      </c>
      <c r="K671" s="4">
        <f t="shared" si="30"/>
        <v>-0.0261817528874223</v>
      </c>
      <c r="L671" s="4">
        <f t="shared" si="31"/>
        <v>-0.00944082042017378</v>
      </c>
      <c r="M671" s="18">
        <f t="shared" si="32"/>
        <v>-0.286254</v>
      </c>
    </row>
    <row r="672" spans="1:13">
      <c r="A672" t="s">
        <v>13</v>
      </c>
      <c r="B672" t="s">
        <v>1354</v>
      </c>
      <c r="C672" t="s">
        <v>1355</v>
      </c>
      <c r="D672">
        <v>13621.1253</v>
      </c>
      <c r="E672">
        <v>13621.1253</v>
      </c>
      <c r="F672">
        <v>2.2922</v>
      </c>
      <c r="G672">
        <v>0</v>
      </c>
      <c r="H672">
        <v>3.122234</v>
      </c>
      <c r="I672">
        <v>3.079055</v>
      </c>
      <c r="J672">
        <v>0.043179</v>
      </c>
      <c r="K672" s="4">
        <f t="shared" si="30"/>
        <v>0.0140234584961945</v>
      </c>
      <c r="L672" s="4">
        <f t="shared" si="31"/>
        <v>0</v>
      </c>
      <c r="M672" s="18">
        <f t="shared" si="32"/>
        <v>0</v>
      </c>
    </row>
    <row r="673" spans="1:13">
      <c r="A673" t="s">
        <v>13</v>
      </c>
      <c r="B673" t="s">
        <v>1356</v>
      </c>
      <c r="C673" t="s">
        <v>1357</v>
      </c>
      <c r="D673">
        <v>150072.4066</v>
      </c>
      <c r="E673">
        <v>149952.4066</v>
      </c>
      <c r="F673">
        <v>1.9793</v>
      </c>
      <c r="G673">
        <v>120</v>
      </c>
      <c r="H673">
        <v>29.703831</v>
      </c>
      <c r="I673">
        <v>29.479144</v>
      </c>
      <c r="J673">
        <v>0.224687</v>
      </c>
      <c r="K673" s="4">
        <f t="shared" si="30"/>
        <v>0.00762189702658937</v>
      </c>
      <c r="L673" s="4">
        <f t="shared" si="31"/>
        <v>0.000800253912030245</v>
      </c>
      <c r="M673" s="18">
        <f t="shared" si="32"/>
        <v>0.0237516</v>
      </c>
    </row>
    <row r="674" spans="1:13">
      <c r="A674" t="s">
        <v>13</v>
      </c>
      <c r="B674" t="s">
        <v>1358</v>
      </c>
      <c r="C674" t="s">
        <v>1359</v>
      </c>
      <c r="D674">
        <v>9426.3172</v>
      </c>
      <c r="E674">
        <v>9706.3172</v>
      </c>
      <c r="F674">
        <v>0.9977</v>
      </c>
      <c r="G674">
        <v>-280</v>
      </c>
      <c r="H674">
        <v>0.940464</v>
      </c>
      <c r="I674">
        <v>0.954519</v>
      </c>
      <c r="J674">
        <v>-0.014055</v>
      </c>
      <c r="K674" s="4">
        <f t="shared" si="30"/>
        <v>-0.0147246937986567</v>
      </c>
      <c r="L674" s="4">
        <f t="shared" si="31"/>
        <v>-0.0288471924243317</v>
      </c>
      <c r="M674" s="18">
        <f t="shared" si="32"/>
        <v>-0.0279356</v>
      </c>
    </row>
    <row r="675" spans="1:13">
      <c r="A675" t="s">
        <v>13</v>
      </c>
      <c r="B675" t="s">
        <v>1360</v>
      </c>
      <c r="C675" t="s">
        <v>1361</v>
      </c>
      <c r="D675">
        <v>1906738.1217</v>
      </c>
      <c r="E675">
        <v>1933378.1217</v>
      </c>
      <c r="F675">
        <v>0.716</v>
      </c>
      <c r="G675">
        <v>-26640</v>
      </c>
      <c r="H675">
        <v>136.52245</v>
      </c>
      <c r="I675">
        <v>139.319227</v>
      </c>
      <c r="J675">
        <v>-2.796777</v>
      </c>
      <c r="K675" s="4">
        <f t="shared" si="30"/>
        <v>-0.02007459458557</v>
      </c>
      <c r="L675" s="4">
        <f t="shared" si="31"/>
        <v>-0.0137789911352549</v>
      </c>
      <c r="M675" s="18">
        <f t="shared" si="32"/>
        <v>-1.907424</v>
      </c>
    </row>
    <row r="676" spans="1:13">
      <c r="A676" t="s">
        <v>13</v>
      </c>
      <c r="B676" t="s">
        <v>1362</v>
      </c>
      <c r="C676" t="s">
        <v>1363</v>
      </c>
      <c r="D676">
        <v>310269.7982</v>
      </c>
      <c r="E676">
        <v>309419.7982</v>
      </c>
      <c r="F676">
        <v>1.1755</v>
      </c>
      <c r="G676">
        <v>850</v>
      </c>
      <c r="H676">
        <v>36.472215</v>
      </c>
      <c r="I676">
        <v>36.452746</v>
      </c>
      <c r="J676">
        <v>0.019469</v>
      </c>
      <c r="K676" s="4">
        <f t="shared" si="30"/>
        <v>0.000534088707610669</v>
      </c>
      <c r="L676" s="4">
        <f t="shared" si="31"/>
        <v>0.00274707696451468</v>
      </c>
      <c r="M676" s="18">
        <f t="shared" si="32"/>
        <v>0.0999175</v>
      </c>
    </row>
    <row r="677" spans="1:13">
      <c r="A677" t="s">
        <v>13</v>
      </c>
      <c r="B677" t="s">
        <v>1364</v>
      </c>
      <c r="C677" t="s">
        <v>1365</v>
      </c>
      <c r="D677">
        <v>244300.3358</v>
      </c>
      <c r="E677">
        <v>247500.3358</v>
      </c>
      <c r="F677">
        <v>1.6237</v>
      </c>
      <c r="G677">
        <v>-3200</v>
      </c>
      <c r="H677">
        <v>39.667046</v>
      </c>
      <c r="I677">
        <v>39.206528</v>
      </c>
      <c r="J677">
        <v>0.460518</v>
      </c>
      <c r="K677" s="4">
        <f t="shared" si="30"/>
        <v>0.0117459521026702</v>
      </c>
      <c r="L677" s="4">
        <f t="shared" si="31"/>
        <v>-0.01292927538727</v>
      </c>
      <c r="M677" s="18">
        <f t="shared" si="32"/>
        <v>-0.519584</v>
      </c>
    </row>
    <row r="678" spans="1:13">
      <c r="A678" t="s">
        <v>13</v>
      </c>
      <c r="B678" t="s">
        <v>1366</v>
      </c>
      <c r="C678" t="s">
        <v>1367</v>
      </c>
      <c r="D678">
        <v>1013576.3006</v>
      </c>
      <c r="E678">
        <v>1034156.3006</v>
      </c>
      <c r="F678">
        <v>2.691</v>
      </c>
      <c r="G678">
        <v>-20580</v>
      </c>
      <c r="H678">
        <v>272.753382</v>
      </c>
      <c r="I678">
        <v>262.458528</v>
      </c>
      <c r="J678">
        <v>10.294854</v>
      </c>
      <c r="K678" s="4">
        <f t="shared" si="30"/>
        <v>0.0392246884810693</v>
      </c>
      <c r="L678" s="4">
        <f t="shared" si="31"/>
        <v>-0.0199002800525025</v>
      </c>
      <c r="M678" s="18">
        <f t="shared" si="32"/>
        <v>-5.538078</v>
      </c>
    </row>
    <row r="679" spans="1:13">
      <c r="A679" t="s">
        <v>13</v>
      </c>
      <c r="B679" t="s">
        <v>1368</v>
      </c>
      <c r="C679" t="s">
        <v>1369</v>
      </c>
      <c r="D679">
        <v>52055.4846</v>
      </c>
      <c r="E679">
        <v>54055.4846</v>
      </c>
      <c r="F679">
        <v>1.4697</v>
      </c>
      <c r="G679">
        <v>-2000</v>
      </c>
      <c r="H679">
        <v>7.650595</v>
      </c>
      <c r="I679">
        <v>7.946156</v>
      </c>
      <c r="J679">
        <v>-0.295561</v>
      </c>
      <c r="K679" s="4">
        <f t="shared" si="30"/>
        <v>-0.0371954691048099</v>
      </c>
      <c r="L679" s="4">
        <f t="shared" si="31"/>
        <v>-0.0369990208172142</v>
      </c>
      <c r="M679" s="18">
        <f t="shared" si="32"/>
        <v>-0.29394</v>
      </c>
    </row>
    <row r="680" spans="1:13">
      <c r="A680" t="s">
        <v>13</v>
      </c>
      <c r="B680" t="s">
        <v>1370</v>
      </c>
      <c r="C680" t="s">
        <v>1371</v>
      </c>
      <c r="D680">
        <v>69630.6634</v>
      </c>
      <c r="E680">
        <v>67430.6634</v>
      </c>
      <c r="F680">
        <v>2.4427</v>
      </c>
      <c r="G680">
        <v>2200</v>
      </c>
      <c r="H680">
        <v>17.008682</v>
      </c>
      <c r="I680">
        <v>15.728877</v>
      </c>
      <c r="J680">
        <v>1.279805</v>
      </c>
      <c r="K680" s="4">
        <f t="shared" si="30"/>
        <v>0.0813665845311143</v>
      </c>
      <c r="L680" s="4">
        <f t="shared" si="31"/>
        <v>0.0326261064191161</v>
      </c>
      <c r="M680" s="18">
        <f t="shared" si="32"/>
        <v>0.537394</v>
      </c>
    </row>
    <row r="681" spans="1:13">
      <c r="A681" t="s">
        <v>13</v>
      </c>
      <c r="B681" t="s">
        <v>1372</v>
      </c>
      <c r="C681" t="s">
        <v>1373</v>
      </c>
      <c r="D681">
        <v>164865.5354</v>
      </c>
      <c r="E681">
        <v>169425.5354</v>
      </c>
      <c r="F681">
        <v>0.9947</v>
      </c>
      <c r="G681">
        <v>-4560</v>
      </c>
      <c r="H681">
        <v>16.399175</v>
      </c>
      <c r="I681">
        <v>16.547792</v>
      </c>
      <c r="J681">
        <v>-0.148617</v>
      </c>
      <c r="K681" s="4">
        <f t="shared" si="30"/>
        <v>-0.00898107735461021</v>
      </c>
      <c r="L681" s="4">
        <f t="shared" si="31"/>
        <v>-0.0269144789139028</v>
      </c>
      <c r="M681" s="18">
        <f t="shared" si="32"/>
        <v>-0.4535832</v>
      </c>
    </row>
    <row r="682" spans="1:13">
      <c r="A682" t="s">
        <v>13</v>
      </c>
      <c r="B682" t="s">
        <v>1374</v>
      </c>
      <c r="C682" t="s">
        <v>1375</v>
      </c>
      <c r="D682">
        <v>1018.2444</v>
      </c>
      <c r="E682">
        <v>1018.2444</v>
      </c>
      <c r="F682">
        <v>1.1942</v>
      </c>
      <c r="G682">
        <v>0</v>
      </c>
      <c r="H682">
        <v>0.121599</v>
      </c>
      <c r="I682">
        <v>0.120703</v>
      </c>
      <c r="J682">
        <v>0.000896</v>
      </c>
      <c r="K682" s="4">
        <f t="shared" si="30"/>
        <v>0.00742317920847038</v>
      </c>
      <c r="L682" s="4">
        <f t="shared" si="31"/>
        <v>0</v>
      </c>
      <c r="M682" s="18">
        <f t="shared" si="32"/>
        <v>0</v>
      </c>
    </row>
    <row r="683" spans="1:13">
      <c r="A683" t="s">
        <v>13</v>
      </c>
      <c r="B683" t="s">
        <v>1376</v>
      </c>
      <c r="C683" t="s">
        <v>1377</v>
      </c>
      <c r="D683">
        <v>3430.6677</v>
      </c>
      <c r="E683">
        <v>3430.6677</v>
      </c>
      <c r="F683">
        <v>1.4362</v>
      </c>
      <c r="G683">
        <v>0</v>
      </c>
      <c r="H683">
        <v>0.492712</v>
      </c>
      <c r="I683">
        <v>0.489213</v>
      </c>
      <c r="J683">
        <v>0.003499</v>
      </c>
      <c r="K683" s="4">
        <f t="shared" si="30"/>
        <v>0.00715230380222929</v>
      </c>
      <c r="L683" s="4">
        <f t="shared" si="31"/>
        <v>0</v>
      </c>
      <c r="M683" s="18">
        <f t="shared" si="32"/>
        <v>0</v>
      </c>
    </row>
    <row r="684" spans="1:13">
      <c r="A684" t="s">
        <v>13</v>
      </c>
      <c r="B684" t="s">
        <v>1378</v>
      </c>
      <c r="C684" t="s">
        <v>1379</v>
      </c>
      <c r="D684">
        <v>3391.9373</v>
      </c>
      <c r="E684">
        <v>3418.9846</v>
      </c>
      <c r="F684">
        <v>2.4221</v>
      </c>
      <c r="G684">
        <v>-27.0473</v>
      </c>
      <c r="H684">
        <v>0.821561</v>
      </c>
      <c r="I684">
        <v>0.817001</v>
      </c>
      <c r="J684">
        <v>0.00456</v>
      </c>
      <c r="K684" s="4">
        <f t="shared" si="30"/>
        <v>0.00558138851727232</v>
      </c>
      <c r="L684" s="4">
        <f t="shared" si="31"/>
        <v>-0.00791091600705067</v>
      </c>
      <c r="M684" s="18">
        <f t="shared" si="32"/>
        <v>-0.006551126533</v>
      </c>
    </row>
    <row r="685" spans="1:13">
      <c r="A685" t="s">
        <v>13</v>
      </c>
      <c r="B685" t="s">
        <v>1380</v>
      </c>
      <c r="C685" t="s">
        <v>1381</v>
      </c>
      <c r="D685">
        <v>1706.0747</v>
      </c>
      <c r="E685">
        <v>1594.1322</v>
      </c>
      <c r="F685">
        <v>1.7243</v>
      </c>
      <c r="G685">
        <v>111.9425</v>
      </c>
      <c r="H685">
        <v>0.294178</v>
      </c>
      <c r="I685">
        <v>0.276438</v>
      </c>
      <c r="J685">
        <v>0.01774</v>
      </c>
      <c r="K685" s="4">
        <f t="shared" si="30"/>
        <v>0.0641735217300082</v>
      </c>
      <c r="L685" s="4">
        <f t="shared" si="31"/>
        <v>0.0702215914087927</v>
      </c>
      <c r="M685" s="18">
        <f t="shared" si="32"/>
        <v>0.019302245275</v>
      </c>
    </row>
    <row r="686" spans="1:13">
      <c r="A686" t="s">
        <v>13</v>
      </c>
      <c r="B686" t="s">
        <v>1382</v>
      </c>
      <c r="C686" t="s">
        <v>1383</v>
      </c>
      <c r="D686">
        <v>3281.4428</v>
      </c>
      <c r="E686">
        <v>3281.4428</v>
      </c>
      <c r="F686">
        <v>0.8554</v>
      </c>
      <c r="G686">
        <v>0</v>
      </c>
      <c r="H686">
        <v>0.280695</v>
      </c>
      <c r="I686">
        <v>0.279841</v>
      </c>
      <c r="J686">
        <v>0.000854</v>
      </c>
      <c r="K686" s="4">
        <f t="shared" si="30"/>
        <v>0.00305173294835281</v>
      </c>
      <c r="L686" s="4">
        <f t="shared" si="31"/>
        <v>0</v>
      </c>
      <c r="M686" s="18">
        <f t="shared" si="32"/>
        <v>0</v>
      </c>
    </row>
    <row r="687" spans="1:13">
      <c r="A687" t="s">
        <v>13</v>
      </c>
      <c r="B687" t="s">
        <v>1384</v>
      </c>
      <c r="C687" t="s">
        <v>1385</v>
      </c>
      <c r="D687">
        <v>4428.7409</v>
      </c>
      <c r="E687">
        <v>4428.7409</v>
      </c>
      <c r="F687">
        <v>1.029</v>
      </c>
      <c r="G687">
        <v>0</v>
      </c>
      <c r="H687">
        <v>0.455717</v>
      </c>
      <c r="I687">
        <v>0.455717</v>
      </c>
      <c r="J687">
        <v>0</v>
      </c>
      <c r="K687" s="4">
        <f t="shared" si="30"/>
        <v>0</v>
      </c>
      <c r="L687" s="4">
        <f t="shared" si="31"/>
        <v>0</v>
      </c>
      <c r="M687" s="18">
        <f t="shared" si="32"/>
        <v>0</v>
      </c>
    </row>
    <row r="688" spans="1:13">
      <c r="A688" t="s">
        <v>13</v>
      </c>
      <c r="B688" t="s">
        <v>1386</v>
      </c>
      <c r="C688" t="s">
        <v>1387</v>
      </c>
      <c r="D688">
        <v>11062.6563</v>
      </c>
      <c r="E688">
        <v>11421.2917</v>
      </c>
      <c r="F688">
        <v>4.1687</v>
      </c>
      <c r="G688">
        <v>-358.6354</v>
      </c>
      <c r="H688">
        <v>4.61169</v>
      </c>
      <c r="I688">
        <v>4.72042</v>
      </c>
      <c r="J688">
        <v>-0.10873</v>
      </c>
      <c r="K688" s="4">
        <f t="shared" si="30"/>
        <v>-0.0230339673164676</v>
      </c>
      <c r="L688" s="4">
        <f t="shared" si="31"/>
        <v>-0.0314005989357578</v>
      </c>
      <c r="M688" s="18">
        <f t="shared" si="32"/>
        <v>-0.149504339198</v>
      </c>
    </row>
    <row r="689" spans="1:13">
      <c r="A689" t="s">
        <v>13</v>
      </c>
      <c r="B689" t="s">
        <v>1388</v>
      </c>
      <c r="C689" t="s">
        <v>1389</v>
      </c>
      <c r="D689">
        <v>642.4423</v>
      </c>
      <c r="E689">
        <v>643.1802</v>
      </c>
      <c r="F689">
        <v>0.9968</v>
      </c>
      <c r="G689">
        <v>-0.7379</v>
      </c>
      <c r="H689">
        <v>0.064039</v>
      </c>
      <c r="I689">
        <v>0.064074</v>
      </c>
      <c r="J689">
        <v>-3.5e-5</v>
      </c>
      <c r="K689" s="4">
        <f t="shared" si="30"/>
        <v>-0.000546243406061741</v>
      </c>
      <c r="L689" s="4">
        <f t="shared" si="31"/>
        <v>-0.00114726790408033</v>
      </c>
      <c r="M689" s="18">
        <f t="shared" si="32"/>
        <v>-7.3553872e-5</v>
      </c>
    </row>
    <row r="690" spans="1:13">
      <c r="A690" t="s">
        <v>13</v>
      </c>
      <c r="B690" t="s">
        <v>1390</v>
      </c>
      <c r="C690" t="s">
        <v>1391</v>
      </c>
      <c r="D690">
        <v>6927.4715</v>
      </c>
      <c r="E690">
        <v>6848.8713</v>
      </c>
      <c r="F690">
        <v>1.4383</v>
      </c>
      <c r="G690">
        <v>78.6002</v>
      </c>
      <c r="H690">
        <v>0.996378</v>
      </c>
      <c r="I690">
        <v>0.982745</v>
      </c>
      <c r="J690">
        <v>0.013633</v>
      </c>
      <c r="K690" s="4">
        <f t="shared" si="30"/>
        <v>0.0138723677047454</v>
      </c>
      <c r="L690" s="4">
        <f t="shared" si="31"/>
        <v>0.0114763727564861</v>
      </c>
      <c r="M690" s="18">
        <f t="shared" si="32"/>
        <v>0.011305066766</v>
      </c>
    </row>
    <row r="691" spans="1:13">
      <c r="A691" t="s">
        <v>13</v>
      </c>
      <c r="B691" t="s">
        <v>1392</v>
      </c>
      <c r="C691" t="s">
        <v>1393</v>
      </c>
      <c r="D691">
        <v>3392.8844</v>
      </c>
      <c r="E691">
        <v>3394.8244</v>
      </c>
      <c r="F691">
        <v>1.1693</v>
      </c>
      <c r="G691">
        <v>-1.94</v>
      </c>
      <c r="H691">
        <v>0.39673</v>
      </c>
      <c r="I691">
        <v>0.393664</v>
      </c>
      <c r="J691">
        <v>0.003066</v>
      </c>
      <c r="K691" s="4">
        <f t="shared" si="30"/>
        <v>0.0077883677450821</v>
      </c>
      <c r="L691" s="4">
        <f t="shared" si="31"/>
        <v>-0.000571458129027249</v>
      </c>
      <c r="M691" s="18">
        <f t="shared" si="32"/>
        <v>-0.0002268442</v>
      </c>
    </row>
    <row r="692" spans="1:13">
      <c r="A692" t="s">
        <v>13</v>
      </c>
      <c r="B692" t="s">
        <v>1394</v>
      </c>
      <c r="C692" t="s">
        <v>1395</v>
      </c>
      <c r="D692">
        <v>2804.2134</v>
      </c>
      <c r="E692">
        <v>2804.2134</v>
      </c>
      <c r="F692">
        <v>2.0231</v>
      </c>
      <c r="G692">
        <v>0</v>
      </c>
      <c r="H692">
        <v>0.56732</v>
      </c>
      <c r="I692">
        <v>0.548476</v>
      </c>
      <c r="J692">
        <v>0.018844</v>
      </c>
      <c r="K692" s="4">
        <f t="shared" si="30"/>
        <v>0.0343570183563182</v>
      </c>
      <c r="L692" s="4">
        <f t="shared" si="31"/>
        <v>0</v>
      </c>
      <c r="M692" s="18">
        <f t="shared" si="32"/>
        <v>0</v>
      </c>
    </row>
    <row r="693" spans="1:13">
      <c r="A693" t="s">
        <v>13</v>
      </c>
      <c r="B693" t="s">
        <v>1396</v>
      </c>
      <c r="C693" t="s">
        <v>1397</v>
      </c>
      <c r="D693">
        <v>1518.6297</v>
      </c>
      <c r="E693">
        <v>1518.6008</v>
      </c>
      <c r="F693">
        <v>3.404</v>
      </c>
      <c r="G693">
        <v>0.0289</v>
      </c>
      <c r="H693">
        <v>0.516942</v>
      </c>
      <c r="I693">
        <v>0.514046</v>
      </c>
      <c r="J693">
        <v>0.002896</v>
      </c>
      <c r="K693" s="4">
        <f t="shared" si="30"/>
        <v>0.00563373705855118</v>
      </c>
      <c r="L693" s="4">
        <f t="shared" si="31"/>
        <v>1.90306761329386e-5</v>
      </c>
      <c r="M693" s="18">
        <f t="shared" si="32"/>
        <v>9.83756e-6</v>
      </c>
    </row>
    <row r="694" spans="1:13">
      <c r="A694" t="s">
        <v>13</v>
      </c>
      <c r="B694" t="s">
        <v>1398</v>
      </c>
      <c r="C694" t="s">
        <v>1399</v>
      </c>
      <c r="D694">
        <v>802.4124</v>
      </c>
      <c r="E694">
        <v>802.3035</v>
      </c>
      <c r="F694">
        <v>4.5235</v>
      </c>
      <c r="G694">
        <v>0.1089</v>
      </c>
      <c r="H694">
        <v>0.362971</v>
      </c>
      <c r="I694">
        <v>0.359633</v>
      </c>
      <c r="J694">
        <v>0.003338</v>
      </c>
      <c r="K694" s="4">
        <f t="shared" si="30"/>
        <v>0.00928168438380238</v>
      </c>
      <c r="L694" s="4">
        <f t="shared" si="31"/>
        <v>0.000135734170423116</v>
      </c>
      <c r="M694" s="18">
        <f t="shared" si="32"/>
        <v>4.9260915e-5</v>
      </c>
    </row>
    <row r="695" spans="1:13">
      <c r="A695" t="s">
        <v>13</v>
      </c>
      <c r="B695" t="s">
        <v>1400</v>
      </c>
      <c r="C695" t="s">
        <v>1401</v>
      </c>
      <c r="D695">
        <v>217.5669</v>
      </c>
      <c r="E695">
        <v>221.9554</v>
      </c>
      <c r="F695">
        <v>4.534</v>
      </c>
      <c r="G695">
        <v>-4.3885</v>
      </c>
      <c r="H695">
        <v>0.098645</v>
      </c>
      <c r="I695">
        <v>0.09826</v>
      </c>
      <c r="J695">
        <v>0.000385</v>
      </c>
      <c r="K695" s="4">
        <f t="shared" si="30"/>
        <v>0.00391817626704661</v>
      </c>
      <c r="L695" s="4">
        <f t="shared" si="31"/>
        <v>-0.0197719902286675</v>
      </c>
      <c r="M695" s="18">
        <f t="shared" si="32"/>
        <v>-0.0019897459</v>
      </c>
    </row>
    <row r="696" spans="1:13">
      <c r="A696" t="s">
        <v>13</v>
      </c>
      <c r="B696" t="s">
        <v>1402</v>
      </c>
      <c r="C696" t="s">
        <v>1403</v>
      </c>
      <c r="D696">
        <v>24648.8634</v>
      </c>
      <c r="E696">
        <v>24701.4657</v>
      </c>
      <c r="F696">
        <v>0.697</v>
      </c>
      <c r="G696">
        <v>-52.6023</v>
      </c>
      <c r="H696">
        <v>1.718026</v>
      </c>
      <c r="I696">
        <v>1.721692</v>
      </c>
      <c r="J696">
        <v>-0.003666</v>
      </c>
      <c r="K696" s="4">
        <f t="shared" si="30"/>
        <v>-0.00212930071116088</v>
      </c>
      <c r="L696" s="4">
        <f t="shared" si="31"/>
        <v>-0.0021295214073067</v>
      </c>
      <c r="M696" s="18">
        <f t="shared" si="32"/>
        <v>-0.00366638031</v>
      </c>
    </row>
    <row r="697" spans="1:13">
      <c r="A697" t="s">
        <v>13</v>
      </c>
      <c r="B697" t="s">
        <v>1404</v>
      </c>
      <c r="C697" t="s">
        <v>1405</v>
      </c>
      <c r="D697">
        <v>3008.6644</v>
      </c>
      <c r="E697">
        <v>3015.6747</v>
      </c>
      <c r="F697">
        <v>0.5699</v>
      </c>
      <c r="G697">
        <v>-7.0103</v>
      </c>
      <c r="H697">
        <v>0.171464</v>
      </c>
      <c r="I697">
        <v>0.173341</v>
      </c>
      <c r="J697">
        <v>-0.001877</v>
      </c>
      <c r="K697" s="4">
        <f t="shared" si="30"/>
        <v>-0.0108283672068351</v>
      </c>
      <c r="L697" s="4">
        <f t="shared" si="31"/>
        <v>-0.00232462075568028</v>
      </c>
      <c r="M697" s="18">
        <f t="shared" si="32"/>
        <v>-0.000399516997</v>
      </c>
    </row>
    <row r="698" spans="1:13">
      <c r="A698" t="s">
        <v>13</v>
      </c>
      <c r="B698" t="s">
        <v>1406</v>
      </c>
      <c r="C698" t="s">
        <v>1407</v>
      </c>
      <c r="D698">
        <v>15223.0468</v>
      </c>
      <c r="E698">
        <v>15223.084</v>
      </c>
      <c r="F698">
        <v>0.493</v>
      </c>
      <c r="G698">
        <v>-0.0372</v>
      </c>
      <c r="H698">
        <v>0.750496</v>
      </c>
      <c r="I698">
        <v>0.755826</v>
      </c>
      <c r="J698">
        <v>-0.00533</v>
      </c>
      <c r="K698" s="4">
        <f t="shared" si="30"/>
        <v>-0.00705188760376065</v>
      </c>
      <c r="L698" s="4">
        <f t="shared" si="31"/>
        <v>-2.44365727737339e-6</v>
      </c>
      <c r="M698" s="18">
        <f t="shared" si="32"/>
        <v>-1.83396e-6</v>
      </c>
    </row>
    <row r="699" spans="1:13">
      <c r="A699" t="s">
        <v>13</v>
      </c>
      <c r="B699" t="s">
        <v>1408</v>
      </c>
      <c r="C699" t="s">
        <v>1409</v>
      </c>
      <c r="D699">
        <v>505.2339</v>
      </c>
      <c r="E699">
        <v>504.5634</v>
      </c>
      <c r="F699">
        <v>5.5943</v>
      </c>
      <c r="G699">
        <v>0.6705</v>
      </c>
      <c r="H699">
        <v>0.282643</v>
      </c>
      <c r="I699">
        <v>0.27585</v>
      </c>
      <c r="J699">
        <v>0.006793</v>
      </c>
      <c r="K699" s="4">
        <f t="shared" si="30"/>
        <v>0.0246257023744789</v>
      </c>
      <c r="L699" s="4">
        <f t="shared" si="31"/>
        <v>0.00132887165418658</v>
      </c>
      <c r="M699" s="18">
        <f t="shared" si="32"/>
        <v>0.000375097815</v>
      </c>
    </row>
    <row r="700" spans="1:13">
      <c r="A700" t="s">
        <v>13</v>
      </c>
      <c r="B700" t="s">
        <v>1410</v>
      </c>
      <c r="C700" t="s">
        <v>1411</v>
      </c>
      <c r="D700">
        <v>4523.6432</v>
      </c>
      <c r="E700">
        <v>4620.5797</v>
      </c>
      <c r="F700">
        <v>2.4282</v>
      </c>
      <c r="G700">
        <v>-96.9365</v>
      </c>
      <c r="H700">
        <v>1.098431</v>
      </c>
      <c r="I700">
        <v>1.124326</v>
      </c>
      <c r="J700">
        <v>-0.025895</v>
      </c>
      <c r="K700" s="4">
        <f t="shared" si="30"/>
        <v>-0.0230315762510162</v>
      </c>
      <c r="L700" s="4">
        <f t="shared" si="31"/>
        <v>-0.0209792940050357</v>
      </c>
      <c r="M700" s="18">
        <f t="shared" si="32"/>
        <v>-0.02353812093</v>
      </c>
    </row>
    <row r="701" spans="1:13">
      <c r="A701" t="s">
        <v>13</v>
      </c>
      <c r="B701" t="s">
        <v>1412</v>
      </c>
      <c r="C701" t="s">
        <v>1413</v>
      </c>
      <c r="D701">
        <v>8635.5687</v>
      </c>
      <c r="E701">
        <v>8634.8758</v>
      </c>
      <c r="F701">
        <v>0.6462</v>
      </c>
      <c r="G701">
        <v>0.6929</v>
      </c>
      <c r="H701">
        <v>0.55803</v>
      </c>
      <c r="I701">
        <v>0.561785</v>
      </c>
      <c r="J701">
        <v>-0.003755</v>
      </c>
      <c r="K701" s="4">
        <f t="shared" si="30"/>
        <v>-0.00668405172797423</v>
      </c>
      <c r="L701" s="4">
        <f t="shared" si="31"/>
        <v>8.02443504746193e-5</v>
      </c>
      <c r="M701" s="18">
        <f t="shared" si="32"/>
        <v>4.4775198e-5</v>
      </c>
    </row>
    <row r="702" spans="1:13">
      <c r="A702" t="s">
        <v>13</v>
      </c>
      <c r="B702" t="s">
        <v>1414</v>
      </c>
      <c r="C702" t="s">
        <v>1415</v>
      </c>
      <c r="D702">
        <v>849.7169</v>
      </c>
      <c r="E702">
        <v>852.2069</v>
      </c>
      <c r="F702">
        <v>2.3015</v>
      </c>
      <c r="G702">
        <v>-2.49</v>
      </c>
      <c r="H702">
        <v>0.195562</v>
      </c>
      <c r="I702">
        <v>0.193221</v>
      </c>
      <c r="J702">
        <v>0.002341</v>
      </c>
      <c r="K702" s="4">
        <f t="shared" si="30"/>
        <v>0.0121156603060744</v>
      </c>
      <c r="L702" s="4">
        <f t="shared" si="31"/>
        <v>-0.00292182567402354</v>
      </c>
      <c r="M702" s="18">
        <f t="shared" si="32"/>
        <v>-0.0005730735</v>
      </c>
    </row>
    <row r="703" spans="1:13">
      <c r="A703" t="s">
        <v>13</v>
      </c>
      <c r="B703" t="s">
        <v>1416</v>
      </c>
      <c r="C703" t="s">
        <v>1417</v>
      </c>
      <c r="D703">
        <v>874.1901</v>
      </c>
      <c r="E703">
        <v>891.5501</v>
      </c>
      <c r="F703">
        <v>2.0574</v>
      </c>
      <c r="G703">
        <v>-17.36</v>
      </c>
      <c r="H703">
        <v>0.179856</v>
      </c>
      <c r="I703">
        <v>0.183392</v>
      </c>
      <c r="J703">
        <v>-0.003536</v>
      </c>
      <c r="K703" s="4">
        <f t="shared" si="30"/>
        <v>-0.0192811027743849</v>
      </c>
      <c r="L703" s="4">
        <f t="shared" si="31"/>
        <v>-0.0194717043944025</v>
      </c>
      <c r="M703" s="18">
        <f t="shared" si="32"/>
        <v>-0.0035716464</v>
      </c>
    </row>
    <row r="704" spans="1:13">
      <c r="A704" t="s">
        <v>13</v>
      </c>
      <c r="B704" t="s">
        <v>1418</v>
      </c>
      <c r="C704" t="s">
        <v>1419</v>
      </c>
      <c r="D704">
        <v>6256.8152</v>
      </c>
      <c r="E704">
        <v>6256.2199</v>
      </c>
      <c r="F704">
        <v>1.655</v>
      </c>
      <c r="G704">
        <v>0.5953</v>
      </c>
      <c r="H704">
        <v>1.035503</v>
      </c>
      <c r="I704">
        <v>1.040409</v>
      </c>
      <c r="J704">
        <v>-0.004906</v>
      </c>
      <c r="K704" s="4">
        <f t="shared" si="30"/>
        <v>-0.00471545324963548</v>
      </c>
      <c r="L704" s="4">
        <f t="shared" si="31"/>
        <v>9.51533049533556e-5</v>
      </c>
      <c r="M704" s="18">
        <f t="shared" si="32"/>
        <v>9.852215e-5</v>
      </c>
    </row>
    <row r="705" spans="1:13">
      <c r="A705" t="s">
        <v>13</v>
      </c>
      <c r="B705" t="s">
        <v>1420</v>
      </c>
      <c r="C705" t="s">
        <v>1421</v>
      </c>
      <c r="D705">
        <v>6188.9962</v>
      </c>
      <c r="E705">
        <v>6189.0262</v>
      </c>
      <c r="F705">
        <v>1.588</v>
      </c>
      <c r="G705">
        <v>-0.03</v>
      </c>
      <c r="H705">
        <v>0.982813</v>
      </c>
      <c r="I705">
        <v>0.965488</v>
      </c>
      <c r="J705">
        <v>0.017325</v>
      </c>
      <c r="K705" s="4">
        <f t="shared" si="30"/>
        <v>0.0179442934557447</v>
      </c>
      <c r="L705" s="4">
        <f t="shared" si="31"/>
        <v>-4.84728922308567e-6</v>
      </c>
      <c r="M705" s="18">
        <f t="shared" si="32"/>
        <v>-4.764e-6</v>
      </c>
    </row>
    <row r="706" spans="1:13">
      <c r="A706" t="s">
        <v>13</v>
      </c>
      <c r="B706" t="s">
        <v>1422</v>
      </c>
      <c r="C706" t="s">
        <v>1423</v>
      </c>
      <c r="D706">
        <v>1430.0157</v>
      </c>
      <c r="E706">
        <v>1430.0157</v>
      </c>
      <c r="F706">
        <v>1.099</v>
      </c>
      <c r="G706">
        <v>0</v>
      </c>
      <c r="H706">
        <v>0.157159</v>
      </c>
      <c r="I706">
        <v>0.156043</v>
      </c>
      <c r="J706">
        <v>0.001116</v>
      </c>
      <c r="K706" s="4">
        <f t="shared" ref="K706:K769" si="33">IFERROR(J706/I706,"")</f>
        <v>0.00715187480374</v>
      </c>
      <c r="L706" s="4">
        <f t="shared" ref="L706:L769" si="34">IFERROR((D706-E706)/E706,"")</f>
        <v>0</v>
      </c>
      <c r="M706" s="18">
        <f t="shared" ref="M706:M769" si="35">IFERROR(F706*G706/10000,"")</f>
        <v>0</v>
      </c>
    </row>
    <row r="707" spans="1:13">
      <c r="A707" t="s">
        <v>13</v>
      </c>
      <c r="B707" t="s">
        <v>1424</v>
      </c>
      <c r="C707" t="s">
        <v>1425</v>
      </c>
      <c r="D707">
        <v>6870.2174</v>
      </c>
      <c r="E707">
        <v>6860.307</v>
      </c>
      <c r="F707">
        <v>1.77</v>
      </c>
      <c r="G707">
        <v>9.9104</v>
      </c>
      <c r="H707">
        <v>1.216028</v>
      </c>
      <c r="I707">
        <v>1.213588</v>
      </c>
      <c r="J707">
        <v>0.00244</v>
      </c>
      <c r="K707" s="4">
        <f t="shared" si="33"/>
        <v>0.00201056701285774</v>
      </c>
      <c r="L707" s="4">
        <f t="shared" si="34"/>
        <v>0.00144460007402011</v>
      </c>
      <c r="M707" s="18">
        <f t="shared" si="35"/>
        <v>0.0017541408</v>
      </c>
    </row>
    <row r="708" spans="1:13">
      <c r="A708" t="s">
        <v>13</v>
      </c>
      <c r="B708" t="s">
        <v>1426</v>
      </c>
      <c r="C708" t="s">
        <v>1427</v>
      </c>
      <c r="D708">
        <v>1110.1394</v>
      </c>
      <c r="E708">
        <v>1127.5442</v>
      </c>
      <c r="F708">
        <v>3.5252</v>
      </c>
      <c r="G708">
        <v>-17.4048</v>
      </c>
      <c r="H708">
        <v>0.391346</v>
      </c>
      <c r="I708">
        <v>0.382508</v>
      </c>
      <c r="J708">
        <v>0.008838</v>
      </c>
      <c r="K708" s="4">
        <f t="shared" si="33"/>
        <v>0.0231053991027639</v>
      </c>
      <c r="L708" s="4">
        <f t="shared" si="34"/>
        <v>-0.0154360245922067</v>
      </c>
      <c r="M708" s="18">
        <f t="shared" si="35"/>
        <v>-0.006135540096</v>
      </c>
    </row>
    <row r="709" spans="1:13">
      <c r="A709" t="s">
        <v>13</v>
      </c>
      <c r="B709" t="s">
        <v>1428</v>
      </c>
      <c r="C709" t="s">
        <v>1429</v>
      </c>
      <c r="D709">
        <v>11714.2764</v>
      </c>
      <c r="E709">
        <v>11714.2764</v>
      </c>
      <c r="F709">
        <v>1.9543</v>
      </c>
      <c r="G709">
        <v>0</v>
      </c>
      <c r="H709">
        <v>2.289321</v>
      </c>
      <c r="I709">
        <v>2.256287</v>
      </c>
      <c r="J709">
        <v>0.033034</v>
      </c>
      <c r="K709" s="4">
        <f t="shared" si="33"/>
        <v>0.0146408679392294</v>
      </c>
      <c r="L709" s="4">
        <f t="shared" si="34"/>
        <v>0</v>
      </c>
      <c r="M709" s="18">
        <f t="shared" si="35"/>
        <v>0</v>
      </c>
    </row>
    <row r="710" spans="1:13">
      <c r="A710" t="s">
        <v>13</v>
      </c>
      <c r="B710" t="s">
        <v>1430</v>
      </c>
      <c r="C710" t="s">
        <v>1431</v>
      </c>
      <c r="D710">
        <v>6903.6431</v>
      </c>
      <c r="E710">
        <v>6908.6431</v>
      </c>
      <c r="F710">
        <v>0.9661</v>
      </c>
      <c r="G710">
        <v>-5</v>
      </c>
      <c r="H710">
        <v>0.666961</v>
      </c>
      <c r="I710">
        <v>0.66171</v>
      </c>
      <c r="J710">
        <v>0.005251</v>
      </c>
      <c r="K710" s="4">
        <f t="shared" si="33"/>
        <v>0.00793550044581463</v>
      </c>
      <c r="L710" s="4">
        <f t="shared" si="34"/>
        <v>-0.000723731118777868</v>
      </c>
      <c r="M710" s="18">
        <f t="shared" si="35"/>
        <v>-0.00048305</v>
      </c>
    </row>
    <row r="711" spans="1:13">
      <c r="A711" t="s">
        <v>13</v>
      </c>
      <c r="B711" t="s">
        <v>1432</v>
      </c>
      <c r="C711" t="s">
        <v>1433</v>
      </c>
      <c r="D711">
        <v>16481.4291</v>
      </c>
      <c r="E711">
        <v>16488.7052</v>
      </c>
      <c r="F711">
        <v>2.0059</v>
      </c>
      <c r="G711">
        <v>-7.2761</v>
      </c>
      <c r="H711">
        <v>3.30601</v>
      </c>
      <c r="I711">
        <v>3.330224</v>
      </c>
      <c r="J711">
        <v>-0.024214</v>
      </c>
      <c r="K711" s="4">
        <f t="shared" si="33"/>
        <v>-0.00727098237235693</v>
      </c>
      <c r="L711" s="4">
        <f t="shared" si="34"/>
        <v>-0.000441277826957518</v>
      </c>
      <c r="M711" s="18">
        <f t="shared" si="35"/>
        <v>-0.001459512899</v>
      </c>
    </row>
    <row r="712" spans="1:13">
      <c r="A712" t="s">
        <v>13</v>
      </c>
      <c r="B712" t="s">
        <v>1434</v>
      </c>
      <c r="C712" t="s">
        <v>1435</v>
      </c>
      <c r="D712">
        <v>1160.3223</v>
      </c>
      <c r="E712">
        <v>1160.3223</v>
      </c>
      <c r="F712">
        <v>2.0962</v>
      </c>
      <c r="G712">
        <v>0</v>
      </c>
      <c r="H712">
        <v>0.243227</v>
      </c>
      <c r="I712">
        <v>0.238585</v>
      </c>
      <c r="J712">
        <v>0.004642</v>
      </c>
      <c r="K712" s="4">
        <f t="shared" si="33"/>
        <v>0.0194563782299809</v>
      </c>
      <c r="L712" s="4">
        <f t="shared" si="34"/>
        <v>0</v>
      </c>
      <c r="M712" s="18">
        <f t="shared" si="35"/>
        <v>0</v>
      </c>
    </row>
    <row r="713" spans="1:13">
      <c r="A713" t="s">
        <v>13</v>
      </c>
      <c r="B713" t="s">
        <v>1436</v>
      </c>
      <c r="C713" t="s">
        <v>1437</v>
      </c>
      <c r="D713">
        <v>16258.9756</v>
      </c>
      <c r="E713">
        <v>16258.9756</v>
      </c>
      <c r="F713">
        <v>1.158</v>
      </c>
      <c r="G713">
        <v>0</v>
      </c>
      <c r="H713">
        <v>1.882789</v>
      </c>
      <c r="I713">
        <v>1.900674</v>
      </c>
      <c r="J713">
        <v>-0.017885</v>
      </c>
      <c r="K713" s="4">
        <f t="shared" si="33"/>
        <v>-0.00940981988494608</v>
      </c>
      <c r="L713" s="4">
        <f t="shared" si="34"/>
        <v>0</v>
      </c>
      <c r="M713" s="18">
        <f t="shared" si="35"/>
        <v>0</v>
      </c>
    </row>
    <row r="714" spans="1:13">
      <c r="A714" t="s">
        <v>13</v>
      </c>
      <c r="B714" t="s">
        <v>1438</v>
      </c>
      <c r="C714" t="s">
        <v>1439</v>
      </c>
      <c r="D714">
        <v>1040.2115</v>
      </c>
      <c r="E714">
        <v>1056.2115</v>
      </c>
      <c r="F714">
        <v>3.491</v>
      </c>
      <c r="G714">
        <v>-16</v>
      </c>
      <c r="H714">
        <v>0.363138</v>
      </c>
      <c r="I714">
        <v>0.362175</v>
      </c>
      <c r="J714">
        <v>0.000963</v>
      </c>
      <c r="K714" s="4">
        <f t="shared" si="33"/>
        <v>0.00265893559743218</v>
      </c>
      <c r="L714" s="4">
        <f t="shared" si="34"/>
        <v>-0.015148481151739</v>
      </c>
      <c r="M714" s="18">
        <f t="shared" si="35"/>
        <v>-0.0055856</v>
      </c>
    </row>
    <row r="715" spans="1:13">
      <c r="A715" t="s">
        <v>13</v>
      </c>
      <c r="B715" t="s">
        <v>1440</v>
      </c>
      <c r="C715" t="s">
        <v>1441</v>
      </c>
      <c r="D715">
        <v>421.381</v>
      </c>
      <c r="E715">
        <v>420.801</v>
      </c>
      <c r="F715">
        <v>2.2129</v>
      </c>
      <c r="G715">
        <v>0.58</v>
      </c>
      <c r="H715">
        <v>0.093247</v>
      </c>
      <c r="I715">
        <v>0.093216</v>
      </c>
      <c r="J715">
        <v>3.1e-5</v>
      </c>
      <c r="K715" s="4">
        <f t="shared" si="33"/>
        <v>0.00033256093374528</v>
      </c>
      <c r="L715" s="4">
        <f t="shared" si="34"/>
        <v>0.00137832372071355</v>
      </c>
      <c r="M715" s="18">
        <f t="shared" si="35"/>
        <v>0.0001283482</v>
      </c>
    </row>
    <row r="716" spans="1:13">
      <c r="A716" t="s">
        <v>13</v>
      </c>
      <c r="B716" t="s">
        <v>1442</v>
      </c>
      <c r="C716" t="s">
        <v>1443</v>
      </c>
      <c r="D716">
        <v>306.0394</v>
      </c>
      <c r="E716">
        <v>306.0394</v>
      </c>
      <c r="F716">
        <v>1.0514</v>
      </c>
      <c r="G716">
        <v>0</v>
      </c>
      <c r="H716">
        <v>0.032177</v>
      </c>
      <c r="I716">
        <v>0.032128</v>
      </c>
      <c r="J716">
        <v>4.9e-5</v>
      </c>
      <c r="K716" s="4">
        <f t="shared" si="33"/>
        <v>0.00152514940239044</v>
      </c>
      <c r="L716" s="4">
        <f t="shared" si="34"/>
        <v>0</v>
      </c>
      <c r="M716" s="18">
        <f t="shared" si="35"/>
        <v>0</v>
      </c>
    </row>
    <row r="717" spans="1:13">
      <c r="A717" t="s">
        <v>13</v>
      </c>
      <c r="B717" t="s">
        <v>1444</v>
      </c>
      <c r="C717" t="s">
        <v>1445</v>
      </c>
      <c r="D717">
        <v>1583.3947</v>
      </c>
      <c r="E717">
        <v>1584.1948</v>
      </c>
      <c r="F717">
        <v>2.903</v>
      </c>
      <c r="G717">
        <v>-0.8001</v>
      </c>
      <c r="H717">
        <v>0.459659</v>
      </c>
      <c r="I717">
        <v>0.45308</v>
      </c>
      <c r="J717">
        <v>0.006579</v>
      </c>
      <c r="K717" s="4">
        <f t="shared" si="33"/>
        <v>0.0145206144610223</v>
      </c>
      <c r="L717" s="4">
        <f t="shared" si="34"/>
        <v>-0.00050505152522905</v>
      </c>
      <c r="M717" s="18">
        <f t="shared" si="35"/>
        <v>-0.00023226903</v>
      </c>
    </row>
    <row r="718" spans="1:13">
      <c r="A718" t="s">
        <v>13</v>
      </c>
      <c r="B718" t="s">
        <v>1446</v>
      </c>
      <c r="C718" t="s">
        <v>1447</v>
      </c>
      <c r="D718">
        <v>179.6323</v>
      </c>
      <c r="E718">
        <v>179.6323</v>
      </c>
      <c r="F718">
        <v>1.3613</v>
      </c>
      <c r="G718">
        <v>0</v>
      </c>
      <c r="H718">
        <v>0.024453</v>
      </c>
      <c r="I718">
        <v>0.024272</v>
      </c>
      <c r="J718">
        <v>0.000181</v>
      </c>
      <c r="K718" s="4">
        <f t="shared" si="33"/>
        <v>0.00745715227422545</v>
      </c>
      <c r="L718" s="4">
        <f t="shared" si="34"/>
        <v>0</v>
      </c>
      <c r="M718" s="18">
        <f t="shared" si="35"/>
        <v>0</v>
      </c>
    </row>
    <row r="719" spans="1:13">
      <c r="A719" t="s">
        <v>13</v>
      </c>
      <c r="B719" t="s">
        <v>1448</v>
      </c>
      <c r="C719" t="s">
        <v>1449</v>
      </c>
      <c r="D719">
        <v>485.9943</v>
      </c>
      <c r="E719">
        <v>485.9943</v>
      </c>
      <c r="F719">
        <v>0.8837</v>
      </c>
      <c r="G719">
        <v>0</v>
      </c>
      <c r="H719">
        <v>0.042947</v>
      </c>
      <c r="I719">
        <v>0.043608</v>
      </c>
      <c r="J719">
        <v>-0.000661</v>
      </c>
      <c r="K719" s="4">
        <f t="shared" si="33"/>
        <v>-0.0151577692166575</v>
      </c>
      <c r="L719" s="4">
        <f t="shared" si="34"/>
        <v>0</v>
      </c>
      <c r="M719" s="18">
        <f t="shared" si="35"/>
        <v>0</v>
      </c>
    </row>
    <row r="720" spans="1:13">
      <c r="A720" t="s">
        <v>13</v>
      </c>
      <c r="B720" t="s">
        <v>1450</v>
      </c>
      <c r="C720" t="s">
        <v>1451</v>
      </c>
      <c r="D720">
        <v>3738.6596</v>
      </c>
      <c r="E720">
        <v>3738.6596</v>
      </c>
      <c r="F720">
        <v>1.8323</v>
      </c>
      <c r="G720">
        <v>0</v>
      </c>
      <c r="H720">
        <v>0.685035</v>
      </c>
      <c r="I720">
        <v>0.667201</v>
      </c>
      <c r="J720">
        <v>0.017834</v>
      </c>
      <c r="K720" s="4">
        <f t="shared" si="33"/>
        <v>0.0267295762446399</v>
      </c>
      <c r="L720" s="4">
        <f t="shared" si="34"/>
        <v>0</v>
      </c>
      <c r="M720" s="18">
        <f t="shared" si="35"/>
        <v>0</v>
      </c>
    </row>
    <row r="721" spans="1:13">
      <c r="A721" t="s">
        <v>13</v>
      </c>
      <c r="B721" t="s">
        <v>1452</v>
      </c>
      <c r="C721" t="s">
        <v>1453</v>
      </c>
      <c r="D721">
        <v>5430.7707</v>
      </c>
      <c r="E721">
        <v>5458.9707</v>
      </c>
      <c r="F721">
        <v>0.984</v>
      </c>
      <c r="G721">
        <v>-28.2</v>
      </c>
      <c r="H721">
        <v>0.534388</v>
      </c>
      <c r="I721">
        <v>0.522969</v>
      </c>
      <c r="J721">
        <v>0.011419</v>
      </c>
      <c r="K721" s="4">
        <f t="shared" si="33"/>
        <v>0.0218349462396433</v>
      </c>
      <c r="L721" s="4">
        <f t="shared" si="34"/>
        <v>-0.00516580900498327</v>
      </c>
      <c r="M721" s="18">
        <f t="shared" si="35"/>
        <v>-0.00277488</v>
      </c>
    </row>
    <row r="722" spans="1:13">
      <c r="A722" t="s">
        <v>13</v>
      </c>
      <c r="B722" t="s">
        <v>1454</v>
      </c>
      <c r="C722" t="s">
        <v>1455</v>
      </c>
      <c r="D722">
        <v>2508.2967</v>
      </c>
      <c r="E722">
        <v>2512.9324</v>
      </c>
      <c r="F722">
        <v>1.352</v>
      </c>
      <c r="G722">
        <v>-4.6357</v>
      </c>
      <c r="H722">
        <v>0.339122</v>
      </c>
      <c r="I722">
        <v>0.333969</v>
      </c>
      <c r="J722">
        <v>0.005153</v>
      </c>
      <c r="K722" s="4">
        <f t="shared" si="33"/>
        <v>0.0154295757989514</v>
      </c>
      <c r="L722" s="4">
        <f t="shared" si="34"/>
        <v>-0.00184473724800566</v>
      </c>
      <c r="M722" s="18">
        <f t="shared" si="35"/>
        <v>-0.00062674664</v>
      </c>
    </row>
    <row r="723" spans="1:13">
      <c r="A723" t="s">
        <v>13</v>
      </c>
      <c r="B723" t="s">
        <v>1456</v>
      </c>
      <c r="C723" t="s">
        <v>1457</v>
      </c>
      <c r="D723">
        <v>5861.5614</v>
      </c>
      <c r="E723">
        <v>5862.5844</v>
      </c>
      <c r="F723">
        <v>1.2663</v>
      </c>
      <c r="G723">
        <v>-1.023</v>
      </c>
      <c r="H723">
        <v>0.74225</v>
      </c>
      <c r="I723">
        <v>0.749004</v>
      </c>
      <c r="J723">
        <v>-0.006754</v>
      </c>
      <c r="K723" s="4">
        <f t="shared" si="33"/>
        <v>-0.00901730831878067</v>
      </c>
      <c r="L723" s="4">
        <f t="shared" si="34"/>
        <v>-0.000174496421748766</v>
      </c>
      <c r="M723" s="18">
        <f t="shared" si="35"/>
        <v>-0.00012954249</v>
      </c>
    </row>
    <row r="724" spans="1:13">
      <c r="A724" t="s">
        <v>13</v>
      </c>
      <c r="B724" t="s">
        <v>1458</v>
      </c>
      <c r="C724" t="s">
        <v>1459</v>
      </c>
      <c r="D724">
        <v>783.1035</v>
      </c>
      <c r="E724">
        <v>783.1035</v>
      </c>
      <c r="F724">
        <v>1.1728</v>
      </c>
      <c r="G724">
        <v>0</v>
      </c>
      <c r="H724">
        <v>0.091842</v>
      </c>
      <c r="I724">
        <v>0.092524</v>
      </c>
      <c r="J724">
        <v>-0.000682</v>
      </c>
      <c r="K724" s="4">
        <f t="shared" si="33"/>
        <v>-0.00737106048160477</v>
      </c>
      <c r="L724" s="4">
        <f t="shared" si="34"/>
        <v>0</v>
      </c>
      <c r="M724" s="18">
        <f t="shared" si="35"/>
        <v>0</v>
      </c>
    </row>
    <row r="725" spans="1:13">
      <c r="A725" t="s">
        <v>13</v>
      </c>
      <c r="B725" t="s">
        <v>1460</v>
      </c>
      <c r="C725" t="s">
        <v>1461</v>
      </c>
      <c r="D725">
        <v>365.6085</v>
      </c>
      <c r="E725">
        <v>365.7481</v>
      </c>
      <c r="F725">
        <v>1.483</v>
      </c>
      <c r="G725">
        <v>-0.1396</v>
      </c>
      <c r="H725">
        <v>0.05422</v>
      </c>
      <c r="I725">
        <v>0.053747</v>
      </c>
      <c r="J725">
        <v>0.000473</v>
      </c>
      <c r="K725" s="4">
        <f t="shared" si="33"/>
        <v>0.00880049119020596</v>
      </c>
      <c r="L725" s="4">
        <f t="shared" si="34"/>
        <v>-0.000381683459189617</v>
      </c>
      <c r="M725" s="18">
        <f t="shared" si="35"/>
        <v>-2.070268e-5</v>
      </c>
    </row>
    <row r="726" spans="1:13">
      <c r="A726" t="s">
        <v>13</v>
      </c>
      <c r="B726" t="s">
        <v>1462</v>
      </c>
      <c r="C726" t="s">
        <v>1463</v>
      </c>
      <c r="D726">
        <v>370.4415</v>
      </c>
      <c r="E726">
        <v>370.4915</v>
      </c>
      <c r="F726">
        <v>2.5143</v>
      </c>
      <c r="G726">
        <v>-0.05</v>
      </c>
      <c r="H726">
        <v>0.09314</v>
      </c>
      <c r="I726">
        <v>0.091923</v>
      </c>
      <c r="J726">
        <v>0.001217</v>
      </c>
      <c r="K726" s="4">
        <f t="shared" si="33"/>
        <v>0.01323934162288</v>
      </c>
      <c r="L726" s="4">
        <f t="shared" si="34"/>
        <v>-0.000134955862684986</v>
      </c>
      <c r="M726" s="18">
        <f t="shared" si="35"/>
        <v>-1.25715e-5</v>
      </c>
    </row>
    <row r="727" spans="1:13">
      <c r="A727" t="s">
        <v>13</v>
      </c>
      <c r="B727" t="s">
        <v>1464</v>
      </c>
      <c r="C727" t="s">
        <v>1465</v>
      </c>
      <c r="D727">
        <v>150.5229</v>
      </c>
      <c r="E727">
        <v>150.5229</v>
      </c>
      <c r="F727">
        <v>1.1141</v>
      </c>
      <c r="G727">
        <v>0</v>
      </c>
      <c r="H727">
        <v>0.01677</v>
      </c>
      <c r="I727">
        <v>0.016776</v>
      </c>
      <c r="J727">
        <v>-6e-6</v>
      </c>
      <c r="K727" s="4">
        <f t="shared" si="33"/>
        <v>-0.000357653791130186</v>
      </c>
      <c r="L727" s="4">
        <f t="shared" si="34"/>
        <v>0</v>
      </c>
      <c r="M727" s="18">
        <f t="shared" si="35"/>
        <v>0</v>
      </c>
    </row>
    <row r="728" spans="1:13">
      <c r="A728" t="s">
        <v>13</v>
      </c>
      <c r="B728" t="s">
        <v>1466</v>
      </c>
      <c r="C728" t="s">
        <v>1467</v>
      </c>
      <c r="D728">
        <v>4531.9924</v>
      </c>
      <c r="E728">
        <v>4531.9924</v>
      </c>
      <c r="F728">
        <v>1.6292</v>
      </c>
      <c r="G728">
        <v>0</v>
      </c>
      <c r="H728">
        <v>0.738352</v>
      </c>
      <c r="I728">
        <v>0.738307</v>
      </c>
      <c r="J728">
        <v>4.5e-5</v>
      </c>
      <c r="K728" s="4">
        <f t="shared" si="33"/>
        <v>6.09502551106789e-5</v>
      </c>
      <c r="L728" s="4">
        <f t="shared" si="34"/>
        <v>0</v>
      </c>
      <c r="M728" s="18">
        <f t="shared" si="35"/>
        <v>0</v>
      </c>
    </row>
    <row r="729" spans="1:13">
      <c r="A729" t="s">
        <v>13</v>
      </c>
      <c r="B729" t="s">
        <v>1468</v>
      </c>
      <c r="C729" t="s">
        <v>1469</v>
      </c>
      <c r="D729">
        <v>690.3343</v>
      </c>
      <c r="E729">
        <v>692.8645</v>
      </c>
      <c r="F729">
        <v>3.0248</v>
      </c>
      <c r="G729">
        <v>-2.5302</v>
      </c>
      <c r="H729">
        <v>0.208812</v>
      </c>
      <c r="I729">
        <v>0.209467</v>
      </c>
      <c r="J729">
        <v>-0.000655</v>
      </c>
      <c r="K729" s="4">
        <f t="shared" si="33"/>
        <v>-0.00312698420276225</v>
      </c>
      <c r="L729" s="4">
        <f t="shared" si="34"/>
        <v>-0.00365179627474064</v>
      </c>
      <c r="M729" s="18">
        <f t="shared" si="35"/>
        <v>-0.000765334896</v>
      </c>
    </row>
    <row r="730" spans="1:13">
      <c r="A730" t="s">
        <v>13</v>
      </c>
      <c r="B730" t="s">
        <v>1470</v>
      </c>
      <c r="C730" t="s">
        <v>1471</v>
      </c>
      <c r="D730">
        <v>97.8522</v>
      </c>
      <c r="E730">
        <v>97.7442</v>
      </c>
      <c r="F730">
        <v>1.3941</v>
      </c>
      <c r="G730">
        <v>0.108</v>
      </c>
      <c r="H730">
        <v>0.013642</v>
      </c>
      <c r="I730">
        <v>0.013643</v>
      </c>
      <c r="J730">
        <v>-1e-6</v>
      </c>
      <c r="K730" s="4">
        <f t="shared" si="33"/>
        <v>-7.32976618045884e-5</v>
      </c>
      <c r="L730" s="4">
        <f t="shared" si="34"/>
        <v>0.00110492489579934</v>
      </c>
      <c r="M730" s="18">
        <f t="shared" si="35"/>
        <v>1.505628e-5</v>
      </c>
    </row>
    <row r="731" spans="1:13">
      <c r="A731" t="s">
        <v>13</v>
      </c>
      <c r="B731" t="s">
        <v>1472</v>
      </c>
      <c r="C731" t="s">
        <v>1473</v>
      </c>
      <c r="D731">
        <v>1941.9668</v>
      </c>
      <c r="E731">
        <v>1941.9668</v>
      </c>
      <c r="F731">
        <v>1.1523</v>
      </c>
      <c r="G731">
        <v>0</v>
      </c>
      <c r="H731">
        <v>0.223773</v>
      </c>
      <c r="I731">
        <v>0.22387</v>
      </c>
      <c r="J731">
        <v>-9.7e-5</v>
      </c>
      <c r="K731" s="4">
        <f t="shared" si="33"/>
        <v>-0.000433287175592978</v>
      </c>
      <c r="L731" s="4">
        <f t="shared" si="34"/>
        <v>0</v>
      </c>
      <c r="M731" s="18">
        <f t="shared" si="35"/>
        <v>0</v>
      </c>
    </row>
    <row r="732" spans="1:13">
      <c r="A732" t="s">
        <v>13</v>
      </c>
      <c r="B732" t="s">
        <v>1474</v>
      </c>
      <c r="C732" t="s">
        <v>1475</v>
      </c>
      <c r="D732">
        <v>5310.2826</v>
      </c>
      <c r="E732">
        <v>5309.6833</v>
      </c>
      <c r="F732">
        <v>0.8342</v>
      </c>
      <c r="G732">
        <v>0.5993</v>
      </c>
      <c r="H732">
        <v>0.442984</v>
      </c>
      <c r="I732">
        <v>0.44389</v>
      </c>
      <c r="J732">
        <v>-0.000906</v>
      </c>
      <c r="K732" s="4">
        <f t="shared" si="33"/>
        <v>-0.00204104620514091</v>
      </c>
      <c r="L732" s="4">
        <f t="shared" si="34"/>
        <v>0.000112869255309419</v>
      </c>
      <c r="M732" s="18">
        <f t="shared" si="35"/>
        <v>4.9993606e-5</v>
      </c>
    </row>
    <row r="733" spans="1:13">
      <c r="A733" t="s">
        <v>13</v>
      </c>
      <c r="B733" t="s">
        <v>1476</v>
      </c>
      <c r="C733" t="s">
        <v>1477</v>
      </c>
      <c r="D733">
        <v>848.5339</v>
      </c>
      <c r="E733">
        <v>850.4365</v>
      </c>
      <c r="F733">
        <v>1.8621</v>
      </c>
      <c r="G733">
        <v>-1.9026</v>
      </c>
      <c r="H733">
        <v>0.158005</v>
      </c>
      <c r="I733">
        <v>0.151964</v>
      </c>
      <c r="J733">
        <v>0.006041</v>
      </c>
      <c r="K733" s="4">
        <f t="shared" si="33"/>
        <v>0.0397528361980469</v>
      </c>
      <c r="L733" s="4">
        <f t="shared" si="34"/>
        <v>-0.00223720407108586</v>
      </c>
      <c r="M733" s="18">
        <f t="shared" si="35"/>
        <v>-0.000354283146</v>
      </c>
    </row>
    <row r="734" spans="1:13">
      <c r="A734" t="s">
        <v>13</v>
      </c>
      <c r="B734" t="s">
        <v>1478</v>
      </c>
      <c r="C734" t="s">
        <v>1479</v>
      </c>
      <c r="D734">
        <v>1304.4638</v>
      </c>
      <c r="E734">
        <v>1304.4638</v>
      </c>
      <c r="F734">
        <v>0.4662</v>
      </c>
      <c r="G734">
        <v>0</v>
      </c>
      <c r="H734">
        <v>0.060814</v>
      </c>
      <c r="I734">
        <v>0.06101</v>
      </c>
      <c r="J734">
        <v>-0.000196</v>
      </c>
      <c r="K734" s="4">
        <f t="shared" si="33"/>
        <v>-0.00321258810031142</v>
      </c>
      <c r="L734" s="4">
        <f t="shared" si="34"/>
        <v>0</v>
      </c>
      <c r="M734" s="18">
        <f t="shared" si="35"/>
        <v>0</v>
      </c>
    </row>
    <row r="735" spans="1:13">
      <c r="A735" t="s">
        <v>13</v>
      </c>
      <c r="B735" t="s">
        <v>1480</v>
      </c>
      <c r="C735" t="s">
        <v>1481</v>
      </c>
      <c r="D735">
        <v>857.1633</v>
      </c>
      <c r="E735">
        <v>856.7236</v>
      </c>
      <c r="F735">
        <v>1.0422</v>
      </c>
      <c r="G735">
        <v>0.4397</v>
      </c>
      <c r="H735">
        <v>0.089334</v>
      </c>
      <c r="I735">
        <v>0.090581</v>
      </c>
      <c r="J735">
        <v>-0.001247</v>
      </c>
      <c r="K735" s="4">
        <f t="shared" si="33"/>
        <v>-0.0137666839624204</v>
      </c>
      <c r="L735" s="4">
        <f t="shared" si="34"/>
        <v>0.000513234373373181</v>
      </c>
      <c r="M735" s="18">
        <f t="shared" si="35"/>
        <v>4.5825534e-5</v>
      </c>
    </row>
    <row r="736" spans="1:13">
      <c r="A736" t="s">
        <v>13</v>
      </c>
      <c r="B736" t="s">
        <v>1482</v>
      </c>
      <c r="C736" t="s">
        <v>1483</v>
      </c>
      <c r="D736">
        <v>8015.0701</v>
      </c>
      <c r="E736">
        <v>8016.0724</v>
      </c>
      <c r="F736">
        <v>1.1013</v>
      </c>
      <c r="G736">
        <v>-1.0023</v>
      </c>
      <c r="H736">
        <v>0.8827</v>
      </c>
      <c r="I736">
        <v>0.87263</v>
      </c>
      <c r="J736">
        <v>0.01007</v>
      </c>
      <c r="K736" s="4">
        <f t="shared" si="33"/>
        <v>0.0115398278766488</v>
      </c>
      <c r="L736" s="4">
        <f t="shared" si="34"/>
        <v>-0.000125036295829876</v>
      </c>
      <c r="M736" s="18">
        <f t="shared" si="35"/>
        <v>-0.000110383299</v>
      </c>
    </row>
    <row r="737" spans="1:13">
      <c r="A737" t="s">
        <v>13</v>
      </c>
      <c r="B737" t="s">
        <v>1484</v>
      </c>
      <c r="C737" t="s">
        <v>1485</v>
      </c>
      <c r="D737">
        <v>9150.7824</v>
      </c>
      <c r="E737">
        <v>9149.8181</v>
      </c>
      <c r="F737">
        <v>1.3258</v>
      </c>
      <c r="G737">
        <v>0.9643</v>
      </c>
      <c r="H737">
        <v>1.213211</v>
      </c>
      <c r="I737">
        <v>1.22388</v>
      </c>
      <c r="J737">
        <v>-0.010669</v>
      </c>
      <c r="K737" s="4">
        <f t="shared" si="33"/>
        <v>-0.0087173579109063</v>
      </c>
      <c r="L737" s="4">
        <f t="shared" si="34"/>
        <v>0.000105390073273658</v>
      </c>
      <c r="M737" s="18">
        <f t="shared" si="35"/>
        <v>0.000127846894</v>
      </c>
    </row>
    <row r="738" spans="1:13">
      <c r="A738" t="s">
        <v>13</v>
      </c>
      <c r="B738" t="s">
        <v>1486</v>
      </c>
      <c r="C738" t="s">
        <v>1487</v>
      </c>
      <c r="D738">
        <v>40723.4276</v>
      </c>
      <c r="E738">
        <v>40728.1319</v>
      </c>
      <c r="F738">
        <v>0.26</v>
      </c>
      <c r="G738">
        <v>-4.7043</v>
      </c>
      <c r="H738">
        <v>1.058809</v>
      </c>
      <c r="I738">
        <v>1.070743</v>
      </c>
      <c r="J738">
        <v>-0.011934</v>
      </c>
      <c r="K738" s="4">
        <f t="shared" si="33"/>
        <v>-0.0111455316541878</v>
      </c>
      <c r="L738" s="4">
        <f t="shared" si="34"/>
        <v>-0.000115504929407224</v>
      </c>
      <c r="M738" s="18">
        <f t="shared" si="35"/>
        <v>-0.0001223118</v>
      </c>
    </row>
    <row r="739" spans="1:13">
      <c r="A739" t="s">
        <v>13</v>
      </c>
      <c r="B739" t="s">
        <v>1488</v>
      </c>
      <c r="C739" t="s">
        <v>1489</v>
      </c>
      <c r="D739">
        <v>1493.5117</v>
      </c>
      <c r="E739">
        <v>1493.5117</v>
      </c>
      <c r="F739">
        <v>1.067</v>
      </c>
      <c r="G739">
        <v>0</v>
      </c>
      <c r="H739">
        <v>0.159358</v>
      </c>
      <c r="I739">
        <v>0.159552</v>
      </c>
      <c r="J739">
        <v>-0.000194</v>
      </c>
      <c r="K739" s="4">
        <f t="shared" si="33"/>
        <v>-0.00121590453269154</v>
      </c>
      <c r="L739" s="4">
        <f t="shared" si="34"/>
        <v>0</v>
      </c>
      <c r="M739" s="18">
        <f t="shared" si="35"/>
        <v>0</v>
      </c>
    </row>
    <row r="740" spans="1:13">
      <c r="A740" t="s">
        <v>13</v>
      </c>
      <c r="B740" t="s">
        <v>1490</v>
      </c>
      <c r="C740" t="s">
        <v>1491</v>
      </c>
      <c r="D740">
        <v>625.9867</v>
      </c>
      <c r="E740">
        <v>625.9867</v>
      </c>
      <c r="F740">
        <v>0.7872</v>
      </c>
      <c r="G740">
        <v>0</v>
      </c>
      <c r="H740">
        <v>0.049278</v>
      </c>
      <c r="I740">
        <v>0.049534</v>
      </c>
      <c r="J740">
        <v>-0.000256</v>
      </c>
      <c r="K740" s="4">
        <f t="shared" si="33"/>
        <v>-0.00516816731941697</v>
      </c>
      <c r="L740" s="4">
        <f t="shared" si="34"/>
        <v>0</v>
      </c>
      <c r="M740" s="18">
        <f t="shared" si="35"/>
        <v>0</v>
      </c>
    </row>
    <row r="741" spans="1:13">
      <c r="A741" t="s">
        <v>13</v>
      </c>
      <c r="B741" t="s">
        <v>1492</v>
      </c>
      <c r="C741" t="s">
        <v>1493</v>
      </c>
      <c r="D741">
        <v>791.224</v>
      </c>
      <c r="E741">
        <v>798.6588</v>
      </c>
      <c r="F741">
        <v>1.9069</v>
      </c>
      <c r="G741">
        <v>-7.4348</v>
      </c>
      <c r="H741">
        <v>0.150879</v>
      </c>
      <c r="I741">
        <v>0.150108</v>
      </c>
      <c r="J741">
        <v>0.000771</v>
      </c>
      <c r="K741" s="4">
        <f t="shared" si="33"/>
        <v>0.00513630186265889</v>
      </c>
      <c r="L741" s="4">
        <f t="shared" si="34"/>
        <v>-0.00930910671741174</v>
      </c>
      <c r="M741" s="18">
        <f t="shared" si="35"/>
        <v>-0.001417742012</v>
      </c>
    </row>
    <row r="742" spans="1:13">
      <c r="A742" t="s">
        <v>13</v>
      </c>
      <c r="B742" t="s">
        <v>1494</v>
      </c>
      <c r="C742" t="s">
        <v>1495</v>
      </c>
      <c r="D742">
        <v>292.3152</v>
      </c>
      <c r="E742">
        <v>292.3152</v>
      </c>
      <c r="F742">
        <v>3.3605</v>
      </c>
      <c r="G742">
        <v>0</v>
      </c>
      <c r="H742">
        <v>0.098233</v>
      </c>
      <c r="I742">
        <v>0.096736</v>
      </c>
      <c r="J742">
        <v>0.001497</v>
      </c>
      <c r="K742" s="4">
        <f t="shared" si="33"/>
        <v>0.0154751075090969</v>
      </c>
      <c r="L742" s="4">
        <f t="shared" si="34"/>
        <v>0</v>
      </c>
      <c r="M742" s="18">
        <f t="shared" si="35"/>
        <v>0</v>
      </c>
    </row>
    <row r="743" spans="1:13">
      <c r="A743" t="s">
        <v>13</v>
      </c>
      <c r="B743" t="s">
        <v>1496</v>
      </c>
      <c r="C743" t="s">
        <v>1497</v>
      </c>
      <c r="D743">
        <v>824.1767</v>
      </c>
      <c r="E743">
        <v>824.1767</v>
      </c>
      <c r="F743">
        <v>0.8449</v>
      </c>
      <c r="G743">
        <v>0</v>
      </c>
      <c r="H743">
        <v>0.069635</v>
      </c>
      <c r="I743">
        <v>0.069593</v>
      </c>
      <c r="J743">
        <v>4.2e-5</v>
      </c>
      <c r="K743" s="4">
        <f t="shared" si="33"/>
        <v>0.000603508973603667</v>
      </c>
      <c r="L743" s="4">
        <f t="shared" si="34"/>
        <v>0</v>
      </c>
      <c r="M743" s="18">
        <f t="shared" si="35"/>
        <v>0</v>
      </c>
    </row>
    <row r="744" spans="1:13">
      <c r="A744" t="s">
        <v>13</v>
      </c>
      <c r="B744" t="s">
        <v>1498</v>
      </c>
      <c r="C744" t="s">
        <v>1499</v>
      </c>
      <c r="D744">
        <v>56.6497</v>
      </c>
      <c r="E744">
        <v>56.6597</v>
      </c>
      <c r="F744">
        <v>109.2539</v>
      </c>
      <c r="G744">
        <v>-0.01</v>
      </c>
      <c r="H744">
        <v>0.61892</v>
      </c>
      <c r="I744">
        <v>0.615691</v>
      </c>
      <c r="J744">
        <v>0.003229</v>
      </c>
      <c r="K744" s="4">
        <f t="shared" si="33"/>
        <v>0.00524451388764819</v>
      </c>
      <c r="L744" s="4">
        <f t="shared" si="34"/>
        <v>-0.000176492286404588</v>
      </c>
      <c r="M744" s="18">
        <f t="shared" si="35"/>
        <v>-0.0001092539</v>
      </c>
    </row>
    <row r="745" spans="1:13">
      <c r="A745" t="s">
        <v>13</v>
      </c>
      <c r="B745" t="s">
        <v>1500</v>
      </c>
      <c r="C745" t="s">
        <v>1501</v>
      </c>
      <c r="D745">
        <v>48.9772</v>
      </c>
      <c r="E745">
        <v>49.1144</v>
      </c>
      <c r="F745">
        <v>2.7027</v>
      </c>
      <c r="G745">
        <v>-0.1372</v>
      </c>
      <c r="H745">
        <v>0.013237</v>
      </c>
      <c r="I745">
        <v>0.012754</v>
      </c>
      <c r="J745">
        <v>0.000483</v>
      </c>
      <c r="K745" s="4">
        <f t="shared" si="33"/>
        <v>0.0378704720087816</v>
      </c>
      <c r="L745" s="4">
        <f t="shared" si="34"/>
        <v>-0.00279347808382063</v>
      </c>
      <c r="M745" s="18">
        <f t="shared" si="35"/>
        <v>-3.7081044e-5</v>
      </c>
    </row>
    <row r="746" spans="1:13">
      <c r="A746" t="s">
        <v>13</v>
      </c>
      <c r="B746" t="s">
        <v>1502</v>
      </c>
      <c r="C746" t="s">
        <v>1503</v>
      </c>
      <c r="D746">
        <v>3364.5661</v>
      </c>
      <c r="E746">
        <v>3372.0658</v>
      </c>
      <c r="F746">
        <v>1.3151</v>
      </c>
      <c r="G746">
        <v>-7.4997</v>
      </c>
      <c r="H746">
        <v>0.442474</v>
      </c>
      <c r="I746">
        <v>0.438537</v>
      </c>
      <c r="J746">
        <v>0.003937</v>
      </c>
      <c r="K746" s="4">
        <f t="shared" si="33"/>
        <v>0.00897757771864176</v>
      </c>
      <c r="L746" s="4">
        <f t="shared" si="34"/>
        <v>-0.00222406692063952</v>
      </c>
      <c r="M746" s="18">
        <f t="shared" si="35"/>
        <v>-0.000986285547</v>
      </c>
    </row>
    <row r="747" spans="1:13">
      <c r="A747" t="s">
        <v>13</v>
      </c>
      <c r="B747" t="s">
        <v>1504</v>
      </c>
      <c r="C747" t="s">
        <v>1505</v>
      </c>
      <c r="D747">
        <v>96798.5849</v>
      </c>
      <c r="E747">
        <v>96798.4865</v>
      </c>
      <c r="F747">
        <v>2.0986</v>
      </c>
      <c r="G747">
        <v>0.0984</v>
      </c>
      <c r="H747">
        <v>20.314151</v>
      </c>
      <c r="I747">
        <v>20.706164</v>
      </c>
      <c r="J747">
        <v>-0.392013</v>
      </c>
      <c r="K747" s="4">
        <f t="shared" si="33"/>
        <v>-0.0189321885019359</v>
      </c>
      <c r="L747" s="4">
        <f t="shared" si="34"/>
        <v>1.01654481966084e-6</v>
      </c>
      <c r="M747" s="18">
        <f t="shared" si="35"/>
        <v>2.0650224e-5</v>
      </c>
    </row>
    <row r="748" spans="1:13">
      <c r="A748" t="s">
        <v>13</v>
      </c>
      <c r="B748" t="s">
        <v>1506</v>
      </c>
      <c r="C748" t="s">
        <v>1507</v>
      </c>
      <c r="D748">
        <v>24201.0759</v>
      </c>
      <c r="E748">
        <v>24265.5359</v>
      </c>
      <c r="F748">
        <v>1.2578</v>
      </c>
      <c r="G748">
        <v>-64.46</v>
      </c>
      <c r="H748">
        <v>3.044011</v>
      </c>
      <c r="I748">
        <v>3.024214</v>
      </c>
      <c r="J748">
        <v>0.019797</v>
      </c>
      <c r="K748" s="4">
        <f t="shared" si="33"/>
        <v>0.00654616373047674</v>
      </c>
      <c r="L748" s="4">
        <f t="shared" si="34"/>
        <v>-0.00265644246496939</v>
      </c>
      <c r="M748" s="18">
        <f t="shared" si="35"/>
        <v>-0.0081077788</v>
      </c>
    </row>
    <row r="749" spans="1:13">
      <c r="A749" t="s">
        <v>13</v>
      </c>
      <c r="B749" t="s">
        <v>1508</v>
      </c>
      <c r="C749" t="s">
        <v>1509</v>
      </c>
      <c r="D749">
        <v>1347.3183</v>
      </c>
      <c r="E749">
        <v>1348.3683</v>
      </c>
      <c r="F749">
        <v>2.0208</v>
      </c>
      <c r="G749">
        <v>-1.05</v>
      </c>
      <c r="H749">
        <v>0.272266</v>
      </c>
      <c r="I749">
        <v>0.273139</v>
      </c>
      <c r="J749">
        <v>-0.000873</v>
      </c>
      <c r="K749" s="4">
        <f t="shared" si="33"/>
        <v>-0.00319617484138113</v>
      </c>
      <c r="L749" s="4">
        <f t="shared" si="34"/>
        <v>-0.000778718989463177</v>
      </c>
      <c r="M749" s="18">
        <f t="shared" si="35"/>
        <v>-0.000212184</v>
      </c>
    </row>
    <row r="750" spans="1:13">
      <c r="A750" t="s">
        <v>13</v>
      </c>
      <c r="B750" t="s">
        <v>1510</v>
      </c>
      <c r="C750" t="s">
        <v>1511</v>
      </c>
      <c r="D750">
        <v>4437.2856</v>
      </c>
      <c r="E750">
        <v>4437.2856</v>
      </c>
      <c r="F750">
        <v>0.7022</v>
      </c>
      <c r="G750">
        <v>0</v>
      </c>
      <c r="H750">
        <v>0.311586</v>
      </c>
      <c r="I750">
        <v>0.315047</v>
      </c>
      <c r="J750">
        <v>-0.003461</v>
      </c>
      <c r="K750" s="4">
        <f t="shared" si="33"/>
        <v>-0.0109856624567128</v>
      </c>
      <c r="L750" s="4">
        <f t="shared" si="34"/>
        <v>0</v>
      </c>
      <c r="M750" s="18">
        <f t="shared" si="35"/>
        <v>0</v>
      </c>
    </row>
    <row r="751" spans="1:13">
      <c r="A751" t="s">
        <v>13</v>
      </c>
      <c r="B751" t="s">
        <v>1512</v>
      </c>
      <c r="C751" t="s">
        <v>1513</v>
      </c>
      <c r="D751">
        <v>13152.2493</v>
      </c>
      <c r="E751">
        <v>13175.871</v>
      </c>
      <c r="F751">
        <v>1.942</v>
      </c>
      <c r="G751">
        <v>-23.6217</v>
      </c>
      <c r="H751">
        <v>2.554167</v>
      </c>
      <c r="I751">
        <v>2.561389</v>
      </c>
      <c r="J751">
        <v>-0.007222</v>
      </c>
      <c r="K751" s="4">
        <f t="shared" si="33"/>
        <v>-0.00281956391629698</v>
      </c>
      <c r="L751" s="4">
        <f t="shared" si="34"/>
        <v>-0.0017927998839697</v>
      </c>
      <c r="M751" s="18">
        <f t="shared" si="35"/>
        <v>-0.00458733414</v>
      </c>
    </row>
    <row r="752" spans="1:13">
      <c r="A752" t="s">
        <v>13</v>
      </c>
      <c r="B752" t="s">
        <v>1514</v>
      </c>
      <c r="C752" t="s">
        <v>1515</v>
      </c>
      <c r="D752">
        <v>284.8275</v>
      </c>
      <c r="E752">
        <v>284.8275</v>
      </c>
      <c r="F752">
        <v>2.3166</v>
      </c>
      <c r="G752">
        <v>0</v>
      </c>
      <c r="H752">
        <v>0.065983</v>
      </c>
      <c r="I752">
        <v>0.063588</v>
      </c>
      <c r="J752">
        <v>0.002395</v>
      </c>
      <c r="K752" s="4">
        <f t="shared" si="33"/>
        <v>0.0376643391834937</v>
      </c>
      <c r="L752" s="4">
        <f t="shared" si="34"/>
        <v>0</v>
      </c>
      <c r="M752" s="18">
        <f t="shared" si="35"/>
        <v>0</v>
      </c>
    </row>
    <row r="753" spans="1:13">
      <c r="A753" t="s">
        <v>13</v>
      </c>
      <c r="B753" t="s">
        <v>1516</v>
      </c>
      <c r="C753" t="s">
        <v>1517</v>
      </c>
      <c r="D753">
        <v>67557.6064</v>
      </c>
      <c r="E753">
        <v>67557.5857</v>
      </c>
      <c r="F753">
        <v>1.8309</v>
      </c>
      <c r="G753">
        <v>0.0207</v>
      </c>
      <c r="H753">
        <v>12.369122</v>
      </c>
      <c r="I753">
        <v>12.827834</v>
      </c>
      <c r="J753">
        <v>-0.458712</v>
      </c>
      <c r="K753" s="4">
        <f t="shared" si="33"/>
        <v>-0.0357591156854696</v>
      </c>
      <c r="L753" s="4">
        <f t="shared" si="34"/>
        <v>3.06405265874072e-7</v>
      </c>
      <c r="M753" s="18">
        <f t="shared" si="35"/>
        <v>3.789963e-6</v>
      </c>
    </row>
    <row r="754" spans="1:13">
      <c r="A754" t="s">
        <v>13</v>
      </c>
      <c r="B754" t="s">
        <v>1518</v>
      </c>
      <c r="C754" t="s">
        <v>1519</v>
      </c>
      <c r="D754">
        <v>4527.3575</v>
      </c>
      <c r="E754">
        <v>4517.4108</v>
      </c>
      <c r="F754">
        <v>1.2335</v>
      </c>
      <c r="G754">
        <v>9.9467</v>
      </c>
      <c r="H754">
        <v>0.55845</v>
      </c>
      <c r="I754">
        <v>0.547465</v>
      </c>
      <c r="J754">
        <v>0.010985</v>
      </c>
      <c r="K754" s="4">
        <f t="shared" si="33"/>
        <v>0.0200652096481054</v>
      </c>
      <c r="L754" s="4">
        <f t="shared" si="34"/>
        <v>0.00220185863990949</v>
      </c>
      <c r="M754" s="18">
        <f t="shared" si="35"/>
        <v>0.001226925445</v>
      </c>
    </row>
    <row r="755" spans="1:13">
      <c r="A755" t="s">
        <v>13</v>
      </c>
      <c r="B755" t="s">
        <v>1520</v>
      </c>
      <c r="C755" t="s">
        <v>1521</v>
      </c>
      <c r="D755">
        <v>3660.2568</v>
      </c>
      <c r="E755">
        <v>3660.2568</v>
      </c>
      <c r="F755">
        <v>0.7883</v>
      </c>
      <c r="G755">
        <v>0</v>
      </c>
      <c r="H755">
        <v>0.288538</v>
      </c>
      <c r="I755">
        <v>0.285756</v>
      </c>
      <c r="J755">
        <v>0.002782</v>
      </c>
      <c r="K755" s="4">
        <f t="shared" si="33"/>
        <v>0.00973557860552359</v>
      </c>
      <c r="L755" s="4">
        <f t="shared" si="34"/>
        <v>0</v>
      </c>
      <c r="M755" s="18">
        <f t="shared" si="35"/>
        <v>0</v>
      </c>
    </row>
    <row r="756" spans="1:13">
      <c r="A756" t="s">
        <v>13</v>
      </c>
      <c r="B756" t="s">
        <v>1522</v>
      </c>
      <c r="C756" t="s">
        <v>1523</v>
      </c>
      <c r="D756">
        <v>2894.2848</v>
      </c>
      <c r="E756">
        <v>2894.3348</v>
      </c>
      <c r="F756">
        <v>2.21</v>
      </c>
      <c r="G756">
        <v>-0.05</v>
      </c>
      <c r="H756">
        <v>0.639637</v>
      </c>
      <c r="I756">
        <v>0.631544</v>
      </c>
      <c r="J756">
        <v>0.008093</v>
      </c>
      <c r="K756" s="4">
        <f t="shared" si="33"/>
        <v>0.0128146257426244</v>
      </c>
      <c r="L756" s="4">
        <f t="shared" si="34"/>
        <v>-1.72751265680052e-5</v>
      </c>
      <c r="M756" s="18">
        <f t="shared" si="35"/>
        <v>-1.105e-5</v>
      </c>
    </row>
    <row r="757" spans="1:13">
      <c r="A757" t="s">
        <v>13</v>
      </c>
      <c r="B757" t="s">
        <v>1524</v>
      </c>
      <c r="C757" t="s">
        <v>1525</v>
      </c>
      <c r="D757">
        <v>134.7642</v>
      </c>
      <c r="E757">
        <v>134.7742</v>
      </c>
      <c r="F757">
        <v>2.0262</v>
      </c>
      <c r="G757">
        <v>-0.01</v>
      </c>
      <c r="H757">
        <v>0.027306</v>
      </c>
      <c r="I757">
        <v>0.02698</v>
      </c>
      <c r="J757">
        <v>0.000326</v>
      </c>
      <c r="K757" s="4">
        <f t="shared" si="33"/>
        <v>0.0120830244625649</v>
      </c>
      <c r="L757" s="4">
        <f t="shared" si="34"/>
        <v>-7.41981773961138e-5</v>
      </c>
      <c r="M757" s="18">
        <f t="shared" si="35"/>
        <v>-2.0262e-6</v>
      </c>
    </row>
    <row r="758" spans="1:13">
      <c r="A758" t="s">
        <v>13</v>
      </c>
      <c r="B758" t="s">
        <v>1526</v>
      </c>
      <c r="C758" t="s">
        <v>1527</v>
      </c>
      <c r="D758">
        <v>4662.5247</v>
      </c>
      <c r="E758">
        <v>4662.6847</v>
      </c>
      <c r="F758">
        <v>2.654</v>
      </c>
      <c r="G758">
        <v>-0.16</v>
      </c>
      <c r="H758">
        <v>1.237434</v>
      </c>
      <c r="I758">
        <v>1.215562</v>
      </c>
      <c r="J758">
        <v>0.021872</v>
      </c>
      <c r="K758" s="4">
        <f t="shared" si="33"/>
        <v>0.017993323252948</v>
      </c>
      <c r="L758" s="4">
        <f t="shared" si="34"/>
        <v>-3.43149945351987e-5</v>
      </c>
      <c r="M758" s="18">
        <f t="shared" si="35"/>
        <v>-4.2464e-5</v>
      </c>
    </row>
    <row r="759" spans="1:13">
      <c r="A759" t="s">
        <v>13</v>
      </c>
      <c r="B759" t="s">
        <v>1528</v>
      </c>
      <c r="C759" t="s">
        <v>1529</v>
      </c>
      <c r="D759">
        <v>8123.9757</v>
      </c>
      <c r="E759">
        <v>8127.2961</v>
      </c>
      <c r="F759">
        <v>2.111</v>
      </c>
      <c r="G759">
        <v>-3.3204</v>
      </c>
      <c r="H759">
        <v>1.714971</v>
      </c>
      <c r="I759">
        <v>1.679099</v>
      </c>
      <c r="J759">
        <v>0.035872</v>
      </c>
      <c r="K759" s="4">
        <f t="shared" si="33"/>
        <v>0.0213638385824779</v>
      </c>
      <c r="L759" s="4">
        <f t="shared" si="34"/>
        <v>-0.000408549160648842</v>
      </c>
      <c r="M759" s="18">
        <f t="shared" si="35"/>
        <v>-0.00070093644</v>
      </c>
    </row>
    <row r="760" spans="1:13">
      <c r="A760" t="s">
        <v>13</v>
      </c>
      <c r="B760" t="s">
        <v>1530</v>
      </c>
      <c r="C760" t="s">
        <v>1531</v>
      </c>
      <c r="D760">
        <v>2247.9756</v>
      </c>
      <c r="E760">
        <v>2247.9756</v>
      </c>
      <c r="F760">
        <v>0.881</v>
      </c>
      <c r="G760">
        <v>0</v>
      </c>
      <c r="H760">
        <v>0.198047</v>
      </c>
      <c r="I760">
        <v>0.198721</v>
      </c>
      <c r="J760">
        <v>-0.000674</v>
      </c>
      <c r="K760" s="4">
        <f t="shared" si="33"/>
        <v>-0.00339168985663317</v>
      </c>
      <c r="L760" s="4">
        <f t="shared" si="34"/>
        <v>0</v>
      </c>
      <c r="M760" s="18">
        <f t="shared" si="35"/>
        <v>0</v>
      </c>
    </row>
    <row r="761" spans="1:13">
      <c r="A761" t="s">
        <v>13</v>
      </c>
      <c r="B761" t="s">
        <v>1532</v>
      </c>
      <c r="C761" t="s">
        <v>1533</v>
      </c>
      <c r="D761">
        <v>6867.8509</v>
      </c>
      <c r="E761">
        <v>6871.4809</v>
      </c>
      <c r="F761">
        <v>4.24</v>
      </c>
      <c r="G761">
        <v>-3.63</v>
      </c>
      <c r="H761">
        <v>2.911969</v>
      </c>
      <c r="I761">
        <v>2.917631</v>
      </c>
      <c r="J761">
        <v>-0.005662</v>
      </c>
      <c r="K761" s="4">
        <f t="shared" si="33"/>
        <v>-0.0019406155199201</v>
      </c>
      <c r="L761" s="4">
        <f t="shared" si="34"/>
        <v>-0.000528270405291995</v>
      </c>
      <c r="M761" s="18">
        <f t="shared" si="35"/>
        <v>-0.00153912</v>
      </c>
    </row>
    <row r="762" spans="1:13">
      <c r="A762" t="s">
        <v>13</v>
      </c>
      <c r="B762" t="s">
        <v>1534</v>
      </c>
      <c r="C762" t="s">
        <v>1535</v>
      </c>
      <c r="D762">
        <v>4832.235</v>
      </c>
      <c r="E762">
        <v>4832.235</v>
      </c>
      <c r="F762">
        <v>2.4395</v>
      </c>
      <c r="G762">
        <v>0</v>
      </c>
      <c r="H762">
        <v>1.178824</v>
      </c>
      <c r="I762">
        <v>1.190469</v>
      </c>
      <c r="J762">
        <v>-0.011645</v>
      </c>
      <c r="K762" s="4">
        <f t="shared" si="33"/>
        <v>-0.00978185908242886</v>
      </c>
      <c r="L762" s="4">
        <f t="shared" si="34"/>
        <v>0</v>
      </c>
      <c r="M762" s="18">
        <f t="shared" si="35"/>
        <v>0</v>
      </c>
    </row>
    <row r="763" spans="1:13">
      <c r="A763" t="s">
        <v>13</v>
      </c>
      <c r="B763" t="s">
        <v>1536</v>
      </c>
      <c r="C763" t="s">
        <v>1537</v>
      </c>
      <c r="D763">
        <v>8490.3961</v>
      </c>
      <c r="E763">
        <v>8490.8961</v>
      </c>
      <c r="F763">
        <v>3.8093</v>
      </c>
      <c r="G763">
        <v>-0.5</v>
      </c>
      <c r="H763">
        <v>3.234247</v>
      </c>
      <c r="I763">
        <v>3.198945</v>
      </c>
      <c r="J763">
        <v>0.035302</v>
      </c>
      <c r="K763" s="4">
        <f t="shared" si="33"/>
        <v>0.0110355132707815</v>
      </c>
      <c r="L763" s="4">
        <f t="shared" si="34"/>
        <v>-5.88865997312109e-5</v>
      </c>
      <c r="M763" s="18">
        <f t="shared" si="35"/>
        <v>-0.000190465</v>
      </c>
    </row>
    <row r="764" spans="1:13">
      <c r="A764" t="s">
        <v>13</v>
      </c>
      <c r="B764" t="s">
        <v>1538</v>
      </c>
      <c r="C764" t="s">
        <v>1539</v>
      </c>
      <c r="D764">
        <v>206.0986</v>
      </c>
      <c r="E764">
        <v>206.0986</v>
      </c>
      <c r="F764">
        <v>1.3241</v>
      </c>
      <c r="G764">
        <v>0</v>
      </c>
      <c r="H764">
        <v>0.02729</v>
      </c>
      <c r="I764">
        <v>0.027436</v>
      </c>
      <c r="J764">
        <v>-0.000146</v>
      </c>
      <c r="K764" s="4">
        <f t="shared" si="33"/>
        <v>-0.0053214754337367</v>
      </c>
      <c r="L764" s="4">
        <f t="shared" si="34"/>
        <v>0</v>
      </c>
      <c r="M764" s="18">
        <f t="shared" si="35"/>
        <v>0</v>
      </c>
    </row>
    <row r="765" spans="1:13">
      <c r="A765" t="s">
        <v>13</v>
      </c>
      <c r="B765" t="s">
        <v>1540</v>
      </c>
      <c r="C765" t="s">
        <v>1541</v>
      </c>
      <c r="D765">
        <v>925.9871</v>
      </c>
      <c r="E765">
        <v>925.9871</v>
      </c>
      <c r="F765">
        <v>0.9703</v>
      </c>
      <c r="G765">
        <v>0</v>
      </c>
      <c r="H765">
        <v>0.089849</v>
      </c>
      <c r="I765">
        <v>0.090506</v>
      </c>
      <c r="J765">
        <v>-0.000657</v>
      </c>
      <c r="K765" s="4">
        <f t="shared" si="33"/>
        <v>-0.00725918723620533</v>
      </c>
      <c r="L765" s="4">
        <f t="shared" si="34"/>
        <v>0</v>
      </c>
      <c r="M765" s="18">
        <f t="shared" si="35"/>
        <v>0</v>
      </c>
    </row>
    <row r="766" spans="1:13">
      <c r="A766" t="s">
        <v>13</v>
      </c>
      <c r="B766" t="s">
        <v>1542</v>
      </c>
      <c r="C766" t="s">
        <v>1543</v>
      </c>
      <c r="D766">
        <v>196.3468</v>
      </c>
      <c r="E766">
        <v>196.3468</v>
      </c>
      <c r="F766">
        <v>1.3294</v>
      </c>
      <c r="G766">
        <v>0</v>
      </c>
      <c r="H766">
        <v>0.026102</v>
      </c>
      <c r="I766">
        <v>0.026083</v>
      </c>
      <c r="J766">
        <v>1.9e-5</v>
      </c>
      <c r="K766" s="4">
        <f t="shared" si="33"/>
        <v>0.000728443813978453</v>
      </c>
      <c r="L766" s="4">
        <f t="shared" si="34"/>
        <v>0</v>
      </c>
      <c r="M766" s="18">
        <f t="shared" si="35"/>
        <v>0</v>
      </c>
    </row>
    <row r="767" spans="1:13">
      <c r="A767" t="s">
        <v>13</v>
      </c>
      <c r="B767" t="s">
        <v>1544</v>
      </c>
      <c r="C767" t="s">
        <v>1545</v>
      </c>
      <c r="D767">
        <v>7894.5347</v>
      </c>
      <c r="E767">
        <v>7893.5464</v>
      </c>
      <c r="F767">
        <v>1.1643</v>
      </c>
      <c r="G767">
        <v>0.9883</v>
      </c>
      <c r="H767">
        <v>0.919161</v>
      </c>
      <c r="I767">
        <v>0.914152</v>
      </c>
      <c r="J767">
        <v>0.005009</v>
      </c>
      <c r="K767" s="4">
        <f t="shared" si="33"/>
        <v>0.00547939511153506</v>
      </c>
      <c r="L767" s="4">
        <f t="shared" si="34"/>
        <v>0.0001252035460259</v>
      </c>
      <c r="M767" s="18">
        <f t="shared" si="35"/>
        <v>0.000115067769</v>
      </c>
    </row>
    <row r="768" spans="1:13">
      <c r="A768" t="s">
        <v>13</v>
      </c>
      <c r="B768" t="s">
        <v>1546</v>
      </c>
      <c r="C768" t="s">
        <v>1547</v>
      </c>
      <c r="D768">
        <v>36871.1533</v>
      </c>
      <c r="E768">
        <v>37009.3482</v>
      </c>
      <c r="F768">
        <v>3.1874</v>
      </c>
      <c r="G768">
        <v>-138.1949</v>
      </c>
      <c r="H768">
        <v>11.752311</v>
      </c>
      <c r="I768">
        <v>11.683481</v>
      </c>
      <c r="J768">
        <v>0.06883</v>
      </c>
      <c r="K768" s="4">
        <f t="shared" si="33"/>
        <v>0.00589122368581761</v>
      </c>
      <c r="L768" s="4">
        <f t="shared" si="34"/>
        <v>-0.00373405387344817</v>
      </c>
      <c r="M768" s="18">
        <f t="shared" si="35"/>
        <v>-0.044048242426</v>
      </c>
    </row>
    <row r="769" spans="1:13">
      <c r="A769" t="s">
        <v>13</v>
      </c>
      <c r="B769" t="s">
        <v>1548</v>
      </c>
      <c r="C769" t="s">
        <v>1549</v>
      </c>
      <c r="D769">
        <v>3709.5098</v>
      </c>
      <c r="E769">
        <v>3713.9998</v>
      </c>
      <c r="F769">
        <v>1.228</v>
      </c>
      <c r="G769">
        <v>-4.49</v>
      </c>
      <c r="H769">
        <v>0.455528</v>
      </c>
      <c r="I769">
        <v>0.453739</v>
      </c>
      <c r="J769">
        <v>0.001789</v>
      </c>
      <c r="K769" s="4">
        <f t="shared" si="33"/>
        <v>0.00394279530743445</v>
      </c>
      <c r="L769" s="4">
        <f t="shared" si="34"/>
        <v>-0.00120893921426712</v>
      </c>
      <c r="M769" s="18">
        <f t="shared" si="35"/>
        <v>-0.000551372</v>
      </c>
    </row>
    <row r="770" spans="1:13">
      <c r="A770" t="s">
        <v>13</v>
      </c>
      <c r="B770" t="s">
        <v>1550</v>
      </c>
      <c r="C770" t="s">
        <v>1551</v>
      </c>
      <c r="D770">
        <v>987.2998</v>
      </c>
      <c r="E770">
        <v>987.2998</v>
      </c>
      <c r="F770">
        <v>1.4797</v>
      </c>
      <c r="G770">
        <v>0</v>
      </c>
      <c r="H770">
        <v>0.146091</v>
      </c>
      <c r="I770">
        <v>0.14614</v>
      </c>
      <c r="J770">
        <v>-4.9e-5</v>
      </c>
      <c r="K770" s="4">
        <f t="shared" ref="K770:K833" si="36">IFERROR(J770/I770,"")</f>
        <v>-0.000335294922676885</v>
      </c>
      <c r="L770" s="4">
        <f t="shared" ref="L770:L833" si="37">IFERROR((D770-E770)/E770,"")</f>
        <v>0</v>
      </c>
      <c r="M770" s="18">
        <f t="shared" ref="M770:M833" si="38">IFERROR(F770*G770/10000,"")</f>
        <v>0</v>
      </c>
    </row>
    <row r="771" spans="1:13">
      <c r="A771" t="s">
        <v>13</v>
      </c>
      <c r="B771" t="s">
        <v>1552</v>
      </c>
      <c r="C771" t="s">
        <v>1553</v>
      </c>
      <c r="D771">
        <v>1125.7727</v>
      </c>
      <c r="E771">
        <v>1125.7667</v>
      </c>
      <c r="F771">
        <v>1.3071</v>
      </c>
      <c r="G771">
        <v>0.006</v>
      </c>
      <c r="H771">
        <v>0.14715</v>
      </c>
      <c r="I771">
        <v>0.147138</v>
      </c>
      <c r="J771">
        <v>1.2e-5</v>
      </c>
      <c r="K771" s="4">
        <f t="shared" si="36"/>
        <v>8.15560902010358e-5</v>
      </c>
      <c r="L771" s="4">
        <f t="shared" si="37"/>
        <v>5.32970108290243e-6</v>
      </c>
      <c r="M771" s="18">
        <f t="shared" si="38"/>
        <v>7.8426e-7</v>
      </c>
    </row>
    <row r="772" spans="1:13">
      <c r="A772" t="s">
        <v>13</v>
      </c>
      <c r="B772" t="s">
        <v>1554</v>
      </c>
      <c r="C772" t="s">
        <v>1555</v>
      </c>
      <c r="D772">
        <v>2532.3544</v>
      </c>
      <c r="E772">
        <v>2549.2383</v>
      </c>
      <c r="F772">
        <v>2.84</v>
      </c>
      <c r="G772">
        <v>-16.8839</v>
      </c>
      <c r="H772">
        <v>0.719189</v>
      </c>
      <c r="I772">
        <v>0.715571</v>
      </c>
      <c r="J772">
        <v>0.003618</v>
      </c>
      <c r="K772" s="4">
        <f t="shared" si="36"/>
        <v>0.00505610204997128</v>
      </c>
      <c r="L772" s="4">
        <f t="shared" si="37"/>
        <v>-0.00662311561849664</v>
      </c>
      <c r="M772" s="18">
        <f t="shared" si="38"/>
        <v>-0.0047950276</v>
      </c>
    </row>
    <row r="773" spans="1:13">
      <c r="A773" t="s">
        <v>13</v>
      </c>
      <c r="B773" t="s">
        <v>1556</v>
      </c>
      <c r="C773" t="s">
        <v>1557</v>
      </c>
      <c r="D773">
        <v>1018.6472</v>
      </c>
      <c r="E773">
        <v>1018.6472</v>
      </c>
      <c r="F773">
        <v>1.2306</v>
      </c>
      <c r="G773">
        <v>0</v>
      </c>
      <c r="H773">
        <v>0.125355</v>
      </c>
      <c r="I773">
        <v>0.125426</v>
      </c>
      <c r="J773">
        <v>-7.1e-5</v>
      </c>
      <c r="K773" s="4">
        <f t="shared" si="36"/>
        <v>-0.000566070830609284</v>
      </c>
      <c r="L773" s="4">
        <f t="shared" si="37"/>
        <v>0</v>
      </c>
      <c r="M773" s="18">
        <f t="shared" si="38"/>
        <v>0</v>
      </c>
    </row>
    <row r="774" spans="1:13">
      <c r="A774" t="s">
        <v>13</v>
      </c>
      <c r="B774" t="s">
        <v>1558</v>
      </c>
      <c r="C774" t="s">
        <v>1559</v>
      </c>
      <c r="D774">
        <v>14095.1537</v>
      </c>
      <c r="E774">
        <v>14095.1537</v>
      </c>
      <c r="F774">
        <v>1.249</v>
      </c>
      <c r="G774">
        <v>0</v>
      </c>
      <c r="H774">
        <v>1.760485</v>
      </c>
      <c r="I774">
        <v>1.732294</v>
      </c>
      <c r="J774">
        <v>0.028191</v>
      </c>
      <c r="K774" s="4">
        <f t="shared" si="36"/>
        <v>0.0162737964802741</v>
      </c>
      <c r="L774" s="4">
        <f t="shared" si="37"/>
        <v>0</v>
      </c>
      <c r="M774" s="18">
        <f t="shared" si="38"/>
        <v>0</v>
      </c>
    </row>
    <row r="775" spans="1:13">
      <c r="A775" t="s">
        <v>13</v>
      </c>
      <c r="B775" t="s">
        <v>1560</v>
      </c>
      <c r="C775" t="s">
        <v>1561</v>
      </c>
      <c r="D775">
        <v>3757.0563</v>
      </c>
      <c r="E775">
        <v>3819.8664</v>
      </c>
      <c r="F775">
        <v>1.566</v>
      </c>
      <c r="G775">
        <v>-62.8101</v>
      </c>
      <c r="H775">
        <v>0.588355</v>
      </c>
      <c r="I775">
        <v>0.583294</v>
      </c>
      <c r="J775">
        <v>0.005061</v>
      </c>
      <c r="K775" s="4">
        <f t="shared" si="36"/>
        <v>0.00867658504973478</v>
      </c>
      <c r="L775" s="4">
        <f t="shared" si="37"/>
        <v>-0.0164430096298655</v>
      </c>
      <c r="M775" s="18">
        <f t="shared" si="38"/>
        <v>-0.00983606166</v>
      </c>
    </row>
    <row r="776" spans="1:13">
      <c r="A776" t="s">
        <v>13</v>
      </c>
      <c r="B776" t="s">
        <v>1562</v>
      </c>
      <c r="C776" t="s">
        <v>1563</v>
      </c>
      <c r="D776">
        <v>17336.0399</v>
      </c>
      <c r="E776">
        <v>17336.8246</v>
      </c>
      <c r="F776">
        <v>1.23</v>
      </c>
      <c r="G776">
        <v>-0.7847</v>
      </c>
      <c r="H776">
        <v>2.132333</v>
      </c>
      <c r="I776">
        <v>2.101223</v>
      </c>
      <c r="J776">
        <v>0.03111</v>
      </c>
      <c r="K776" s="4">
        <f t="shared" si="36"/>
        <v>0.0148056631780634</v>
      </c>
      <c r="L776" s="4">
        <f t="shared" si="37"/>
        <v>-4.52620372014468e-5</v>
      </c>
      <c r="M776" s="18">
        <f t="shared" si="38"/>
        <v>-9.65181e-5</v>
      </c>
    </row>
    <row r="777" spans="1:13">
      <c r="A777" t="s">
        <v>13</v>
      </c>
      <c r="B777" t="s">
        <v>1564</v>
      </c>
      <c r="C777" t="s">
        <v>1565</v>
      </c>
      <c r="D777">
        <v>13739.7618</v>
      </c>
      <c r="E777">
        <v>13751.0818</v>
      </c>
      <c r="F777">
        <v>1.03</v>
      </c>
      <c r="G777">
        <v>-11.32</v>
      </c>
      <c r="H777">
        <v>1.415195</v>
      </c>
      <c r="I777">
        <v>1.417737</v>
      </c>
      <c r="J777">
        <v>-0.002542</v>
      </c>
      <c r="K777" s="4">
        <f t="shared" si="36"/>
        <v>-0.00179299827824202</v>
      </c>
      <c r="L777" s="4">
        <f t="shared" si="37"/>
        <v>-0.000823207960263876</v>
      </c>
      <c r="M777" s="18">
        <f t="shared" si="38"/>
        <v>-0.00116596</v>
      </c>
    </row>
    <row r="778" spans="1:13">
      <c r="A778" t="s">
        <v>13</v>
      </c>
      <c r="B778" t="s">
        <v>1566</v>
      </c>
      <c r="C778" t="s">
        <v>1567</v>
      </c>
      <c r="D778">
        <v>7679.3483</v>
      </c>
      <c r="E778">
        <v>7688.9283</v>
      </c>
      <c r="F778">
        <v>1.219</v>
      </c>
      <c r="G778">
        <v>-9.58</v>
      </c>
      <c r="H778">
        <v>0.936113</v>
      </c>
      <c r="I778">
        <v>0.941894</v>
      </c>
      <c r="J778">
        <v>-0.005781</v>
      </c>
      <c r="K778" s="4">
        <f t="shared" si="36"/>
        <v>-0.0061376333217963</v>
      </c>
      <c r="L778" s="4">
        <f t="shared" si="37"/>
        <v>-0.0012459473708449</v>
      </c>
      <c r="M778" s="18">
        <f t="shared" si="38"/>
        <v>-0.001167802</v>
      </c>
    </row>
    <row r="779" spans="1:13">
      <c r="A779" t="s">
        <v>13</v>
      </c>
      <c r="B779" t="s">
        <v>1568</v>
      </c>
      <c r="C779" t="s">
        <v>1569</v>
      </c>
      <c r="D779">
        <v>729.1508</v>
      </c>
      <c r="E779">
        <v>731.0208</v>
      </c>
      <c r="F779">
        <v>1.723</v>
      </c>
      <c r="G779">
        <v>-1.87</v>
      </c>
      <c r="H779">
        <v>0.125633</v>
      </c>
      <c r="I779">
        <v>0.127051</v>
      </c>
      <c r="J779">
        <v>-0.001418</v>
      </c>
      <c r="K779" s="4">
        <f t="shared" si="36"/>
        <v>-0.0111608724055694</v>
      </c>
      <c r="L779" s="4">
        <f t="shared" si="37"/>
        <v>-0.00255806674721158</v>
      </c>
      <c r="M779" s="18">
        <f t="shared" si="38"/>
        <v>-0.000322201</v>
      </c>
    </row>
    <row r="780" spans="1:13">
      <c r="A780" t="s">
        <v>13</v>
      </c>
      <c r="B780" t="s">
        <v>1570</v>
      </c>
      <c r="C780" t="s">
        <v>1571</v>
      </c>
      <c r="D780">
        <v>989.0939</v>
      </c>
      <c r="E780">
        <v>991.8139</v>
      </c>
      <c r="F780">
        <v>0.998</v>
      </c>
      <c r="G780">
        <v>-2.72</v>
      </c>
      <c r="H780">
        <v>0.098712</v>
      </c>
      <c r="I780">
        <v>0.100272</v>
      </c>
      <c r="J780">
        <v>-0.00156</v>
      </c>
      <c r="K780" s="4">
        <f t="shared" si="36"/>
        <v>-0.0155576831019627</v>
      </c>
      <c r="L780" s="4">
        <f t="shared" si="37"/>
        <v>-0.00274244996969696</v>
      </c>
      <c r="M780" s="18">
        <f t="shared" si="38"/>
        <v>-0.000271456</v>
      </c>
    </row>
    <row r="781" spans="1:13">
      <c r="A781" t="s">
        <v>13</v>
      </c>
      <c r="B781" t="s">
        <v>1572</v>
      </c>
      <c r="C781" t="s">
        <v>1573</v>
      </c>
      <c r="D781">
        <v>1274.8572</v>
      </c>
      <c r="E781">
        <v>1278.7908</v>
      </c>
      <c r="F781">
        <v>1.734</v>
      </c>
      <c r="G781">
        <v>-3.9336</v>
      </c>
      <c r="H781">
        <v>0.22106</v>
      </c>
      <c r="I781">
        <v>0.216371</v>
      </c>
      <c r="J781">
        <v>0.004689</v>
      </c>
      <c r="K781" s="4">
        <f t="shared" si="36"/>
        <v>0.0216711111932745</v>
      </c>
      <c r="L781" s="4">
        <f t="shared" si="37"/>
        <v>-0.0030760308879295</v>
      </c>
      <c r="M781" s="18">
        <f t="shared" si="38"/>
        <v>-0.00068208624</v>
      </c>
    </row>
    <row r="782" spans="1:13">
      <c r="A782" t="s">
        <v>13</v>
      </c>
      <c r="B782" t="s">
        <v>1574</v>
      </c>
      <c r="C782" t="s">
        <v>1575</v>
      </c>
      <c r="D782">
        <v>1309.2887</v>
      </c>
      <c r="E782">
        <v>1318.6794</v>
      </c>
      <c r="F782">
        <v>2.173</v>
      </c>
      <c r="G782">
        <v>-9.3907</v>
      </c>
      <c r="H782">
        <v>0.284508</v>
      </c>
      <c r="I782">
        <v>0.293934</v>
      </c>
      <c r="J782">
        <v>-0.009426</v>
      </c>
      <c r="K782" s="4">
        <f t="shared" si="36"/>
        <v>-0.0320684235236482</v>
      </c>
      <c r="L782" s="4">
        <f t="shared" si="37"/>
        <v>-0.00712129119481196</v>
      </c>
      <c r="M782" s="18">
        <f t="shared" si="38"/>
        <v>-0.00204059911</v>
      </c>
    </row>
    <row r="783" spans="1:13">
      <c r="A783" t="s">
        <v>13</v>
      </c>
      <c r="B783" t="s">
        <v>1576</v>
      </c>
      <c r="C783" t="s">
        <v>1577</v>
      </c>
      <c r="D783">
        <v>276.6984</v>
      </c>
      <c r="E783">
        <v>276.6984</v>
      </c>
      <c r="F783">
        <v>1.947</v>
      </c>
      <c r="G783">
        <v>0</v>
      </c>
      <c r="H783">
        <v>0.053873</v>
      </c>
      <c r="I783">
        <v>0.053181</v>
      </c>
      <c r="J783">
        <v>0.000692</v>
      </c>
      <c r="K783" s="4">
        <f t="shared" si="36"/>
        <v>0.013012165999135</v>
      </c>
      <c r="L783" s="4">
        <f t="shared" si="37"/>
        <v>0</v>
      </c>
      <c r="M783" s="18">
        <f t="shared" si="38"/>
        <v>0</v>
      </c>
    </row>
    <row r="784" spans="1:13">
      <c r="A784" t="s">
        <v>13</v>
      </c>
      <c r="B784" t="s">
        <v>1578</v>
      </c>
      <c r="C784" t="s">
        <v>1579</v>
      </c>
      <c r="D784">
        <v>678.5721</v>
      </c>
      <c r="E784">
        <v>677.8719</v>
      </c>
      <c r="F784">
        <v>1.12</v>
      </c>
      <c r="G784">
        <v>0.7002</v>
      </c>
      <c r="H784">
        <v>0.076</v>
      </c>
      <c r="I784">
        <v>0.076193</v>
      </c>
      <c r="J784">
        <v>-0.000193</v>
      </c>
      <c r="K784" s="4">
        <f t="shared" si="36"/>
        <v>-0.00253304109301379</v>
      </c>
      <c r="L784" s="4">
        <f t="shared" si="37"/>
        <v>0.00103293852422559</v>
      </c>
      <c r="M784" s="18">
        <f t="shared" si="38"/>
        <v>7.84224e-5</v>
      </c>
    </row>
    <row r="785" spans="1:13">
      <c r="A785" t="s">
        <v>13</v>
      </c>
      <c r="B785" t="s">
        <v>1580</v>
      </c>
      <c r="C785" t="s">
        <v>1581</v>
      </c>
      <c r="D785">
        <v>503.1262</v>
      </c>
      <c r="E785">
        <v>503.1262</v>
      </c>
      <c r="F785">
        <v>0.6431</v>
      </c>
      <c r="G785">
        <v>0</v>
      </c>
      <c r="H785">
        <v>0.032356</v>
      </c>
      <c r="I785">
        <v>0.032935</v>
      </c>
      <c r="J785">
        <v>-0.000579</v>
      </c>
      <c r="K785" s="4">
        <f t="shared" si="36"/>
        <v>-0.0175800819796569</v>
      </c>
      <c r="L785" s="4">
        <f t="shared" si="37"/>
        <v>0</v>
      </c>
      <c r="M785" s="18">
        <f t="shared" si="38"/>
        <v>0</v>
      </c>
    </row>
    <row r="786" spans="1:13">
      <c r="A786" t="s">
        <v>13</v>
      </c>
      <c r="B786" t="s">
        <v>1582</v>
      </c>
      <c r="C786" t="s">
        <v>1583</v>
      </c>
      <c r="D786">
        <v>299.3863</v>
      </c>
      <c r="E786">
        <v>299.6663</v>
      </c>
      <c r="F786">
        <v>3.1035</v>
      </c>
      <c r="G786">
        <v>-0.28</v>
      </c>
      <c r="H786">
        <v>0.092915</v>
      </c>
      <c r="I786">
        <v>0.091473</v>
      </c>
      <c r="J786">
        <v>0.001442</v>
      </c>
      <c r="K786" s="4">
        <f t="shared" si="36"/>
        <v>0.015764214576979</v>
      </c>
      <c r="L786" s="4">
        <f t="shared" si="37"/>
        <v>-0.000934372667196721</v>
      </c>
      <c r="M786" s="18">
        <f t="shared" si="38"/>
        <v>-8.6898e-5</v>
      </c>
    </row>
    <row r="787" spans="1:13">
      <c r="A787" t="s">
        <v>13</v>
      </c>
      <c r="B787" t="s">
        <v>1584</v>
      </c>
      <c r="C787" t="s">
        <v>1585</v>
      </c>
      <c r="D787">
        <v>102.7541</v>
      </c>
      <c r="E787">
        <v>105.108</v>
      </c>
      <c r="F787">
        <v>1.8876</v>
      </c>
      <c r="G787">
        <v>-2.3539</v>
      </c>
      <c r="H787">
        <v>0.019396</v>
      </c>
      <c r="I787">
        <v>0.019509</v>
      </c>
      <c r="J787">
        <v>-0.000113</v>
      </c>
      <c r="K787" s="4">
        <f t="shared" si="36"/>
        <v>-0.00579219847249987</v>
      </c>
      <c r="L787" s="4">
        <f t="shared" si="37"/>
        <v>-0.0223950603189102</v>
      </c>
      <c r="M787" s="18">
        <f t="shared" si="38"/>
        <v>-0.000444322164</v>
      </c>
    </row>
    <row r="788" spans="1:13">
      <c r="A788" t="s">
        <v>13</v>
      </c>
      <c r="B788" t="s">
        <v>1586</v>
      </c>
      <c r="C788" t="s">
        <v>1587</v>
      </c>
      <c r="D788">
        <v>581.5437</v>
      </c>
      <c r="E788">
        <v>585.7005</v>
      </c>
      <c r="F788">
        <v>2.9897</v>
      </c>
      <c r="G788">
        <v>-4.1568</v>
      </c>
      <c r="H788">
        <v>0.173864</v>
      </c>
      <c r="I788">
        <v>0.173578</v>
      </c>
      <c r="J788">
        <v>0.000286</v>
      </c>
      <c r="K788" s="4">
        <f t="shared" si="36"/>
        <v>0.0016476742444319</v>
      </c>
      <c r="L788" s="4">
        <f t="shared" si="37"/>
        <v>-0.00709714265226014</v>
      </c>
      <c r="M788" s="18">
        <f t="shared" si="38"/>
        <v>-0.001242758496</v>
      </c>
    </row>
    <row r="789" spans="1:13">
      <c r="A789" t="s">
        <v>13</v>
      </c>
      <c r="B789" t="s">
        <v>1588</v>
      </c>
      <c r="C789" t="s">
        <v>1589</v>
      </c>
      <c r="D789">
        <v>7268.4976</v>
      </c>
      <c r="E789">
        <v>7268.4976</v>
      </c>
      <c r="F789">
        <v>2.7445</v>
      </c>
      <c r="G789">
        <v>0</v>
      </c>
      <c r="H789">
        <v>1.994839</v>
      </c>
      <c r="I789">
        <v>1.957479</v>
      </c>
      <c r="J789">
        <v>0.03736</v>
      </c>
      <c r="K789" s="4">
        <f t="shared" si="36"/>
        <v>0.0190857730785362</v>
      </c>
      <c r="L789" s="4">
        <f t="shared" si="37"/>
        <v>0</v>
      </c>
      <c r="M789" s="18">
        <f t="shared" si="38"/>
        <v>0</v>
      </c>
    </row>
    <row r="790" spans="1:13">
      <c r="A790" t="s">
        <v>13</v>
      </c>
      <c r="B790" t="s">
        <v>1590</v>
      </c>
      <c r="C790" t="s">
        <v>1591</v>
      </c>
      <c r="D790">
        <v>12059.8563</v>
      </c>
      <c r="E790">
        <v>12049.7914</v>
      </c>
      <c r="F790">
        <v>1.7477</v>
      </c>
      <c r="G790">
        <v>10.0649</v>
      </c>
      <c r="H790">
        <v>2.107701</v>
      </c>
      <c r="I790">
        <v>2.105099</v>
      </c>
      <c r="J790">
        <v>0.002602</v>
      </c>
      <c r="K790" s="4">
        <f t="shared" si="36"/>
        <v>0.00123604638071654</v>
      </c>
      <c r="L790" s="4">
        <f t="shared" si="37"/>
        <v>0.000835275870418752</v>
      </c>
      <c r="M790" s="18">
        <f t="shared" si="38"/>
        <v>0.001759042573</v>
      </c>
    </row>
    <row r="791" spans="1:13">
      <c r="A791" t="s">
        <v>13</v>
      </c>
      <c r="B791" t="s">
        <v>1592</v>
      </c>
      <c r="C791" t="s">
        <v>1593</v>
      </c>
      <c r="D791">
        <v>21316.4524</v>
      </c>
      <c r="E791">
        <v>21316.4534</v>
      </c>
      <c r="F791">
        <v>1.6142</v>
      </c>
      <c r="G791">
        <v>-0.001</v>
      </c>
      <c r="H791">
        <v>3.440902</v>
      </c>
      <c r="I791">
        <v>3.435786</v>
      </c>
      <c r="J791">
        <v>0.005116</v>
      </c>
      <c r="K791" s="4">
        <f t="shared" si="36"/>
        <v>0.00148903336820163</v>
      </c>
      <c r="L791" s="4">
        <f t="shared" si="37"/>
        <v>-4.69121190771691e-8</v>
      </c>
      <c r="M791" s="18">
        <f t="shared" si="38"/>
        <v>-1.6142e-7</v>
      </c>
    </row>
    <row r="792" spans="1:13">
      <c r="A792" t="s">
        <v>13</v>
      </c>
      <c r="B792" t="s">
        <v>1594</v>
      </c>
      <c r="C792" t="s">
        <v>1595</v>
      </c>
      <c r="D792">
        <v>20686.1468</v>
      </c>
      <c r="E792">
        <v>20686.1468</v>
      </c>
      <c r="F792">
        <v>1.045</v>
      </c>
      <c r="G792">
        <v>0</v>
      </c>
      <c r="H792">
        <v>2.161702</v>
      </c>
      <c r="I792">
        <v>2.159634</v>
      </c>
      <c r="J792">
        <v>0.002068</v>
      </c>
      <c r="K792" s="4">
        <f t="shared" si="36"/>
        <v>0.000957569662266847</v>
      </c>
      <c r="L792" s="4">
        <f t="shared" si="37"/>
        <v>0</v>
      </c>
      <c r="M792" s="18">
        <f t="shared" si="38"/>
        <v>0</v>
      </c>
    </row>
    <row r="793" spans="1:13">
      <c r="A793" t="s">
        <v>13</v>
      </c>
      <c r="B793" t="s">
        <v>1596</v>
      </c>
      <c r="C793" t="s">
        <v>1597</v>
      </c>
      <c r="D793">
        <v>1176.3654</v>
      </c>
      <c r="E793">
        <v>1184.4954</v>
      </c>
      <c r="F793">
        <v>1.7047</v>
      </c>
      <c r="G793">
        <v>-8.13</v>
      </c>
      <c r="H793">
        <v>0.200535</v>
      </c>
      <c r="I793">
        <v>0.198983</v>
      </c>
      <c r="J793">
        <v>0.001552</v>
      </c>
      <c r="K793" s="4">
        <f t="shared" si="36"/>
        <v>0.00779966127759658</v>
      </c>
      <c r="L793" s="4">
        <f t="shared" si="37"/>
        <v>-0.00686368220594196</v>
      </c>
      <c r="M793" s="18">
        <f t="shared" si="38"/>
        <v>-0.0013859211</v>
      </c>
    </row>
    <row r="794" spans="1:13">
      <c r="A794" t="s">
        <v>13</v>
      </c>
      <c r="B794" t="s">
        <v>1598</v>
      </c>
      <c r="C794" t="s">
        <v>1599</v>
      </c>
      <c r="D794">
        <v>53539.5164</v>
      </c>
      <c r="E794">
        <v>53537.8359</v>
      </c>
      <c r="F794">
        <v>1.7864</v>
      </c>
      <c r="G794">
        <v>1.6805</v>
      </c>
      <c r="H794">
        <v>9.564299</v>
      </c>
      <c r="I794">
        <v>9.557574</v>
      </c>
      <c r="J794">
        <v>0.006725</v>
      </c>
      <c r="K794" s="4">
        <f t="shared" si="36"/>
        <v>0.000703630440109593</v>
      </c>
      <c r="L794" s="4">
        <f t="shared" si="37"/>
        <v>3.13890162303369e-5</v>
      </c>
      <c r="M794" s="18">
        <f t="shared" si="38"/>
        <v>0.00030020452</v>
      </c>
    </row>
    <row r="795" spans="1:13">
      <c r="A795" t="s">
        <v>13</v>
      </c>
      <c r="B795" t="s">
        <v>1600</v>
      </c>
      <c r="C795" t="s">
        <v>1601</v>
      </c>
      <c r="D795">
        <v>780.6841</v>
      </c>
      <c r="E795">
        <v>780.6829</v>
      </c>
      <c r="F795">
        <v>1.5738</v>
      </c>
      <c r="G795">
        <v>0.0012</v>
      </c>
      <c r="H795">
        <v>0.122864</v>
      </c>
      <c r="I795">
        <v>0.123965</v>
      </c>
      <c r="J795">
        <v>-0.001101</v>
      </c>
      <c r="K795" s="4">
        <f t="shared" si="36"/>
        <v>-0.00888153914411326</v>
      </c>
      <c r="L795" s="4">
        <f t="shared" si="37"/>
        <v>1.53711577380028e-6</v>
      </c>
      <c r="M795" s="18">
        <f t="shared" si="38"/>
        <v>1.88856e-7</v>
      </c>
    </row>
    <row r="796" spans="1:13">
      <c r="A796" t="s">
        <v>13</v>
      </c>
      <c r="B796" t="s">
        <v>1602</v>
      </c>
      <c r="C796" t="s">
        <v>1603</v>
      </c>
      <c r="D796">
        <v>2391.8178</v>
      </c>
      <c r="E796">
        <v>2389.7881</v>
      </c>
      <c r="F796">
        <v>0.4693</v>
      </c>
      <c r="G796">
        <v>2.0297</v>
      </c>
      <c r="H796">
        <v>0.112248</v>
      </c>
      <c r="I796">
        <v>0.11287</v>
      </c>
      <c r="J796">
        <v>-0.000622</v>
      </c>
      <c r="K796" s="4">
        <f t="shared" si="36"/>
        <v>-0.00551076459643838</v>
      </c>
      <c r="L796" s="4">
        <f t="shared" si="37"/>
        <v>0.000849322163751503</v>
      </c>
      <c r="M796" s="18">
        <f t="shared" si="38"/>
        <v>9.5253821e-5</v>
      </c>
    </row>
    <row r="797" spans="1:13">
      <c r="A797" t="s">
        <v>13</v>
      </c>
      <c r="B797" t="s">
        <v>1604</v>
      </c>
      <c r="C797" t="s">
        <v>1605</v>
      </c>
      <c r="D797">
        <v>2372.9173</v>
      </c>
      <c r="E797">
        <v>2376.8573</v>
      </c>
      <c r="F797">
        <v>1.5791</v>
      </c>
      <c r="G797">
        <v>-3.94</v>
      </c>
      <c r="H797">
        <v>0.374707</v>
      </c>
      <c r="I797">
        <v>0.371455</v>
      </c>
      <c r="J797">
        <v>0.003252</v>
      </c>
      <c r="K797" s="4">
        <f t="shared" si="36"/>
        <v>0.00875476168041889</v>
      </c>
      <c r="L797" s="4">
        <f t="shared" si="37"/>
        <v>-0.00165765105040174</v>
      </c>
      <c r="M797" s="18">
        <f t="shared" si="38"/>
        <v>-0.0006221654</v>
      </c>
    </row>
    <row r="798" spans="1:13">
      <c r="A798" t="s">
        <v>13</v>
      </c>
      <c r="B798" t="s">
        <v>1606</v>
      </c>
      <c r="C798" t="s">
        <v>1607</v>
      </c>
      <c r="D798">
        <v>6981.2431</v>
      </c>
      <c r="E798">
        <v>6991.3677</v>
      </c>
      <c r="F798">
        <v>0.9535</v>
      </c>
      <c r="G798">
        <v>-10.1246</v>
      </c>
      <c r="H798">
        <v>0.665662</v>
      </c>
      <c r="I798">
        <v>0.675925</v>
      </c>
      <c r="J798">
        <v>-0.010263</v>
      </c>
      <c r="K798" s="4">
        <f t="shared" si="36"/>
        <v>-0.0151836372378592</v>
      </c>
      <c r="L798" s="4">
        <f t="shared" si="37"/>
        <v>-0.00144815727543555</v>
      </c>
      <c r="M798" s="18">
        <f t="shared" si="38"/>
        <v>-0.00096538061</v>
      </c>
    </row>
    <row r="799" spans="1:13">
      <c r="A799" t="s">
        <v>13</v>
      </c>
      <c r="B799" t="s">
        <v>1608</v>
      </c>
      <c r="C799" t="s">
        <v>1609</v>
      </c>
      <c r="D799">
        <v>24524.6754</v>
      </c>
      <c r="E799">
        <v>24524.6038</v>
      </c>
      <c r="F799">
        <v>3.1027</v>
      </c>
      <c r="G799">
        <v>0.0716</v>
      </c>
      <c r="H799">
        <v>7.609271</v>
      </c>
      <c r="I799">
        <v>7.648243</v>
      </c>
      <c r="J799">
        <v>-0.038972</v>
      </c>
      <c r="K799" s="4">
        <f t="shared" si="36"/>
        <v>-0.00509554939611621</v>
      </c>
      <c r="L799" s="4">
        <f t="shared" si="37"/>
        <v>2.91951709325095e-6</v>
      </c>
      <c r="M799" s="18">
        <f t="shared" si="38"/>
        <v>2.2215332e-5</v>
      </c>
    </row>
    <row r="800" spans="1:13">
      <c r="A800" t="s">
        <v>13</v>
      </c>
      <c r="B800" t="s">
        <v>1610</v>
      </c>
      <c r="C800" t="s">
        <v>1611</v>
      </c>
      <c r="D800">
        <v>4879.6019</v>
      </c>
      <c r="E800">
        <v>4880.5416</v>
      </c>
      <c r="F800">
        <v>1.8749</v>
      </c>
      <c r="G800">
        <v>-0.9397</v>
      </c>
      <c r="H800">
        <v>0.914877</v>
      </c>
      <c r="I800">
        <v>0.916615</v>
      </c>
      <c r="J800">
        <v>-0.001738</v>
      </c>
      <c r="K800" s="4">
        <f t="shared" si="36"/>
        <v>-0.00189610687147821</v>
      </c>
      <c r="L800" s="4">
        <f t="shared" si="37"/>
        <v>-0.000192540106614377</v>
      </c>
      <c r="M800" s="18">
        <f t="shared" si="38"/>
        <v>-0.000176184353</v>
      </c>
    </row>
    <row r="801" spans="1:13">
      <c r="A801" t="s">
        <v>13</v>
      </c>
      <c r="B801" t="s">
        <v>1612</v>
      </c>
      <c r="C801" t="s">
        <v>1613</v>
      </c>
      <c r="D801">
        <v>8912.5663</v>
      </c>
      <c r="E801">
        <v>8949.6403</v>
      </c>
      <c r="F801">
        <v>1.8141</v>
      </c>
      <c r="G801">
        <v>-37.074</v>
      </c>
      <c r="H801">
        <v>1.616829</v>
      </c>
      <c r="I801">
        <v>1.634652</v>
      </c>
      <c r="J801">
        <v>-0.017823</v>
      </c>
      <c r="K801" s="4">
        <f t="shared" si="36"/>
        <v>-0.0109032381204073</v>
      </c>
      <c r="L801" s="4">
        <f t="shared" si="37"/>
        <v>-0.0041425128560752</v>
      </c>
      <c r="M801" s="18">
        <f t="shared" si="38"/>
        <v>-0.00672559434</v>
      </c>
    </row>
    <row r="802" spans="1:13">
      <c r="A802" t="s">
        <v>13</v>
      </c>
      <c r="B802" t="s">
        <v>1614</v>
      </c>
      <c r="C802" t="s">
        <v>1615</v>
      </c>
      <c r="D802">
        <v>48016.4002</v>
      </c>
      <c r="E802">
        <v>48015.5046</v>
      </c>
      <c r="F802">
        <v>6.614</v>
      </c>
      <c r="G802">
        <v>0.8956</v>
      </c>
      <c r="H802">
        <v>31.758047</v>
      </c>
      <c r="I802">
        <v>32.466644</v>
      </c>
      <c r="J802">
        <v>-0.708597</v>
      </c>
      <c r="K802" s="4">
        <f t="shared" si="36"/>
        <v>-0.0218253848472913</v>
      </c>
      <c r="L802" s="4">
        <f t="shared" si="37"/>
        <v>1.86523084044855e-5</v>
      </c>
      <c r="M802" s="18">
        <f t="shared" si="38"/>
        <v>0.00059234984</v>
      </c>
    </row>
    <row r="803" spans="1:13">
      <c r="A803" t="s">
        <v>13</v>
      </c>
      <c r="B803" t="s">
        <v>1616</v>
      </c>
      <c r="C803" t="s">
        <v>1617</v>
      </c>
      <c r="D803">
        <v>43929.1135</v>
      </c>
      <c r="E803">
        <v>43929.1643</v>
      </c>
      <c r="F803">
        <v>1.5252</v>
      </c>
      <c r="G803">
        <v>-0.0508</v>
      </c>
      <c r="H803">
        <v>6.700068</v>
      </c>
      <c r="I803">
        <v>6.935536</v>
      </c>
      <c r="J803">
        <v>-0.235468</v>
      </c>
      <c r="K803" s="4">
        <f t="shared" si="36"/>
        <v>-0.0339509448152241</v>
      </c>
      <c r="L803" s="4">
        <f t="shared" si="37"/>
        <v>-1.15640715699326e-6</v>
      </c>
      <c r="M803" s="18">
        <f t="shared" si="38"/>
        <v>-7.748016e-6</v>
      </c>
    </row>
    <row r="804" spans="1:13">
      <c r="A804" t="s">
        <v>13</v>
      </c>
      <c r="B804" t="s">
        <v>1618</v>
      </c>
      <c r="C804" t="s">
        <v>1619</v>
      </c>
      <c r="D804">
        <v>15719.6233</v>
      </c>
      <c r="E804">
        <v>15719.5657</v>
      </c>
      <c r="F804">
        <v>4.5287</v>
      </c>
      <c r="G804">
        <v>0.0576</v>
      </c>
      <c r="H804">
        <v>7.118946</v>
      </c>
      <c r="I804">
        <v>7.246248</v>
      </c>
      <c r="J804">
        <v>-0.127302</v>
      </c>
      <c r="K804" s="4">
        <f t="shared" si="36"/>
        <v>-0.0175679882885598</v>
      </c>
      <c r="L804" s="4">
        <f t="shared" si="37"/>
        <v>3.66422336973935e-6</v>
      </c>
      <c r="M804" s="18">
        <f t="shared" si="38"/>
        <v>2.6085312e-5</v>
      </c>
    </row>
    <row r="805" spans="1:13">
      <c r="A805" t="s">
        <v>13</v>
      </c>
      <c r="B805" t="s">
        <v>1620</v>
      </c>
      <c r="C805" t="s">
        <v>1621</v>
      </c>
      <c r="D805">
        <v>4868.2372</v>
      </c>
      <c r="E805">
        <v>4873.5185</v>
      </c>
      <c r="F805">
        <v>1.0219</v>
      </c>
      <c r="G805">
        <v>-5.2813</v>
      </c>
      <c r="H805">
        <v>0.497485</v>
      </c>
      <c r="I805">
        <v>0.477605</v>
      </c>
      <c r="J805">
        <v>0.01988</v>
      </c>
      <c r="K805" s="4">
        <f t="shared" si="36"/>
        <v>0.0416243548539065</v>
      </c>
      <c r="L805" s="4">
        <f t="shared" si="37"/>
        <v>-0.00108367291516397</v>
      </c>
      <c r="M805" s="18">
        <f t="shared" si="38"/>
        <v>-0.000539696047</v>
      </c>
    </row>
    <row r="806" spans="1:13">
      <c r="A806" t="s">
        <v>13</v>
      </c>
      <c r="B806" t="s">
        <v>1622</v>
      </c>
      <c r="C806" t="s">
        <v>1623</v>
      </c>
      <c r="D806">
        <v>682.1434</v>
      </c>
      <c r="E806">
        <v>682.1434</v>
      </c>
      <c r="F806">
        <v>3.566</v>
      </c>
      <c r="G806">
        <v>0</v>
      </c>
      <c r="H806">
        <v>0.243252</v>
      </c>
      <c r="I806">
        <v>0.233757</v>
      </c>
      <c r="J806">
        <v>0.009495</v>
      </c>
      <c r="K806" s="4">
        <f t="shared" si="36"/>
        <v>0.040619104454626</v>
      </c>
      <c r="L806" s="4">
        <f t="shared" si="37"/>
        <v>0</v>
      </c>
      <c r="M806" s="18">
        <f t="shared" si="38"/>
        <v>0</v>
      </c>
    </row>
    <row r="807" spans="1:13">
      <c r="A807" t="s">
        <v>13</v>
      </c>
      <c r="B807" t="s">
        <v>1624</v>
      </c>
      <c r="C807" t="s">
        <v>1625</v>
      </c>
      <c r="D807">
        <v>558.1731</v>
      </c>
      <c r="E807">
        <v>550.183</v>
      </c>
      <c r="F807">
        <v>1.9398</v>
      </c>
      <c r="G807">
        <v>7.9901</v>
      </c>
      <c r="H807">
        <v>0.108274</v>
      </c>
      <c r="I807">
        <v>0.104777</v>
      </c>
      <c r="J807">
        <v>0.003497</v>
      </c>
      <c r="K807" s="4">
        <f t="shared" si="36"/>
        <v>0.0333756454183647</v>
      </c>
      <c r="L807" s="4">
        <f t="shared" si="37"/>
        <v>0.0145226224728863</v>
      </c>
      <c r="M807" s="18">
        <f t="shared" si="38"/>
        <v>0.001549919598</v>
      </c>
    </row>
    <row r="808" spans="1:13">
      <c r="A808" t="s">
        <v>13</v>
      </c>
      <c r="B808" t="s">
        <v>1626</v>
      </c>
      <c r="C808" t="s">
        <v>1627</v>
      </c>
      <c r="D808">
        <v>2690.64</v>
      </c>
      <c r="E808">
        <v>2701.8462</v>
      </c>
      <c r="F808">
        <v>1.4028</v>
      </c>
      <c r="G808">
        <v>-11.2062</v>
      </c>
      <c r="H808">
        <v>0.377443</v>
      </c>
      <c r="I808">
        <v>0.378529</v>
      </c>
      <c r="J808">
        <v>-0.001086</v>
      </c>
      <c r="K808" s="4">
        <f t="shared" si="36"/>
        <v>-0.00286900078989985</v>
      </c>
      <c r="L808" s="4">
        <f t="shared" si="37"/>
        <v>-0.00414760840198827</v>
      </c>
      <c r="M808" s="18">
        <f t="shared" si="38"/>
        <v>-0.001572005736</v>
      </c>
    </row>
    <row r="809" spans="1:13">
      <c r="A809" t="s">
        <v>13</v>
      </c>
      <c r="B809" t="s">
        <v>1628</v>
      </c>
      <c r="C809" t="s">
        <v>1629</v>
      </c>
      <c r="D809">
        <v>2737.2347</v>
      </c>
      <c r="E809">
        <v>2860.3687</v>
      </c>
      <c r="F809">
        <v>2.3499</v>
      </c>
      <c r="G809">
        <v>-123.134</v>
      </c>
      <c r="H809">
        <v>0.643223</v>
      </c>
      <c r="I809">
        <v>0.671815</v>
      </c>
      <c r="J809">
        <v>-0.028592</v>
      </c>
      <c r="K809" s="4">
        <f t="shared" si="36"/>
        <v>-0.0425593355313591</v>
      </c>
      <c r="L809" s="4">
        <f t="shared" si="37"/>
        <v>-0.0430482965360375</v>
      </c>
      <c r="M809" s="18">
        <f t="shared" si="38"/>
        <v>-0.02893525866</v>
      </c>
    </row>
    <row r="810" spans="1:13">
      <c r="A810" t="s">
        <v>13</v>
      </c>
      <c r="B810" t="s">
        <v>1630</v>
      </c>
      <c r="C810" t="s">
        <v>1631</v>
      </c>
      <c r="D810">
        <v>63.9646</v>
      </c>
      <c r="E810">
        <v>63.9646</v>
      </c>
      <c r="F810">
        <v>3.0716</v>
      </c>
      <c r="G810">
        <v>0</v>
      </c>
      <c r="H810">
        <v>0.019647</v>
      </c>
      <c r="I810">
        <v>0.01961</v>
      </c>
      <c r="J810">
        <v>3.7e-5</v>
      </c>
      <c r="K810" s="4">
        <f t="shared" si="36"/>
        <v>0.00188679245283019</v>
      </c>
      <c r="L810" s="4">
        <f t="shared" si="37"/>
        <v>0</v>
      </c>
      <c r="M810" s="18">
        <f t="shared" si="38"/>
        <v>0</v>
      </c>
    </row>
    <row r="811" spans="1:13">
      <c r="A811" t="s">
        <v>13</v>
      </c>
      <c r="B811" t="s">
        <v>1632</v>
      </c>
      <c r="C811" t="s">
        <v>1633</v>
      </c>
      <c r="D811">
        <v>774.5364</v>
      </c>
      <c r="E811">
        <v>780.1332</v>
      </c>
      <c r="F811">
        <v>2.8854</v>
      </c>
      <c r="G811">
        <v>-5.5968</v>
      </c>
      <c r="H811">
        <v>0.223485</v>
      </c>
      <c r="I811">
        <v>0.225466</v>
      </c>
      <c r="J811">
        <v>-0.001981</v>
      </c>
      <c r="K811" s="4">
        <f t="shared" si="36"/>
        <v>-0.00878624715034639</v>
      </c>
      <c r="L811" s="4">
        <f t="shared" si="37"/>
        <v>-0.00717415948968718</v>
      </c>
      <c r="M811" s="18">
        <f t="shared" si="38"/>
        <v>-0.001614900672</v>
      </c>
    </row>
    <row r="812" spans="1:13">
      <c r="A812" t="s">
        <v>13</v>
      </c>
      <c r="B812" t="s">
        <v>1634</v>
      </c>
      <c r="C812" t="s">
        <v>1635</v>
      </c>
      <c r="D812">
        <v>539.8981</v>
      </c>
      <c r="E812">
        <v>539.8981</v>
      </c>
      <c r="F812">
        <v>1.256</v>
      </c>
      <c r="G812">
        <v>0</v>
      </c>
      <c r="H812">
        <v>0.067811</v>
      </c>
      <c r="I812">
        <v>0.067568</v>
      </c>
      <c r="J812">
        <v>0.000243</v>
      </c>
      <c r="K812" s="4">
        <f t="shared" si="36"/>
        <v>0.00359637698318731</v>
      </c>
      <c r="L812" s="4">
        <f t="shared" si="37"/>
        <v>0</v>
      </c>
      <c r="M812" s="18">
        <f t="shared" si="38"/>
        <v>0</v>
      </c>
    </row>
    <row r="813" spans="1:13">
      <c r="A813" t="s">
        <v>13</v>
      </c>
      <c r="B813" t="s">
        <v>1636</v>
      </c>
      <c r="C813" t="s">
        <v>1637</v>
      </c>
      <c r="D813">
        <v>632.6252</v>
      </c>
      <c r="E813">
        <v>634.6252</v>
      </c>
      <c r="F813">
        <v>2.4802</v>
      </c>
      <c r="G813">
        <v>-2</v>
      </c>
      <c r="H813">
        <v>0.156904</v>
      </c>
      <c r="I813">
        <v>0.156118</v>
      </c>
      <c r="J813">
        <v>0.000786</v>
      </c>
      <c r="K813" s="4">
        <f t="shared" si="36"/>
        <v>0.00503465327508679</v>
      </c>
      <c r="L813" s="4">
        <f t="shared" si="37"/>
        <v>-0.0031514664088347</v>
      </c>
      <c r="M813" s="18">
        <f t="shared" si="38"/>
        <v>-0.00049604</v>
      </c>
    </row>
    <row r="814" spans="1:13">
      <c r="A814" t="s">
        <v>13</v>
      </c>
      <c r="B814" t="s">
        <v>1638</v>
      </c>
      <c r="C814" t="s">
        <v>1639</v>
      </c>
      <c r="D814">
        <v>365361.9576</v>
      </c>
      <c r="E814">
        <v>365359.1285</v>
      </c>
      <c r="F814">
        <v>1.907</v>
      </c>
      <c r="G814">
        <v>2.8291</v>
      </c>
      <c r="H814">
        <v>69.674525</v>
      </c>
      <c r="I814">
        <v>69.809169</v>
      </c>
      <c r="J814">
        <v>-0.134644</v>
      </c>
      <c r="K814" s="4">
        <f t="shared" si="36"/>
        <v>-0.00192874377289894</v>
      </c>
      <c r="L814" s="4">
        <f t="shared" si="37"/>
        <v>7.7433401257737e-6</v>
      </c>
      <c r="M814" s="18">
        <f t="shared" si="38"/>
        <v>0.00053950937</v>
      </c>
    </row>
    <row r="815" spans="1:13">
      <c r="A815" t="s">
        <v>13</v>
      </c>
      <c r="B815" t="s">
        <v>1640</v>
      </c>
      <c r="C815" t="s">
        <v>1641</v>
      </c>
      <c r="D815">
        <v>11264.3246</v>
      </c>
      <c r="E815">
        <v>11268.076</v>
      </c>
      <c r="F815">
        <v>1.8268</v>
      </c>
      <c r="G815">
        <v>-3.7514</v>
      </c>
      <c r="H815">
        <v>2.057767</v>
      </c>
      <c r="I815">
        <v>2.035465</v>
      </c>
      <c r="J815">
        <v>0.022302</v>
      </c>
      <c r="K815" s="4">
        <f t="shared" si="36"/>
        <v>0.010956710137487</v>
      </c>
      <c r="L815" s="4">
        <f t="shared" si="37"/>
        <v>-0.000332922852135466</v>
      </c>
      <c r="M815" s="18">
        <f t="shared" si="38"/>
        <v>-0.000685305752</v>
      </c>
    </row>
    <row r="816" spans="1:13">
      <c r="A816" t="s">
        <v>13</v>
      </c>
      <c r="B816" t="s">
        <v>1642</v>
      </c>
      <c r="C816" t="s">
        <v>1643</v>
      </c>
      <c r="D816">
        <v>491.8722</v>
      </c>
      <c r="E816">
        <v>491.8694</v>
      </c>
      <c r="F816">
        <v>1.3781</v>
      </c>
      <c r="G816">
        <v>0.0028</v>
      </c>
      <c r="H816">
        <v>0.067785</v>
      </c>
      <c r="I816">
        <v>0.068606</v>
      </c>
      <c r="J816">
        <v>-0.000821</v>
      </c>
      <c r="K816" s="4">
        <f t="shared" si="36"/>
        <v>-0.0119668833629712</v>
      </c>
      <c r="L816" s="4">
        <f t="shared" si="37"/>
        <v>5.69256798661618e-6</v>
      </c>
      <c r="M816" s="18">
        <f t="shared" si="38"/>
        <v>3.85868e-7</v>
      </c>
    </row>
    <row r="817" spans="1:13">
      <c r="A817" t="s">
        <v>13</v>
      </c>
      <c r="B817" t="s">
        <v>1644</v>
      </c>
      <c r="C817" t="s">
        <v>1645</v>
      </c>
      <c r="D817">
        <v>929.7018</v>
      </c>
      <c r="E817">
        <v>933.579</v>
      </c>
      <c r="F817">
        <v>1.3956</v>
      </c>
      <c r="G817">
        <v>-3.8772</v>
      </c>
      <c r="H817">
        <v>0.129749</v>
      </c>
      <c r="I817">
        <v>0.130169</v>
      </c>
      <c r="J817">
        <v>-0.00042</v>
      </c>
      <c r="K817" s="4">
        <f t="shared" si="36"/>
        <v>-0.00322657468368045</v>
      </c>
      <c r="L817" s="4">
        <f t="shared" si="37"/>
        <v>-0.00415304971512845</v>
      </c>
      <c r="M817" s="18">
        <f t="shared" si="38"/>
        <v>-0.000541102032</v>
      </c>
    </row>
    <row r="818" spans="1:13">
      <c r="A818" t="s">
        <v>13</v>
      </c>
      <c r="B818" t="s">
        <v>1646</v>
      </c>
      <c r="C818" t="s">
        <v>1647</v>
      </c>
      <c r="D818">
        <v>60.2274</v>
      </c>
      <c r="E818">
        <v>61.5196</v>
      </c>
      <c r="F818">
        <v>1.846</v>
      </c>
      <c r="G818">
        <v>-1.2922</v>
      </c>
      <c r="H818">
        <v>0.011118</v>
      </c>
      <c r="I818">
        <v>0.011322</v>
      </c>
      <c r="J818">
        <v>-0.000204</v>
      </c>
      <c r="K818" s="4">
        <f t="shared" si="36"/>
        <v>-0.018018018018018</v>
      </c>
      <c r="L818" s="4">
        <f t="shared" si="37"/>
        <v>-0.0210046879368525</v>
      </c>
      <c r="M818" s="18">
        <f t="shared" si="38"/>
        <v>-0.00023854012</v>
      </c>
    </row>
    <row r="819" spans="1:13">
      <c r="A819" t="s">
        <v>13</v>
      </c>
      <c r="B819" t="s">
        <v>1648</v>
      </c>
      <c r="C819" t="s">
        <v>1649</v>
      </c>
      <c r="D819">
        <v>432.2555</v>
      </c>
      <c r="E819">
        <v>433.2555</v>
      </c>
      <c r="F819">
        <v>1.469</v>
      </c>
      <c r="G819">
        <v>-1</v>
      </c>
      <c r="H819">
        <v>0.063498</v>
      </c>
      <c r="I819">
        <v>0.063429</v>
      </c>
      <c r="J819">
        <v>6.9e-5</v>
      </c>
      <c r="K819" s="4">
        <f t="shared" si="36"/>
        <v>0.00108783048763184</v>
      </c>
      <c r="L819" s="4">
        <f t="shared" si="37"/>
        <v>-0.00230810687919715</v>
      </c>
      <c r="M819" s="18">
        <f t="shared" si="38"/>
        <v>-0.0001469</v>
      </c>
    </row>
    <row r="820" spans="1:13">
      <c r="A820" t="s">
        <v>13</v>
      </c>
      <c r="B820" t="s">
        <v>1650</v>
      </c>
      <c r="C820" t="s">
        <v>1651</v>
      </c>
      <c r="D820">
        <v>577.9948</v>
      </c>
      <c r="E820">
        <v>578.4759</v>
      </c>
      <c r="F820">
        <v>1.223</v>
      </c>
      <c r="G820">
        <v>-0.4811</v>
      </c>
      <c r="H820">
        <v>0.070689</v>
      </c>
      <c r="I820">
        <v>0.070401</v>
      </c>
      <c r="J820">
        <v>0.000288</v>
      </c>
      <c r="K820" s="4">
        <f t="shared" si="36"/>
        <v>0.00409085098223037</v>
      </c>
      <c r="L820" s="4">
        <f t="shared" si="37"/>
        <v>-0.00083166818185506</v>
      </c>
      <c r="M820" s="18">
        <f t="shared" si="38"/>
        <v>-5.883853e-5</v>
      </c>
    </row>
    <row r="821" spans="1:13">
      <c r="A821" t="s">
        <v>13</v>
      </c>
      <c r="B821" t="s">
        <v>1652</v>
      </c>
      <c r="C821" t="s">
        <v>1653</v>
      </c>
      <c r="D821">
        <v>4784.1944</v>
      </c>
      <c r="E821">
        <v>4784.3944</v>
      </c>
      <c r="F821">
        <v>2.259</v>
      </c>
      <c r="G821">
        <v>-0.2</v>
      </c>
      <c r="H821">
        <v>1.08075</v>
      </c>
      <c r="I821">
        <v>1.059265</v>
      </c>
      <c r="J821">
        <v>0.021485</v>
      </c>
      <c r="K821" s="4">
        <f t="shared" si="36"/>
        <v>0.0202829320330607</v>
      </c>
      <c r="L821" s="4">
        <f t="shared" si="37"/>
        <v>-4.18025738011519e-5</v>
      </c>
      <c r="M821" s="18">
        <f t="shared" si="38"/>
        <v>-4.518e-5</v>
      </c>
    </row>
    <row r="822" spans="1:13">
      <c r="A822" t="s">
        <v>13</v>
      </c>
      <c r="B822" t="s">
        <v>1654</v>
      </c>
      <c r="C822" t="s">
        <v>1655</v>
      </c>
      <c r="D822">
        <v>171.2617</v>
      </c>
      <c r="E822">
        <v>171.2617</v>
      </c>
      <c r="F822">
        <v>1.1191</v>
      </c>
      <c r="G822">
        <v>0</v>
      </c>
      <c r="H822">
        <v>0.019166</v>
      </c>
      <c r="I822">
        <v>0.019164</v>
      </c>
      <c r="J822">
        <v>2e-6</v>
      </c>
      <c r="K822" s="4">
        <f t="shared" si="36"/>
        <v>0.00010436234606554</v>
      </c>
      <c r="L822" s="4">
        <f t="shared" si="37"/>
        <v>0</v>
      </c>
      <c r="M822" s="18">
        <f t="shared" si="38"/>
        <v>0</v>
      </c>
    </row>
    <row r="823" spans="1:13">
      <c r="A823" t="s">
        <v>13</v>
      </c>
      <c r="B823" t="s">
        <v>1656</v>
      </c>
      <c r="C823" t="s">
        <v>1657</v>
      </c>
      <c r="D823">
        <v>62.0593</v>
      </c>
      <c r="E823">
        <v>63.7054</v>
      </c>
      <c r="F823">
        <v>1.1035</v>
      </c>
      <c r="G823">
        <v>-1.6461</v>
      </c>
      <c r="H823">
        <v>0.006848</v>
      </c>
      <c r="I823">
        <v>0.007022</v>
      </c>
      <c r="J823">
        <v>-0.000174</v>
      </c>
      <c r="K823" s="4">
        <f t="shared" si="36"/>
        <v>-0.0247792651666192</v>
      </c>
      <c r="L823" s="4">
        <f t="shared" si="37"/>
        <v>-0.0258392538152181</v>
      </c>
      <c r="M823" s="18">
        <f t="shared" si="38"/>
        <v>-0.000181647135</v>
      </c>
    </row>
    <row r="824" spans="1:13">
      <c r="A824" t="s">
        <v>13</v>
      </c>
      <c r="B824" t="s">
        <v>1658</v>
      </c>
      <c r="C824" t="s">
        <v>1659</v>
      </c>
      <c r="D824">
        <v>2105.6936</v>
      </c>
      <c r="E824">
        <v>2115.1071</v>
      </c>
      <c r="F824">
        <v>3.1341</v>
      </c>
      <c r="G824">
        <v>-9.4135</v>
      </c>
      <c r="H824">
        <v>0.659945</v>
      </c>
      <c r="I824">
        <v>0.647117</v>
      </c>
      <c r="J824">
        <v>0.012828</v>
      </c>
      <c r="K824" s="4">
        <f t="shared" si="36"/>
        <v>0.0198233086134347</v>
      </c>
      <c r="L824" s="4">
        <f t="shared" si="37"/>
        <v>-0.00445060205225547</v>
      </c>
      <c r="M824" s="18">
        <f t="shared" si="38"/>
        <v>-0.002950285035</v>
      </c>
    </row>
    <row r="825" spans="1:13">
      <c r="A825" t="s">
        <v>13</v>
      </c>
      <c r="B825" t="s">
        <v>1660</v>
      </c>
      <c r="C825" t="s">
        <v>1661</v>
      </c>
      <c r="D825">
        <v>1059.9909</v>
      </c>
      <c r="E825">
        <v>1065.6209</v>
      </c>
      <c r="F825">
        <v>3.9578</v>
      </c>
      <c r="G825">
        <v>-5.63</v>
      </c>
      <c r="H825">
        <v>0.419523</v>
      </c>
      <c r="I825">
        <v>0.424181</v>
      </c>
      <c r="J825">
        <v>-0.004658</v>
      </c>
      <c r="K825" s="4">
        <f t="shared" si="36"/>
        <v>-0.0109811613438603</v>
      </c>
      <c r="L825" s="4">
        <f t="shared" si="37"/>
        <v>-0.00528330478503179</v>
      </c>
      <c r="M825" s="18">
        <f t="shared" si="38"/>
        <v>-0.0022282414</v>
      </c>
    </row>
    <row r="826" spans="1:13">
      <c r="A826" t="s">
        <v>13</v>
      </c>
      <c r="B826" t="s">
        <v>1662</v>
      </c>
      <c r="C826" t="s">
        <v>1663</v>
      </c>
      <c r="D826">
        <v>3617.5107</v>
      </c>
      <c r="E826">
        <v>3606.3056</v>
      </c>
      <c r="F826">
        <v>1.0669</v>
      </c>
      <c r="G826">
        <v>11.2051</v>
      </c>
      <c r="H826">
        <v>0.385952</v>
      </c>
      <c r="I826">
        <v>0.383963</v>
      </c>
      <c r="J826">
        <v>0.001989</v>
      </c>
      <c r="K826" s="4">
        <f t="shared" si="36"/>
        <v>0.00518018663256616</v>
      </c>
      <c r="L826" s="4">
        <f t="shared" si="37"/>
        <v>0.00310708554483005</v>
      </c>
      <c r="M826" s="18">
        <f t="shared" si="38"/>
        <v>0.001195472119</v>
      </c>
    </row>
    <row r="827" spans="1:13">
      <c r="A827" t="s">
        <v>13</v>
      </c>
      <c r="B827" t="s">
        <v>1664</v>
      </c>
      <c r="C827" t="s">
        <v>1665</v>
      </c>
      <c r="D827">
        <v>2555.0419</v>
      </c>
      <c r="E827">
        <v>2556.8814</v>
      </c>
      <c r="F827">
        <v>2.3657</v>
      </c>
      <c r="G827">
        <v>-1.8395</v>
      </c>
      <c r="H827">
        <v>0.604446</v>
      </c>
      <c r="I827">
        <v>0.609279</v>
      </c>
      <c r="J827">
        <v>-0.004833</v>
      </c>
      <c r="K827" s="4">
        <f t="shared" si="36"/>
        <v>-0.00793232656960112</v>
      </c>
      <c r="L827" s="4">
        <f t="shared" si="37"/>
        <v>-0.00071943110071513</v>
      </c>
      <c r="M827" s="18">
        <f t="shared" si="38"/>
        <v>-0.000435170515</v>
      </c>
    </row>
    <row r="828" spans="1:13">
      <c r="A828" t="s">
        <v>13</v>
      </c>
      <c r="B828" t="s">
        <v>1666</v>
      </c>
      <c r="C828" t="s">
        <v>1667</v>
      </c>
      <c r="D828">
        <v>85405.3499</v>
      </c>
      <c r="E828">
        <v>85558.6057</v>
      </c>
      <c r="F828">
        <v>1.6535</v>
      </c>
      <c r="G828">
        <v>-153.2558</v>
      </c>
      <c r="H828">
        <v>14.121775</v>
      </c>
      <c r="I828">
        <v>14.130004</v>
      </c>
      <c r="J828">
        <v>-0.008229</v>
      </c>
      <c r="K828" s="4">
        <f t="shared" si="36"/>
        <v>-0.000582377754457819</v>
      </c>
      <c r="L828" s="4">
        <f t="shared" si="37"/>
        <v>-0.00179123769895655</v>
      </c>
      <c r="M828" s="18">
        <f t="shared" si="38"/>
        <v>-0.02534084653</v>
      </c>
    </row>
    <row r="829" spans="1:13">
      <c r="A829" t="s">
        <v>13</v>
      </c>
      <c r="B829" t="s">
        <v>1668</v>
      </c>
      <c r="C829" t="s">
        <v>1669</v>
      </c>
      <c r="D829">
        <v>15626.7557</v>
      </c>
      <c r="E829">
        <v>15637.1425</v>
      </c>
      <c r="F829">
        <v>1.148</v>
      </c>
      <c r="G829">
        <v>-10.3868</v>
      </c>
      <c r="H829">
        <v>1.793952</v>
      </c>
      <c r="I829">
        <v>1.79749</v>
      </c>
      <c r="J829">
        <v>-0.003538</v>
      </c>
      <c r="K829" s="4">
        <f t="shared" si="36"/>
        <v>-0.00196830024089147</v>
      </c>
      <c r="L829" s="4">
        <f t="shared" si="37"/>
        <v>-0.000664239006583218</v>
      </c>
      <c r="M829" s="18">
        <f t="shared" si="38"/>
        <v>-0.00119240464</v>
      </c>
    </row>
    <row r="830" spans="1:13">
      <c r="A830" t="s">
        <v>13</v>
      </c>
      <c r="B830" t="s">
        <v>1670</v>
      </c>
      <c r="C830" t="s">
        <v>1671</v>
      </c>
      <c r="D830">
        <v>27.9602</v>
      </c>
      <c r="E830">
        <v>27.9602</v>
      </c>
      <c r="F830">
        <v>1.684</v>
      </c>
      <c r="G830">
        <v>0</v>
      </c>
      <c r="H830">
        <v>0.004708</v>
      </c>
      <c r="I830">
        <v>0.004669</v>
      </c>
      <c r="J830">
        <v>3.9e-5</v>
      </c>
      <c r="K830" s="4">
        <f t="shared" si="36"/>
        <v>0.00835296637395588</v>
      </c>
      <c r="L830" s="4">
        <f t="shared" si="37"/>
        <v>0</v>
      </c>
      <c r="M830" s="18">
        <f t="shared" si="38"/>
        <v>0</v>
      </c>
    </row>
    <row r="831" spans="1:13">
      <c r="A831" t="s">
        <v>13</v>
      </c>
      <c r="B831" t="s">
        <v>1672</v>
      </c>
      <c r="C831" t="s">
        <v>1673</v>
      </c>
      <c r="D831">
        <v>940.3568</v>
      </c>
      <c r="E831">
        <v>939.6657</v>
      </c>
      <c r="F831">
        <v>2.2769</v>
      </c>
      <c r="G831">
        <v>0.6911</v>
      </c>
      <c r="H831">
        <v>0.21411</v>
      </c>
      <c r="I831">
        <v>0.220267</v>
      </c>
      <c r="J831">
        <v>-0.006157</v>
      </c>
      <c r="K831" s="4">
        <f t="shared" si="36"/>
        <v>-0.0279524395392864</v>
      </c>
      <c r="L831" s="4">
        <f t="shared" si="37"/>
        <v>0.000735474328795875</v>
      </c>
      <c r="M831" s="18">
        <f t="shared" si="38"/>
        <v>0.000157356559</v>
      </c>
    </row>
    <row r="832" spans="1:13">
      <c r="A832" t="s">
        <v>13</v>
      </c>
      <c r="B832" t="s">
        <v>1674</v>
      </c>
      <c r="C832" t="s">
        <v>1675</v>
      </c>
      <c r="D832">
        <v>360962.3424</v>
      </c>
      <c r="E832">
        <v>361277.4223</v>
      </c>
      <c r="F832">
        <v>0.535</v>
      </c>
      <c r="G832">
        <v>-315.0799</v>
      </c>
      <c r="H832">
        <v>19.311485</v>
      </c>
      <c r="I832">
        <v>19.458402</v>
      </c>
      <c r="J832">
        <v>-0.146917</v>
      </c>
      <c r="K832" s="4">
        <f t="shared" si="36"/>
        <v>-0.00755031168540973</v>
      </c>
      <c r="L832" s="4">
        <f t="shared" si="37"/>
        <v>-0.000872127292079479</v>
      </c>
      <c r="M832" s="18">
        <f t="shared" si="38"/>
        <v>-0.01685677465</v>
      </c>
    </row>
    <row r="833" spans="1:13">
      <c r="A833" t="s">
        <v>13</v>
      </c>
      <c r="B833" t="s">
        <v>1676</v>
      </c>
      <c r="C833" t="s">
        <v>1677</v>
      </c>
      <c r="D833">
        <v>47883.7716</v>
      </c>
      <c r="E833">
        <v>47879.6014</v>
      </c>
      <c r="F833">
        <v>0.3343</v>
      </c>
      <c r="G833">
        <v>4.1702</v>
      </c>
      <c r="H833">
        <v>1.600754</v>
      </c>
      <c r="I833">
        <v>1.608276</v>
      </c>
      <c r="J833">
        <v>-0.007522</v>
      </c>
      <c r="K833" s="4">
        <f t="shared" si="36"/>
        <v>-0.00467705791791956</v>
      </c>
      <c r="L833" s="4">
        <f t="shared" si="37"/>
        <v>8.70976340250084e-5</v>
      </c>
      <c r="M833" s="18">
        <f t="shared" si="38"/>
        <v>0.000139409786</v>
      </c>
    </row>
    <row r="834" spans="1:13">
      <c r="A834" t="s">
        <v>13</v>
      </c>
      <c r="B834" t="s">
        <v>1678</v>
      </c>
      <c r="C834" t="s">
        <v>1679</v>
      </c>
      <c r="D834">
        <v>48.1075</v>
      </c>
      <c r="E834">
        <v>48.1075</v>
      </c>
      <c r="F834">
        <v>1.827</v>
      </c>
      <c r="G834">
        <v>0</v>
      </c>
      <c r="H834">
        <v>0.008789</v>
      </c>
      <c r="I834">
        <v>0.008736</v>
      </c>
      <c r="J834">
        <v>5.3e-5</v>
      </c>
      <c r="K834" s="4">
        <f t="shared" ref="K834:K897" si="39">IFERROR(J834/I834,"")</f>
        <v>0.00606684981684982</v>
      </c>
      <c r="L834" s="4">
        <f t="shared" ref="L834:L897" si="40">IFERROR((D834-E834)/E834,"")</f>
        <v>0</v>
      </c>
      <c r="M834" s="18">
        <f t="shared" ref="M834:M897" si="41">IFERROR(F834*G834/10000,"")</f>
        <v>0</v>
      </c>
    </row>
    <row r="835" spans="1:13">
      <c r="A835" t="s">
        <v>13</v>
      </c>
      <c r="B835" t="s">
        <v>1680</v>
      </c>
      <c r="C835" t="s">
        <v>1681</v>
      </c>
      <c r="D835">
        <v>1883.4362</v>
      </c>
      <c r="E835">
        <v>1883.4362</v>
      </c>
      <c r="F835">
        <v>1.5459</v>
      </c>
      <c r="G835">
        <v>0</v>
      </c>
      <c r="H835">
        <v>0.29116</v>
      </c>
      <c r="I835">
        <v>0.292083</v>
      </c>
      <c r="J835">
        <v>-0.000923</v>
      </c>
      <c r="K835" s="4">
        <f t="shared" si="39"/>
        <v>-0.00316006066768692</v>
      </c>
      <c r="L835" s="4">
        <f t="shared" si="40"/>
        <v>0</v>
      </c>
      <c r="M835" s="18">
        <f t="shared" si="41"/>
        <v>0</v>
      </c>
    </row>
    <row r="836" spans="1:13">
      <c r="A836" t="s">
        <v>13</v>
      </c>
      <c r="B836" t="s">
        <v>1682</v>
      </c>
      <c r="C836" t="s">
        <v>1683</v>
      </c>
      <c r="D836">
        <v>357.9742</v>
      </c>
      <c r="E836">
        <v>355.1009</v>
      </c>
      <c r="F836">
        <v>1.8932</v>
      </c>
      <c r="G836">
        <v>2.8733</v>
      </c>
      <c r="H836">
        <v>0.067772</v>
      </c>
      <c r="I836">
        <v>0.068474</v>
      </c>
      <c r="J836">
        <v>-0.000702</v>
      </c>
      <c r="K836" s="4">
        <f t="shared" si="39"/>
        <v>-0.0102520664777872</v>
      </c>
      <c r="L836" s="4">
        <f t="shared" si="40"/>
        <v>0.00809150300661016</v>
      </c>
      <c r="M836" s="18">
        <f t="shared" si="41"/>
        <v>0.000543973156</v>
      </c>
    </row>
    <row r="837" spans="1:13">
      <c r="A837" t="s">
        <v>13</v>
      </c>
      <c r="B837" t="s">
        <v>1684</v>
      </c>
      <c r="C837" t="s">
        <v>1685</v>
      </c>
      <c r="D837">
        <v>3935.4902</v>
      </c>
      <c r="E837">
        <v>3948.8983</v>
      </c>
      <c r="F837">
        <v>4.283</v>
      </c>
      <c r="G837">
        <v>-13.4081</v>
      </c>
      <c r="H837">
        <v>1.68557</v>
      </c>
      <c r="I837">
        <v>1.70158</v>
      </c>
      <c r="J837">
        <v>-0.01601</v>
      </c>
      <c r="K837" s="4">
        <f t="shared" si="39"/>
        <v>-0.00940890231431963</v>
      </c>
      <c r="L837" s="4">
        <f t="shared" si="40"/>
        <v>-0.00339540271270082</v>
      </c>
      <c r="M837" s="18">
        <f t="shared" si="41"/>
        <v>-0.00574268923</v>
      </c>
    </row>
    <row r="838" spans="1:13">
      <c r="A838" t="s">
        <v>13</v>
      </c>
      <c r="B838" t="s">
        <v>1686</v>
      </c>
      <c r="C838" t="s">
        <v>1687</v>
      </c>
      <c r="D838">
        <v>415.389</v>
      </c>
      <c r="E838">
        <v>415.539</v>
      </c>
      <c r="F838">
        <v>1.1114</v>
      </c>
      <c r="G838">
        <v>-0.15</v>
      </c>
      <c r="H838">
        <v>0.046166</v>
      </c>
      <c r="I838">
        <v>0.045767</v>
      </c>
      <c r="J838">
        <v>0.000399</v>
      </c>
      <c r="K838" s="4">
        <f t="shared" si="39"/>
        <v>0.00871807197325584</v>
      </c>
      <c r="L838" s="4">
        <f t="shared" si="40"/>
        <v>-0.000360976948012045</v>
      </c>
      <c r="M838" s="18">
        <f t="shared" si="41"/>
        <v>-1.6671e-5</v>
      </c>
    </row>
    <row r="839" spans="1:13">
      <c r="A839" t="s">
        <v>13</v>
      </c>
      <c r="B839" t="s">
        <v>1688</v>
      </c>
      <c r="C839" t="s">
        <v>1689</v>
      </c>
      <c r="D839">
        <v>15999.1378</v>
      </c>
      <c r="E839">
        <v>15999.1678</v>
      </c>
      <c r="F839">
        <v>1.539</v>
      </c>
      <c r="G839">
        <v>-0.03</v>
      </c>
      <c r="H839">
        <v>2.462267</v>
      </c>
      <c r="I839">
        <v>2.433473</v>
      </c>
      <c r="J839">
        <v>0.028794</v>
      </c>
      <c r="K839" s="4">
        <f t="shared" si="39"/>
        <v>0.0118324715334832</v>
      </c>
      <c r="L839" s="4">
        <f t="shared" si="40"/>
        <v>-1.87509752843744e-6</v>
      </c>
      <c r="M839" s="18">
        <f t="shared" si="41"/>
        <v>-4.617e-6</v>
      </c>
    </row>
    <row r="840" spans="1:13">
      <c r="A840" t="s">
        <v>13</v>
      </c>
      <c r="B840" t="s">
        <v>1690</v>
      </c>
      <c r="C840" t="s">
        <v>1691</v>
      </c>
      <c r="D840">
        <v>12979.0034</v>
      </c>
      <c r="E840">
        <v>12946.2461</v>
      </c>
      <c r="F840">
        <v>1.039</v>
      </c>
      <c r="G840">
        <v>32.7573</v>
      </c>
      <c r="H840">
        <v>1.348518</v>
      </c>
      <c r="I840">
        <v>1.359356</v>
      </c>
      <c r="J840">
        <v>-0.010838</v>
      </c>
      <c r="K840" s="4">
        <f t="shared" si="39"/>
        <v>-0.00797289304641315</v>
      </c>
      <c r="L840" s="4">
        <f t="shared" si="40"/>
        <v>0.0025302546967649</v>
      </c>
      <c r="M840" s="18">
        <f t="shared" si="41"/>
        <v>0.00340348347</v>
      </c>
    </row>
    <row r="841" spans="1:13">
      <c r="A841" t="s">
        <v>13</v>
      </c>
      <c r="B841" t="s">
        <v>1692</v>
      </c>
      <c r="C841" t="s">
        <v>1693</v>
      </c>
      <c r="D841">
        <v>3153.7884</v>
      </c>
      <c r="E841">
        <v>3155.5114</v>
      </c>
      <c r="F841">
        <v>0.9976</v>
      </c>
      <c r="G841">
        <v>-1.723</v>
      </c>
      <c r="H841">
        <v>0.314622</v>
      </c>
      <c r="I841">
        <v>0.31268</v>
      </c>
      <c r="J841">
        <v>0.001942</v>
      </c>
      <c r="K841" s="4">
        <f t="shared" si="39"/>
        <v>0.00621082256620187</v>
      </c>
      <c r="L841" s="4">
        <f t="shared" si="40"/>
        <v>-0.000546028767318019</v>
      </c>
      <c r="M841" s="18">
        <f t="shared" si="41"/>
        <v>-0.00017188648</v>
      </c>
    </row>
    <row r="842" spans="1:13">
      <c r="A842" t="s">
        <v>13</v>
      </c>
      <c r="B842" t="s">
        <v>1694</v>
      </c>
      <c r="C842" t="s">
        <v>1695</v>
      </c>
      <c r="D842">
        <v>216.3242</v>
      </c>
      <c r="E842">
        <v>216.3242</v>
      </c>
      <c r="F842">
        <v>1.1574</v>
      </c>
      <c r="G842">
        <v>0</v>
      </c>
      <c r="H842">
        <v>0.025037</v>
      </c>
      <c r="I842">
        <v>0.025024</v>
      </c>
      <c r="J842">
        <v>1.3e-5</v>
      </c>
      <c r="K842" s="4">
        <f t="shared" si="39"/>
        <v>0.000519501278772378</v>
      </c>
      <c r="L842" s="4">
        <f t="shared" si="40"/>
        <v>0</v>
      </c>
      <c r="M842" s="18">
        <f t="shared" si="41"/>
        <v>0</v>
      </c>
    </row>
    <row r="843" spans="1:13">
      <c r="A843" t="s">
        <v>13</v>
      </c>
      <c r="B843" t="s">
        <v>1696</v>
      </c>
      <c r="C843" t="s">
        <v>1697</v>
      </c>
      <c r="D843">
        <v>11569.223</v>
      </c>
      <c r="E843">
        <v>11566.877</v>
      </c>
      <c r="F843">
        <v>0.7076</v>
      </c>
      <c r="G843">
        <v>2.346</v>
      </c>
      <c r="H843">
        <v>0.818638</v>
      </c>
      <c r="I843">
        <v>0.82761</v>
      </c>
      <c r="J843">
        <v>-0.008972</v>
      </c>
      <c r="K843" s="4">
        <f t="shared" si="39"/>
        <v>-0.0108408549920856</v>
      </c>
      <c r="L843" s="4">
        <f t="shared" si="40"/>
        <v>0.00020282051931559</v>
      </c>
      <c r="M843" s="18">
        <f t="shared" si="41"/>
        <v>0.00016600296</v>
      </c>
    </row>
    <row r="844" spans="1:13">
      <c r="A844" t="s">
        <v>13</v>
      </c>
      <c r="B844" t="s">
        <v>1698</v>
      </c>
      <c r="C844" t="s">
        <v>1699</v>
      </c>
      <c r="D844">
        <v>1039.4547</v>
      </c>
      <c r="E844">
        <v>1041.7247</v>
      </c>
      <c r="F844">
        <v>1.81</v>
      </c>
      <c r="G844">
        <v>-2.27</v>
      </c>
      <c r="H844">
        <v>0.188141</v>
      </c>
      <c r="I844">
        <v>0.188031</v>
      </c>
      <c r="J844">
        <v>0.00011</v>
      </c>
      <c r="K844" s="4">
        <f t="shared" si="39"/>
        <v>0.000585009918577256</v>
      </c>
      <c r="L844" s="4">
        <f t="shared" si="40"/>
        <v>-0.00217907859917307</v>
      </c>
      <c r="M844" s="18">
        <f t="shared" si="41"/>
        <v>-0.00041087</v>
      </c>
    </row>
    <row r="845" spans="1:13">
      <c r="A845" t="s">
        <v>13</v>
      </c>
      <c r="B845" t="s">
        <v>1700</v>
      </c>
      <c r="C845" t="s">
        <v>1701</v>
      </c>
      <c r="D845">
        <v>979.9142</v>
      </c>
      <c r="E845">
        <v>979.9142</v>
      </c>
      <c r="F845">
        <v>1.2331</v>
      </c>
      <c r="G845">
        <v>0</v>
      </c>
      <c r="H845">
        <v>0.120833</v>
      </c>
      <c r="I845">
        <v>0.120069</v>
      </c>
      <c r="J845">
        <v>0.000764</v>
      </c>
      <c r="K845" s="4">
        <f t="shared" si="39"/>
        <v>0.00636300793710283</v>
      </c>
      <c r="L845" s="4">
        <f t="shared" si="40"/>
        <v>0</v>
      </c>
      <c r="M845" s="18">
        <f t="shared" si="41"/>
        <v>0</v>
      </c>
    </row>
    <row r="846" spans="1:13">
      <c r="A846" t="s">
        <v>13</v>
      </c>
      <c r="B846" t="s">
        <v>1702</v>
      </c>
      <c r="C846" t="s">
        <v>1703</v>
      </c>
      <c r="D846">
        <v>17811.3094</v>
      </c>
      <c r="E846">
        <v>17950.0129</v>
      </c>
      <c r="F846">
        <v>1.6587</v>
      </c>
      <c r="G846">
        <v>-138.7035</v>
      </c>
      <c r="H846">
        <v>2.954362</v>
      </c>
      <c r="I846">
        <v>2.92675</v>
      </c>
      <c r="J846">
        <v>0.027612</v>
      </c>
      <c r="K846" s="4">
        <f t="shared" si="39"/>
        <v>0.00943435551379516</v>
      </c>
      <c r="L846" s="4">
        <f t="shared" si="40"/>
        <v>-0.00772720893142106</v>
      </c>
      <c r="M846" s="18">
        <f t="shared" si="41"/>
        <v>-0.023006749545</v>
      </c>
    </row>
    <row r="847" spans="1:13">
      <c r="A847" t="s">
        <v>13</v>
      </c>
      <c r="B847" t="s">
        <v>1704</v>
      </c>
      <c r="C847" t="s">
        <v>1705</v>
      </c>
      <c r="D847">
        <v>115.6575</v>
      </c>
      <c r="E847">
        <v>115.6575</v>
      </c>
      <c r="F847">
        <v>1.2191</v>
      </c>
      <c r="G847">
        <v>0</v>
      </c>
      <c r="H847">
        <v>0.0141</v>
      </c>
      <c r="I847">
        <v>0.01413</v>
      </c>
      <c r="J847">
        <v>-3e-5</v>
      </c>
      <c r="K847" s="4">
        <f t="shared" si="39"/>
        <v>-0.00212314225053079</v>
      </c>
      <c r="L847" s="4">
        <f t="shared" si="40"/>
        <v>0</v>
      </c>
      <c r="M847" s="18">
        <f t="shared" si="41"/>
        <v>0</v>
      </c>
    </row>
    <row r="848" spans="1:13">
      <c r="A848" t="s">
        <v>13</v>
      </c>
      <c r="B848" t="s">
        <v>1706</v>
      </c>
      <c r="C848" t="s">
        <v>1707</v>
      </c>
      <c r="D848">
        <v>5510.5193</v>
      </c>
      <c r="E848">
        <v>5510.5193</v>
      </c>
      <c r="F848">
        <v>4.3026</v>
      </c>
      <c r="G848">
        <v>0</v>
      </c>
      <c r="H848">
        <v>2.370956</v>
      </c>
      <c r="I848">
        <v>2.361423</v>
      </c>
      <c r="J848">
        <v>0.009533</v>
      </c>
      <c r="K848" s="4">
        <f t="shared" si="39"/>
        <v>0.00403697262201647</v>
      </c>
      <c r="L848" s="4">
        <f t="shared" si="40"/>
        <v>0</v>
      </c>
      <c r="M848" s="18">
        <f t="shared" si="41"/>
        <v>0</v>
      </c>
    </row>
    <row r="849" spans="1:13">
      <c r="A849" t="s">
        <v>13</v>
      </c>
      <c r="B849" t="s">
        <v>1708</v>
      </c>
      <c r="C849" t="s">
        <v>1709</v>
      </c>
      <c r="D849">
        <v>16715.3318</v>
      </c>
      <c r="E849">
        <v>16714.3436</v>
      </c>
      <c r="F849">
        <v>0.917</v>
      </c>
      <c r="G849">
        <v>0.9882</v>
      </c>
      <c r="H849">
        <v>1.532796</v>
      </c>
      <c r="I849">
        <v>1.499945</v>
      </c>
      <c r="J849">
        <v>0.032851</v>
      </c>
      <c r="K849" s="4">
        <f t="shared" si="39"/>
        <v>0.0219014697205564</v>
      </c>
      <c r="L849" s="4">
        <f t="shared" si="40"/>
        <v>5.9122872165903e-5</v>
      </c>
      <c r="M849" s="18">
        <f t="shared" si="41"/>
        <v>9.061794e-5</v>
      </c>
    </row>
    <row r="850" spans="1:13">
      <c r="A850" t="s">
        <v>13</v>
      </c>
      <c r="B850" t="s">
        <v>1710</v>
      </c>
      <c r="C850" t="s">
        <v>1711</v>
      </c>
      <c r="D850">
        <v>2873.9969</v>
      </c>
      <c r="E850">
        <v>2873.9969</v>
      </c>
      <c r="F850">
        <v>2.0495</v>
      </c>
      <c r="G850">
        <v>0</v>
      </c>
      <c r="H850">
        <v>0.589026</v>
      </c>
      <c r="I850">
        <v>0.573822</v>
      </c>
      <c r="J850">
        <v>0.015204</v>
      </c>
      <c r="K850" s="4">
        <f t="shared" si="39"/>
        <v>0.0264960214143062</v>
      </c>
      <c r="L850" s="4">
        <f t="shared" si="40"/>
        <v>0</v>
      </c>
      <c r="M850" s="18">
        <f t="shared" si="41"/>
        <v>0</v>
      </c>
    </row>
    <row r="851" spans="1:13">
      <c r="A851" t="s">
        <v>13</v>
      </c>
      <c r="B851" t="s">
        <v>1712</v>
      </c>
      <c r="C851" t="s">
        <v>1713</v>
      </c>
      <c r="D851">
        <v>80.4297</v>
      </c>
      <c r="E851">
        <v>80.4297</v>
      </c>
      <c r="F851">
        <v>1.5381</v>
      </c>
      <c r="G851">
        <v>0</v>
      </c>
      <c r="H851">
        <v>0.012371</v>
      </c>
      <c r="I851">
        <v>0.012327</v>
      </c>
      <c r="J851">
        <v>4.4e-5</v>
      </c>
      <c r="K851" s="4">
        <f t="shared" si="39"/>
        <v>0.00356940050296098</v>
      </c>
      <c r="L851" s="4">
        <f t="shared" si="40"/>
        <v>0</v>
      </c>
      <c r="M851" s="18">
        <f t="shared" si="41"/>
        <v>0</v>
      </c>
    </row>
    <row r="852" spans="1:13">
      <c r="A852" t="s">
        <v>13</v>
      </c>
      <c r="B852" t="s">
        <v>1714</v>
      </c>
      <c r="C852" t="s">
        <v>1715</v>
      </c>
      <c r="D852">
        <v>138.3624</v>
      </c>
      <c r="E852">
        <v>138.6875</v>
      </c>
      <c r="F852">
        <v>1.3588</v>
      </c>
      <c r="G852">
        <v>-0.3251</v>
      </c>
      <c r="H852">
        <v>0.018801</v>
      </c>
      <c r="I852">
        <v>0.018834</v>
      </c>
      <c r="J852">
        <v>-3.3e-5</v>
      </c>
      <c r="K852" s="4">
        <f t="shared" si="39"/>
        <v>-0.00175215036635871</v>
      </c>
      <c r="L852" s="4">
        <f t="shared" si="40"/>
        <v>-0.00234411897251008</v>
      </c>
      <c r="M852" s="18">
        <f t="shared" si="41"/>
        <v>-4.4174588e-5</v>
      </c>
    </row>
    <row r="853" spans="1:13">
      <c r="A853" t="s">
        <v>13</v>
      </c>
      <c r="B853" t="s">
        <v>1716</v>
      </c>
      <c r="C853" t="s">
        <v>1717</v>
      </c>
      <c r="D853">
        <v>1224.3411</v>
      </c>
      <c r="E853">
        <v>1224.4411</v>
      </c>
      <c r="F853">
        <v>1.4467</v>
      </c>
      <c r="G853">
        <v>-0.1</v>
      </c>
      <c r="H853">
        <v>0.177125</v>
      </c>
      <c r="I853">
        <v>0.17545</v>
      </c>
      <c r="J853">
        <v>0.001675</v>
      </c>
      <c r="K853" s="4">
        <f t="shared" si="39"/>
        <v>0.00954687945283557</v>
      </c>
      <c r="L853" s="4">
        <f t="shared" si="40"/>
        <v>-8.16699145429772e-5</v>
      </c>
      <c r="M853" s="18">
        <f t="shared" si="41"/>
        <v>-1.4467e-5</v>
      </c>
    </row>
    <row r="854" spans="1:13">
      <c r="A854" t="s">
        <v>13</v>
      </c>
      <c r="B854" t="s">
        <v>1718</v>
      </c>
      <c r="C854" t="s">
        <v>1719</v>
      </c>
      <c r="D854">
        <v>2104.2972</v>
      </c>
      <c r="E854">
        <v>2106.2972</v>
      </c>
      <c r="F854">
        <v>1.092</v>
      </c>
      <c r="G854">
        <v>-2</v>
      </c>
      <c r="H854">
        <v>0.229789</v>
      </c>
      <c r="I854">
        <v>0.230008</v>
      </c>
      <c r="J854">
        <v>-0.000219</v>
      </c>
      <c r="K854" s="4">
        <f t="shared" si="39"/>
        <v>-0.000952140795102779</v>
      </c>
      <c r="L854" s="4">
        <f t="shared" si="40"/>
        <v>-0.000949533617573057</v>
      </c>
      <c r="M854" s="18">
        <f t="shared" si="41"/>
        <v>-0.0002184</v>
      </c>
    </row>
    <row r="855" spans="1:13">
      <c r="A855" t="s">
        <v>13</v>
      </c>
      <c r="B855" t="s">
        <v>1720</v>
      </c>
      <c r="C855" t="s">
        <v>1721</v>
      </c>
      <c r="D855">
        <v>212.4473</v>
      </c>
      <c r="E855">
        <v>212.6411</v>
      </c>
      <c r="F855">
        <v>1.7948</v>
      </c>
      <c r="G855">
        <v>-0.1938</v>
      </c>
      <c r="H855">
        <v>0.03813</v>
      </c>
      <c r="I855">
        <v>0.037731</v>
      </c>
      <c r="J855">
        <v>0.000399</v>
      </c>
      <c r="K855" s="4">
        <f t="shared" si="39"/>
        <v>0.0105748588693647</v>
      </c>
      <c r="L855" s="4">
        <f t="shared" si="40"/>
        <v>-0.000911394833830251</v>
      </c>
      <c r="M855" s="18">
        <f t="shared" si="41"/>
        <v>-3.4783224e-5</v>
      </c>
    </row>
    <row r="856" spans="1:13">
      <c r="A856" t="s">
        <v>13</v>
      </c>
      <c r="B856" t="s">
        <v>1722</v>
      </c>
      <c r="C856" t="s">
        <v>1723</v>
      </c>
      <c r="D856">
        <v>140.6033</v>
      </c>
      <c r="E856">
        <v>140.6033</v>
      </c>
      <c r="F856">
        <v>1.6274</v>
      </c>
      <c r="G856">
        <v>0</v>
      </c>
      <c r="H856">
        <v>0.022882</v>
      </c>
      <c r="I856">
        <v>0.022665</v>
      </c>
      <c r="J856">
        <v>0.000217</v>
      </c>
      <c r="K856" s="4">
        <f t="shared" si="39"/>
        <v>0.00957423339951467</v>
      </c>
      <c r="L856" s="4">
        <f t="shared" si="40"/>
        <v>0</v>
      </c>
      <c r="M856" s="18">
        <f t="shared" si="41"/>
        <v>0</v>
      </c>
    </row>
    <row r="857" spans="1:13">
      <c r="A857" t="s">
        <v>13</v>
      </c>
      <c r="B857" t="s">
        <v>1724</v>
      </c>
      <c r="C857" t="s">
        <v>1725</v>
      </c>
      <c r="D857">
        <v>178839.7873</v>
      </c>
      <c r="E857">
        <v>182183.4803</v>
      </c>
      <c r="F857">
        <v>0.8323</v>
      </c>
      <c r="G857">
        <v>-3343.693</v>
      </c>
      <c r="H857">
        <v>14.884835</v>
      </c>
      <c r="I857">
        <v>15.268797</v>
      </c>
      <c r="J857">
        <v>-0.383962</v>
      </c>
      <c r="K857" s="4">
        <f t="shared" si="39"/>
        <v>-0.0251468403175443</v>
      </c>
      <c r="L857" s="4">
        <f t="shared" si="40"/>
        <v>-0.0183534368456128</v>
      </c>
      <c r="M857" s="18">
        <f t="shared" si="41"/>
        <v>-0.27829556839</v>
      </c>
    </row>
    <row r="858" spans="1:13">
      <c r="A858" t="s">
        <v>13</v>
      </c>
      <c r="B858" t="s">
        <v>1726</v>
      </c>
      <c r="C858" t="s">
        <v>1727</v>
      </c>
      <c r="D858">
        <v>28213.9006</v>
      </c>
      <c r="E858">
        <v>28214.195</v>
      </c>
      <c r="F858">
        <v>0.5157</v>
      </c>
      <c r="G858">
        <v>-0.2944</v>
      </c>
      <c r="H858">
        <v>1.454991</v>
      </c>
      <c r="I858">
        <v>1.456417</v>
      </c>
      <c r="J858">
        <v>-0.001426</v>
      </c>
      <c r="K858" s="4">
        <f t="shared" si="39"/>
        <v>-0.000979115184730747</v>
      </c>
      <c r="L858" s="4">
        <f t="shared" si="40"/>
        <v>-1.04344639284892e-5</v>
      </c>
      <c r="M858" s="18">
        <f t="shared" si="41"/>
        <v>-1.5182208e-5</v>
      </c>
    </row>
    <row r="859" spans="1:13">
      <c r="A859" t="s">
        <v>13</v>
      </c>
      <c r="B859" t="s">
        <v>1728</v>
      </c>
      <c r="C859" t="s">
        <v>1729</v>
      </c>
      <c r="D859">
        <v>32.5492</v>
      </c>
      <c r="E859">
        <v>32.5492</v>
      </c>
      <c r="F859">
        <v>1.9572</v>
      </c>
      <c r="G859">
        <v>0</v>
      </c>
      <c r="H859">
        <v>0.006371</v>
      </c>
      <c r="I859">
        <v>0.006341</v>
      </c>
      <c r="J859">
        <v>3e-5</v>
      </c>
      <c r="K859" s="4">
        <f t="shared" si="39"/>
        <v>0.00473111496609368</v>
      </c>
      <c r="L859" s="4">
        <f t="shared" si="40"/>
        <v>0</v>
      </c>
      <c r="M859" s="18">
        <f t="shared" si="41"/>
        <v>0</v>
      </c>
    </row>
    <row r="860" spans="1:13">
      <c r="A860" t="s">
        <v>13</v>
      </c>
      <c r="B860" t="s">
        <v>1730</v>
      </c>
      <c r="C860" t="s">
        <v>1731</v>
      </c>
      <c r="D860">
        <v>9323.2619</v>
      </c>
      <c r="E860">
        <v>9461.8432</v>
      </c>
      <c r="F860">
        <v>2.92</v>
      </c>
      <c r="G860">
        <v>-138.5813</v>
      </c>
      <c r="H860">
        <v>2.722392</v>
      </c>
      <c r="I860">
        <v>2.764751</v>
      </c>
      <c r="J860">
        <v>-0.042359</v>
      </c>
      <c r="K860" s="4">
        <f t="shared" si="39"/>
        <v>-0.0153210903983758</v>
      </c>
      <c r="L860" s="4">
        <f t="shared" si="40"/>
        <v>-0.0146463323340636</v>
      </c>
      <c r="M860" s="18">
        <f t="shared" si="41"/>
        <v>-0.0404657396</v>
      </c>
    </row>
    <row r="861" spans="1:13">
      <c r="A861" t="s">
        <v>13</v>
      </c>
      <c r="B861" t="s">
        <v>1732</v>
      </c>
      <c r="C861" t="s">
        <v>1733</v>
      </c>
      <c r="D861">
        <v>5475.4056</v>
      </c>
      <c r="E861">
        <v>5476.2493</v>
      </c>
      <c r="F861">
        <v>1.0552</v>
      </c>
      <c r="G861">
        <v>-0.8437</v>
      </c>
      <c r="H861">
        <v>0.577765</v>
      </c>
      <c r="I861">
        <v>0.572432</v>
      </c>
      <c r="J861">
        <v>0.005333</v>
      </c>
      <c r="K861" s="4">
        <f t="shared" si="39"/>
        <v>0.00931639041842524</v>
      </c>
      <c r="L861" s="4">
        <f t="shared" si="40"/>
        <v>-0.000154065301592525</v>
      </c>
      <c r="M861" s="18">
        <f t="shared" si="41"/>
        <v>-8.9027224e-5</v>
      </c>
    </row>
    <row r="862" spans="1:13">
      <c r="A862" t="s">
        <v>13</v>
      </c>
      <c r="B862" t="s">
        <v>1734</v>
      </c>
      <c r="C862" t="s">
        <v>1735</v>
      </c>
      <c r="D862">
        <v>27834.7739</v>
      </c>
      <c r="E862">
        <v>27919.0437</v>
      </c>
      <c r="F862">
        <v>1.875</v>
      </c>
      <c r="G862">
        <v>-84.2698</v>
      </c>
      <c r="H862">
        <v>5.21902</v>
      </c>
      <c r="I862">
        <v>5.128728</v>
      </c>
      <c r="J862">
        <v>0.090292</v>
      </c>
      <c r="K862" s="4">
        <f t="shared" si="39"/>
        <v>0.0176051449794179</v>
      </c>
      <c r="L862" s="4">
        <f t="shared" si="40"/>
        <v>-0.00301836269556748</v>
      </c>
      <c r="M862" s="18">
        <f t="shared" si="41"/>
        <v>-0.0158005875</v>
      </c>
    </row>
    <row r="863" spans="1:13">
      <c r="A863" t="s">
        <v>13</v>
      </c>
      <c r="B863" t="s">
        <v>1736</v>
      </c>
      <c r="C863" t="s">
        <v>1737</v>
      </c>
      <c r="D863">
        <v>6611.8061</v>
      </c>
      <c r="E863">
        <v>6050.9828</v>
      </c>
      <c r="F863">
        <v>0.474</v>
      </c>
      <c r="G863">
        <v>560.8233</v>
      </c>
      <c r="H863">
        <v>0.3134</v>
      </c>
      <c r="I863">
        <v>0.289842</v>
      </c>
      <c r="J863">
        <v>0.023558</v>
      </c>
      <c r="K863" s="4">
        <f t="shared" si="39"/>
        <v>0.0812787656723318</v>
      </c>
      <c r="L863" s="4">
        <f t="shared" si="40"/>
        <v>0.0926830101053997</v>
      </c>
      <c r="M863" s="18">
        <f t="shared" si="41"/>
        <v>0.02658302442</v>
      </c>
    </row>
    <row r="864" spans="1:13">
      <c r="A864" t="s">
        <v>13</v>
      </c>
      <c r="B864" t="s">
        <v>1738</v>
      </c>
      <c r="C864" t="s">
        <v>1739</v>
      </c>
      <c r="D864">
        <v>15113.4625</v>
      </c>
      <c r="E864">
        <v>15160.4509</v>
      </c>
      <c r="F864">
        <v>2.5595</v>
      </c>
      <c r="G864">
        <v>-46.9884</v>
      </c>
      <c r="H864">
        <v>3.868291</v>
      </c>
      <c r="I864">
        <v>3.718404</v>
      </c>
      <c r="J864">
        <v>0.149887</v>
      </c>
      <c r="K864" s="4">
        <f t="shared" si="39"/>
        <v>0.040309498376185</v>
      </c>
      <c r="L864" s="4">
        <f t="shared" si="40"/>
        <v>-0.00309940649588464</v>
      </c>
      <c r="M864" s="18">
        <f t="shared" si="41"/>
        <v>-0.01202668098</v>
      </c>
    </row>
    <row r="865" spans="1:13">
      <c r="A865" t="s">
        <v>13</v>
      </c>
      <c r="B865" t="s">
        <v>1740</v>
      </c>
      <c r="C865" t="s">
        <v>1741</v>
      </c>
      <c r="D865">
        <v>775.8012</v>
      </c>
      <c r="E865">
        <v>776.6253</v>
      </c>
      <c r="F865">
        <v>2.0349</v>
      </c>
      <c r="G865">
        <v>-0.8241</v>
      </c>
      <c r="H865">
        <v>0.157868</v>
      </c>
      <c r="I865">
        <v>0.155946</v>
      </c>
      <c r="J865">
        <v>0.001922</v>
      </c>
      <c r="K865" s="4">
        <f t="shared" si="39"/>
        <v>0.0123247790901979</v>
      </c>
      <c r="L865" s="4">
        <f t="shared" si="40"/>
        <v>-0.00106112947904227</v>
      </c>
      <c r="M865" s="18">
        <f t="shared" si="41"/>
        <v>-0.000167696109</v>
      </c>
    </row>
    <row r="866" spans="1:13">
      <c r="A866" t="s">
        <v>13</v>
      </c>
      <c r="B866" t="s">
        <v>1742</v>
      </c>
      <c r="C866" t="s">
        <v>1743</v>
      </c>
      <c r="D866">
        <v>287.2962</v>
      </c>
      <c r="E866">
        <v>287.2962</v>
      </c>
      <c r="F866">
        <v>1.4205</v>
      </c>
      <c r="G866">
        <v>0</v>
      </c>
      <c r="H866">
        <v>0.04081</v>
      </c>
      <c r="I866">
        <v>0.040773</v>
      </c>
      <c r="J866">
        <v>3.7e-5</v>
      </c>
      <c r="K866" s="4">
        <f t="shared" si="39"/>
        <v>0.000907463272263508</v>
      </c>
      <c r="L866" s="4">
        <f t="shared" si="40"/>
        <v>0</v>
      </c>
      <c r="M866" s="18">
        <f t="shared" si="41"/>
        <v>0</v>
      </c>
    </row>
    <row r="867" spans="1:13">
      <c r="A867" t="s">
        <v>13</v>
      </c>
      <c r="B867" t="s">
        <v>1744</v>
      </c>
      <c r="C867" t="s">
        <v>1745</v>
      </c>
      <c r="D867">
        <v>364.3966</v>
      </c>
      <c r="E867">
        <v>363.5452</v>
      </c>
      <c r="F867">
        <v>1.1862</v>
      </c>
      <c r="G867">
        <v>0.8514</v>
      </c>
      <c r="H867">
        <v>0.043225</v>
      </c>
      <c r="I867">
        <v>0.043095</v>
      </c>
      <c r="J867">
        <v>0.00013</v>
      </c>
      <c r="K867" s="4">
        <f t="shared" si="39"/>
        <v>0.00301659125188537</v>
      </c>
      <c r="L867" s="4">
        <f t="shared" si="40"/>
        <v>0.00234193712363677</v>
      </c>
      <c r="M867" s="18">
        <f t="shared" si="41"/>
        <v>0.000100993068</v>
      </c>
    </row>
    <row r="868" spans="1:13">
      <c r="A868" t="s">
        <v>13</v>
      </c>
      <c r="B868" t="s">
        <v>1746</v>
      </c>
      <c r="C868" t="s">
        <v>1747</v>
      </c>
      <c r="D868">
        <v>16687.1791</v>
      </c>
      <c r="E868">
        <v>17019.9642</v>
      </c>
      <c r="F868">
        <v>2.5484</v>
      </c>
      <c r="G868">
        <v>-332.7851</v>
      </c>
      <c r="H868">
        <v>4.252561</v>
      </c>
      <c r="I868">
        <v>4.366302</v>
      </c>
      <c r="J868">
        <v>-0.113741</v>
      </c>
      <c r="K868" s="4">
        <f t="shared" si="39"/>
        <v>-0.0260497327028685</v>
      </c>
      <c r="L868" s="4">
        <f t="shared" si="40"/>
        <v>-0.0195526321964882</v>
      </c>
      <c r="M868" s="18">
        <f t="shared" si="41"/>
        <v>-0.084806954884</v>
      </c>
    </row>
    <row r="869" spans="1:13">
      <c r="A869" t="s">
        <v>13</v>
      </c>
      <c r="B869" t="s">
        <v>1748</v>
      </c>
      <c r="C869" t="s">
        <v>1749</v>
      </c>
      <c r="D869">
        <v>14625.1772</v>
      </c>
      <c r="E869">
        <v>14625.1772</v>
      </c>
      <c r="F869">
        <v>1.6812</v>
      </c>
      <c r="G869">
        <v>0</v>
      </c>
      <c r="H869">
        <v>2.458785</v>
      </c>
      <c r="I869">
        <v>2.391655</v>
      </c>
      <c r="J869">
        <v>0.06713</v>
      </c>
      <c r="K869" s="4">
        <f t="shared" si="39"/>
        <v>0.0280684296020956</v>
      </c>
      <c r="L869" s="4">
        <f t="shared" si="40"/>
        <v>0</v>
      </c>
      <c r="M869" s="18">
        <f t="shared" si="41"/>
        <v>0</v>
      </c>
    </row>
    <row r="870" spans="1:13">
      <c r="A870" t="s">
        <v>13</v>
      </c>
      <c r="B870" t="s">
        <v>1750</v>
      </c>
      <c r="C870" t="s">
        <v>1751</v>
      </c>
      <c r="D870">
        <v>250.5624</v>
      </c>
      <c r="E870">
        <v>249.9976</v>
      </c>
      <c r="F870">
        <v>1.3103</v>
      </c>
      <c r="G870">
        <v>0.5648</v>
      </c>
      <c r="H870">
        <v>0.032831</v>
      </c>
      <c r="I870">
        <v>0.032765</v>
      </c>
      <c r="J870">
        <v>6.6e-5</v>
      </c>
      <c r="K870" s="4">
        <f t="shared" si="39"/>
        <v>0.00201434457500381</v>
      </c>
      <c r="L870" s="4">
        <f t="shared" si="40"/>
        <v>0.00225922168852817</v>
      </c>
      <c r="M870" s="18">
        <f t="shared" si="41"/>
        <v>7.4005744e-5</v>
      </c>
    </row>
    <row r="871" spans="1:13">
      <c r="A871" t="s">
        <v>13</v>
      </c>
      <c r="B871" t="s">
        <v>1752</v>
      </c>
      <c r="C871" t="s">
        <v>1753</v>
      </c>
      <c r="D871">
        <v>324.2543</v>
      </c>
      <c r="E871">
        <v>324.3076</v>
      </c>
      <c r="F871">
        <v>1.218</v>
      </c>
      <c r="G871">
        <v>-0.0533</v>
      </c>
      <c r="H871">
        <v>0.039494</v>
      </c>
      <c r="I871">
        <v>0.039728</v>
      </c>
      <c r="J871">
        <v>-0.000234</v>
      </c>
      <c r="K871" s="4">
        <f t="shared" si="39"/>
        <v>-0.00589005235602094</v>
      </c>
      <c r="L871" s="4">
        <f t="shared" si="40"/>
        <v>-0.000164350141655573</v>
      </c>
      <c r="M871" s="18">
        <f t="shared" si="41"/>
        <v>-6.49194e-6</v>
      </c>
    </row>
    <row r="872" spans="1:13">
      <c r="A872" t="s">
        <v>13</v>
      </c>
      <c r="B872" t="s">
        <v>1754</v>
      </c>
      <c r="C872" t="s">
        <v>1755</v>
      </c>
      <c r="D872">
        <v>82.1997</v>
      </c>
      <c r="E872">
        <v>82.1997</v>
      </c>
      <c r="F872">
        <v>0.6695</v>
      </c>
      <c r="G872">
        <v>0</v>
      </c>
      <c r="H872">
        <v>0.005503</v>
      </c>
      <c r="I872">
        <v>0.005502</v>
      </c>
      <c r="J872">
        <v>1e-6</v>
      </c>
      <c r="K872" s="4">
        <f t="shared" si="39"/>
        <v>0.000181752090149037</v>
      </c>
      <c r="L872" s="4">
        <f t="shared" si="40"/>
        <v>0</v>
      </c>
      <c r="M872" s="18">
        <f t="shared" si="41"/>
        <v>0</v>
      </c>
    </row>
    <row r="873" spans="1:13">
      <c r="A873" t="s">
        <v>13</v>
      </c>
      <c r="B873" t="s">
        <v>1756</v>
      </c>
      <c r="C873" t="s">
        <v>1757</v>
      </c>
      <c r="D873">
        <v>121.4156</v>
      </c>
      <c r="E873">
        <v>121.7156</v>
      </c>
      <c r="F873">
        <v>1.028</v>
      </c>
      <c r="G873">
        <v>-0.3</v>
      </c>
      <c r="H873">
        <v>0.012482</v>
      </c>
      <c r="I873">
        <v>0.012506</v>
      </c>
      <c r="J873">
        <v>-2.4e-5</v>
      </c>
      <c r="K873" s="4">
        <f t="shared" si="39"/>
        <v>-0.00191907884215577</v>
      </c>
      <c r="L873" s="4">
        <f t="shared" si="40"/>
        <v>-0.00246476211759213</v>
      </c>
      <c r="M873" s="18">
        <f t="shared" si="41"/>
        <v>-3.084e-5</v>
      </c>
    </row>
    <row r="874" spans="1:13">
      <c r="A874" t="s">
        <v>13</v>
      </c>
      <c r="B874" t="s">
        <v>1758</v>
      </c>
      <c r="C874" t="s">
        <v>1759</v>
      </c>
      <c r="D874">
        <v>12255.6452</v>
      </c>
      <c r="E874">
        <v>12259.5486</v>
      </c>
      <c r="F874">
        <v>0.87</v>
      </c>
      <c r="G874">
        <v>-3.9034</v>
      </c>
      <c r="H874">
        <v>1.066241</v>
      </c>
      <c r="I874">
        <v>1.053586</v>
      </c>
      <c r="J874">
        <v>0.012655</v>
      </c>
      <c r="K874" s="4">
        <f t="shared" si="39"/>
        <v>0.0120113593005222</v>
      </c>
      <c r="L874" s="4">
        <f t="shared" si="40"/>
        <v>-0.000318396714867564</v>
      </c>
      <c r="M874" s="18">
        <f t="shared" si="41"/>
        <v>-0.0003395958</v>
      </c>
    </row>
    <row r="875" spans="1:13">
      <c r="A875" t="s">
        <v>13</v>
      </c>
      <c r="B875" t="s">
        <v>1760</v>
      </c>
      <c r="C875" t="s">
        <v>1761</v>
      </c>
      <c r="D875">
        <v>244.9402</v>
      </c>
      <c r="E875">
        <v>244.9402</v>
      </c>
      <c r="F875">
        <v>2.5096</v>
      </c>
      <c r="G875">
        <v>0</v>
      </c>
      <c r="H875">
        <v>0.06147</v>
      </c>
      <c r="I875">
        <v>0.061326</v>
      </c>
      <c r="J875">
        <v>0.000144</v>
      </c>
      <c r="K875" s="4">
        <f t="shared" si="39"/>
        <v>0.00234810683886117</v>
      </c>
      <c r="L875" s="4">
        <f t="shared" si="40"/>
        <v>0</v>
      </c>
      <c r="M875" s="18">
        <f t="shared" si="41"/>
        <v>0</v>
      </c>
    </row>
    <row r="876" spans="1:13">
      <c r="A876" t="s">
        <v>13</v>
      </c>
      <c r="B876" t="s">
        <v>1762</v>
      </c>
      <c r="C876" t="s">
        <v>1763</v>
      </c>
      <c r="D876">
        <v>703.4693</v>
      </c>
      <c r="E876">
        <v>704.8093</v>
      </c>
      <c r="F876">
        <v>1.6821</v>
      </c>
      <c r="G876">
        <v>-1.34</v>
      </c>
      <c r="H876">
        <v>0.118331</v>
      </c>
      <c r="I876">
        <v>0.116857</v>
      </c>
      <c r="J876">
        <v>0.001474</v>
      </c>
      <c r="K876" s="4">
        <f t="shared" si="39"/>
        <v>0.0126137073517205</v>
      </c>
      <c r="L876" s="4">
        <f t="shared" si="40"/>
        <v>-0.00190122349407142</v>
      </c>
      <c r="M876" s="18">
        <f t="shared" si="41"/>
        <v>-0.0002254014</v>
      </c>
    </row>
    <row r="877" spans="1:13">
      <c r="A877" t="s">
        <v>13</v>
      </c>
      <c r="B877" t="s">
        <v>1764</v>
      </c>
      <c r="C877" t="s">
        <v>1765</v>
      </c>
      <c r="D877">
        <v>16217.8881</v>
      </c>
      <c r="E877">
        <v>16218.5808</v>
      </c>
      <c r="F877">
        <v>0.922</v>
      </c>
      <c r="G877">
        <v>-0.6927</v>
      </c>
      <c r="H877">
        <v>1.495289</v>
      </c>
      <c r="I877">
        <v>1.497299</v>
      </c>
      <c r="J877">
        <v>-0.00201</v>
      </c>
      <c r="K877" s="4">
        <f t="shared" si="39"/>
        <v>-0.00134241724598761</v>
      </c>
      <c r="L877" s="4">
        <f t="shared" si="40"/>
        <v>-4.27102721589305e-5</v>
      </c>
      <c r="M877" s="18">
        <f t="shared" si="41"/>
        <v>-6.386694e-5</v>
      </c>
    </row>
    <row r="878" spans="1:13">
      <c r="A878" t="s">
        <v>13</v>
      </c>
      <c r="B878" t="s">
        <v>1766</v>
      </c>
      <c r="C878" t="s">
        <v>1767</v>
      </c>
      <c r="D878">
        <v>2337.7569</v>
      </c>
      <c r="E878">
        <v>2338.0259</v>
      </c>
      <c r="F878">
        <v>1.3988</v>
      </c>
      <c r="G878">
        <v>-0.269</v>
      </c>
      <c r="H878">
        <v>0.327005</v>
      </c>
      <c r="I878">
        <v>0.328142</v>
      </c>
      <c r="J878">
        <v>-0.001137</v>
      </c>
      <c r="K878" s="4">
        <f t="shared" si="39"/>
        <v>-0.00346496333904224</v>
      </c>
      <c r="L878" s="4">
        <f t="shared" si="40"/>
        <v>-0.000115054328525716</v>
      </c>
      <c r="M878" s="18">
        <f t="shared" si="41"/>
        <v>-3.762772e-5</v>
      </c>
    </row>
    <row r="879" spans="1:13">
      <c r="A879" t="s">
        <v>13</v>
      </c>
      <c r="B879" t="s">
        <v>1768</v>
      </c>
      <c r="C879" t="s">
        <v>1769</v>
      </c>
      <c r="D879">
        <v>1884.2629</v>
      </c>
      <c r="E879">
        <v>1885.0518</v>
      </c>
      <c r="F879">
        <v>1.2545</v>
      </c>
      <c r="G879">
        <v>-0.7889</v>
      </c>
      <c r="H879">
        <v>0.236381</v>
      </c>
      <c r="I879">
        <v>0.232747</v>
      </c>
      <c r="J879">
        <v>0.003634</v>
      </c>
      <c r="K879" s="4">
        <f t="shared" si="39"/>
        <v>0.0156135202601967</v>
      </c>
      <c r="L879" s="4">
        <f t="shared" si="40"/>
        <v>-0.000418503088350152</v>
      </c>
      <c r="M879" s="18">
        <f t="shared" si="41"/>
        <v>-9.8967505e-5</v>
      </c>
    </row>
    <row r="880" spans="1:13">
      <c r="A880" t="s">
        <v>13</v>
      </c>
      <c r="B880" t="s">
        <v>1770</v>
      </c>
      <c r="C880" t="s">
        <v>1771</v>
      </c>
      <c r="D880">
        <v>421.663</v>
      </c>
      <c r="E880">
        <v>423.4756</v>
      </c>
      <c r="F880">
        <v>2.2888</v>
      </c>
      <c r="G880">
        <v>-1.8126</v>
      </c>
      <c r="H880">
        <v>0.09651</v>
      </c>
      <c r="I880">
        <v>0.09264</v>
      </c>
      <c r="J880">
        <v>0.00387</v>
      </c>
      <c r="K880" s="4">
        <f t="shared" si="39"/>
        <v>0.0417746113989637</v>
      </c>
      <c r="L880" s="4">
        <f t="shared" si="40"/>
        <v>-0.0042802938351111</v>
      </c>
      <c r="M880" s="18">
        <f t="shared" si="41"/>
        <v>-0.000414867888</v>
      </c>
    </row>
    <row r="881" spans="1:13">
      <c r="A881" t="s">
        <v>13</v>
      </c>
      <c r="B881" t="s">
        <v>1772</v>
      </c>
      <c r="C881" t="s">
        <v>1773</v>
      </c>
      <c r="D881">
        <v>4163.8183</v>
      </c>
      <c r="E881">
        <v>4163.9382</v>
      </c>
      <c r="F881">
        <v>0.5841</v>
      </c>
      <c r="G881">
        <v>-0.1199</v>
      </c>
      <c r="H881">
        <v>0.243209</v>
      </c>
      <c r="I881">
        <v>0.244673</v>
      </c>
      <c r="J881">
        <v>-0.001464</v>
      </c>
      <c r="K881" s="4">
        <f t="shared" si="39"/>
        <v>-0.005983496340013</v>
      </c>
      <c r="L881" s="4">
        <f t="shared" si="40"/>
        <v>-2.87948557929339e-5</v>
      </c>
      <c r="M881" s="18">
        <f t="shared" si="41"/>
        <v>-7.003359e-6</v>
      </c>
    </row>
    <row r="882" spans="1:13">
      <c r="A882" t="s">
        <v>13</v>
      </c>
      <c r="B882" t="s">
        <v>1774</v>
      </c>
      <c r="C882" t="s">
        <v>1775</v>
      </c>
      <c r="D882">
        <v>7822.9005</v>
      </c>
      <c r="E882">
        <v>7895.0995</v>
      </c>
      <c r="F882">
        <v>1.235</v>
      </c>
      <c r="G882">
        <v>-72.199</v>
      </c>
      <c r="H882">
        <v>0.966128</v>
      </c>
      <c r="I882">
        <v>0.98294</v>
      </c>
      <c r="J882">
        <v>-0.016812</v>
      </c>
      <c r="K882" s="4">
        <f t="shared" si="39"/>
        <v>-0.0171037906688099</v>
      </c>
      <c r="L882" s="4">
        <f t="shared" si="40"/>
        <v>-0.00914478658565361</v>
      </c>
      <c r="M882" s="18">
        <f t="shared" si="41"/>
        <v>-0.0089165765</v>
      </c>
    </row>
    <row r="883" spans="1:13">
      <c r="A883" t="s">
        <v>13</v>
      </c>
      <c r="B883" t="s">
        <v>1776</v>
      </c>
      <c r="C883" t="s">
        <v>1777</v>
      </c>
      <c r="D883">
        <v>974.1715</v>
      </c>
      <c r="E883">
        <v>974.3556</v>
      </c>
      <c r="F883">
        <v>1.1548</v>
      </c>
      <c r="G883">
        <v>-0.1841</v>
      </c>
      <c r="H883">
        <v>0.112497</v>
      </c>
      <c r="I883">
        <v>0.111671</v>
      </c>
      <c r="J883">
        <v>0.000826</v>
      </c>
      <c r="K883" s="4">
        <f t="shared" si="39"/>
        <v>0.0073967278881715</v>
      </c>
      <c r="L883" s="4">
        <f t="shared" si="40"/>
        <v>-0.000188945391189771</v>
      </c>
      <c r="M883" s="18">
        <f t="shared" si="41"/>
        <v>-2.1259868e-5</v>
      </c>
    </row>
    <row r="884" spans="1:13">
      <c r="A884" t="s">
        <v>13</v>
      </c>
      <c r="B884" t="s">
        <v>1778</v>
      </c>
      <c r="C884" t="s">
        <v>1779</v>
      </c>
      <c r="D884">
        <v>70454.157</v>
      </c>
      <c r="E884">
        <v>70529.8549</v>
      </c>
      <c r="F884">
        <v>0.9372</v>
      </c>
      <c r="G884">
        <v>-75.6979</v>
      </c>
      <c r="H884">
        <v>6.602964</v>
      </c>
      <c r="I884">
        <v>6.479578</v>
      </c>
      <c r="J884">
        <v>0.123386</v>
      </c>
      <c r="K884" s="4">
        <f t="shared" si="39"/>
        <v>0.0190422894824323</v>
      </c>
      <c r="L884" s="4">
        <f t="shared" si="40"/>
        <v>-0.00107327457439586</v>
      </c>
      <c r="M884" s="18">
        <f t="shared" si="41"/>
        <v>-0.007094407188</v>
      </c>
    </row>
    <row r="885" spans="1:13">
      <c r="A885" t="s">
        <v>13</v>
      </c>
      <c r="B885" t="s">
        <v>1780</v>
      </c>
      <c r="C885" t="s">
        <v>1781</v>
      </c>
      <c r="D885">
        <v>20648.2018</v>
      </c>
      <c r="E885">
        <v>20731.7756</v>
      </c>
      <c r="F885">
        <v>2.6597</v>
      </c>
      <c r="G885">
        <v>-83.5738</v>
      </c>
      <c r="H885">
        <v>5.491802</v>
      </c>
      <c r="I885">
        <v>5.403945</v>
      </c>
      <c r="J885">
        <v>0.087857</v>
      </c>
      <c r="K885" s="4">
        <f t="shared" si="39"/>
        <v>0.0162579374882609</v>
      </c>
      <c r="L885" s="4">
        <f t="shared" si="40"/>
        <v>-0.00403119354620074</v>
      </c>
      <c r="M885" s="18">
        <f t="shared" si="41"/>
        <v>-0.022228123586</v>
      </c>
    </row>
    <row r="886" spans="1:13">
      <c r="A886" t="s">
        <v>13</v>
      </c>
      <c r="B886" t="s">
        <v>1782</v>
      </c>
      <c r="C886" t="s">
        <v>1783</v>
      </c>
      <c r="D886">
        <v>2730.885</v>
      </c>
      <c r="E886">
        <v>2725.572</v>
      </c>
      <c r="F886">
        <v>2.66</v>
      </c>
      <c r="G886">
        <v>5.313</v>
      </c>
      <c r="H886">
        <v>0.726415</v>
      </c>
      <c r="I886">
        <v>0.718134</v>
      </c>
      <c r="J886">
        <v>0.008281</v>
      </c>
      <c r="K886" s="4">
        <f t="shared" si="39"/>
        <v>0.0115312741076178</v>
      </c>
      <c r="L886" s="4">
        <f t="shared" si="40"/>
        <v>0.00194931559320396</v>
      </c>
      <c r="M886" s="18">
        <f t="shared" si="41"/>
        <v>0.001413258</v>
      </c>
    </row>
    <row r="887" spans="1:13">
      <c r="A887" t="s">
        <v>13</v>
      </c>
      <c r="B887" t="s">
        <v>1784</v>
      </c>
      <c r="C887" t="s">
        <v>1785</v>
      </c>
      <c r="D887">
        <v>3461.623</v>
      </c>
      <c r="E887">
        <v>3464.752</v>
      </c>
      <c r="F887">
        <v>1.621</v>
      </c>
      <c r="G887">
        <v>-3.129</v>
      </c>
      <c r="H887">
        <v>0.561129</v>
      </c>
      <c r="I887">
        <v>0.565101</v>
      </c>
      <c r="J887">
        <v>-0.003972</v>
      </c>
      <c r="K887" s="4">
        <f t="shared" si="39"/>
        <v>-0.00702883201410013</v>
      </c>
      <c r="L887" s="4">
        <f t="shared" si="40"/>
        <v>-0.000903094940128444</v>
      </c>
      <c r="M887" s="18">
        <f t="shared" si="41"/>
        <v>-0.0005072109</v>
      </c>
    </row>
    <row r="888" spans="1:13">
      <c r="A888" t="s">
        <v>13</v>
      </c>
      <c r="B888" t="s">
        <v>1786</v>
      </c>
      <c r="C888" t="s">
        <v>1787</v>
      </c>
      <c r="D888">
        <v>2409.6327</v>
      </c>
      <c r="E888">
        <v>2407.7056</v>
      </c>
      <c r="F888">
        <v>4.578</v>
      </c>
      <c r="G888">
        <v>1.9271</v>
      </c>
      <c r="H888">
        <v>1.10313</v>
      </c>
      <c r="I888">
        <v>1.077448</v>
      </c>
      <c r="J888">
        <v>0.025682</v>
      </c>
      <c r="K888" s="4">
        <f t="shared" si="39"/>
        <v>0.0238359531040013</v>
      </c>
      <c r="L888" s="4">
        <f t="shared" si="40"/>
        <v>0.00080038855248762</v>
      </c>
      <c r="M888" s="18">
        <f t="shared" si="41"/>
        <v>0.00088222638</v>
      </c>
    </row>
    <row r="889" spans="1:13">
      <c r="A889" t="s">
        <v>13</v>
      </c>
      <c r="B889" t="s">
        <v>1788</v>
      </c>
      <c r="C889" t="s">
        <v>1789</v>
      </c>
      <c r="D889">
        <v>6631.34</v>
      </c>
      <c r="E889">
        <v>6635.74</v>
      </c>
      <c r="F889">
        <v>5.451</v>
      </c>
      <c r="G889">
        <v>-4.4</v>
      </c>
      <c r="H889">
        <v>3.614743</v>
      </c>
      <c r="I889">
        <v>3.548794</v>
      </c>
      <c r="J889">
        <v>0.065949</v>
      </c>
      <c r="K889" s="4">
        <f t="shared" si="39"/>
        <v>0.0185834962525297</v>
      </c>
      <c r="L889" s="4">
        <f t="shared" si="40"/>
        <v>-0.000663076009608519</v>
      </c>
      <c r="M889" s="18">
        <f t="shared" si="41"/>
        <v>-0.00239844</v>
      </c>
    </row>
    <row r="890" spans="1:13">
      <c r="A890" t="s">
        <v>13</v>
      </c>
      <c r="B890" t="s">
        <v>1790</v>
      </c>
      <c r="C890" t="s">
        <v>1791</v>
      </c>
      <c r="D890">
        <v>110005.0553</v>
      </c>
      <c r="E890">
        <v>110265.2026</v>
      </c>
      <c r="F890">
        <v>2.1799</v>
      </c>
      <c r="G890">
        <v>-260.1473</v>
      </c>
      <c r="H890">
        <v>23.980002</v>
      </c>
      <c r="I890">
        <v>23.847055</v>
      </c>
      <c r="J890">
        <v>0.132947</v>
      </c>
      <c r="K890" s="4">
        <f t="shared" si="39"/>
        <v>0.00557498609367069</v>
      </c>
      <c r="L890" s="4">
        <f t="shared" si="40"/>
        <v>-0.00235928737140866</v>
      </c>
      <c r="M890" s="18">
        <f t="shared" si="41"/>
        <v>-0.056709509927</v>
      </c>
    </row>
    <row r="891" spans="1:13">
      <c r="A891" t="s">
        <v>13</v>
      </c>
      <c r="B891" t="s">
        <v>1792</v>
      </c>
      <c r="C891" t="s">
        <v>1793</v>
      </c>
      <c r="D891">
        <v>21498.9362</v>
      </c>
      <c r="E891">
        <v>21566.3162</v>
      </c>
      <c r="F891">
        <v>0.9803</v>
      </c>
      <c r="G891">
        <v>-67.38</v>
      </c>
      <c r="H891">
        <v>2.107541</v>
      </c>
      <c r="I891">
        <v>2.084816</v>
      </c>
      <c r="J891">
        <v>0.022725</v>
      </c>
      <c r="K891" s="4">
        <f t="shared" si="39"/>
        <v>0.0109002425154066</v>
      </c>
      <c r="L891" s="4">
        <f t="shared" si="40"/>
        <v>-0.00312431661370156</v>
      </c>
      <c r="M891" s="18">
        <f t="shared" si="41"/>
        <v>-0.0066052614</v>
      </c>
    </row>
    <row r="892" spans="1:13">
      <c r="A892" t="s">
        <v>13</v>
      </c>
      <c r="B892" t="s">
        <v>1794</v>
      </c>
      <c r="C892" t="s">
        <v>1795</v>
      </c>
      <c r="D892">
        <v>6324.3984</v>
      </c>
      <c r="E892">
        <v>6325.9261</v>
      </c>
      <c r="F892">
        <v>0.4704</v>
      </c>
      <c r="G892">
        <v>-1.5277</v>
      </c>
      <c r="H892">
        <v>0.2975</v>
      </c>
      <c r="I892">
        <v>0.293523</v>
      </c>
      <c r="J892">
        <v>0.003977</v>
      </c>
      <c r="K892" s="4">
        <f t="shared" si="39"/>
        <v>0.0135491937599439</v>
      </c>
      <c r="L892" s="4">
        <f t="shared" si="40"/>
        <v>-0.000241498236914219</v>
      </c>
      <c r="M892" s="18">
        <f t="shared" si="41"/>
        <v>-7.1863008e-5</v>
      </c>
    </row>
    <row r="893" spans="1:13">
      <c r="A893" t="s">
        <v>13</v>
      </c>
      <c r="B893" t="s">
        <v>1796</v>
      </c>
      <c r="C893" t="s">
        <v>1797</v>
      </c>
      <c r="D893">
        <v>2298.8457</v>
      </c>
      <c r="E893">
        <v>2310.8488</v>
      </c>
      <c r="F893">
        <v>1.0838</v>
      </c>
      <c r="G893">
        <v>-12.0031</v>
      </c>
      <c r="H893">
        <v>0.249149</v>
      </c>
      <c r="I893">
        <v>0.243864</v>
      </c>
      <c r="J893">
        <v>0.005285</v>
      </c>
      <c r="K893" s="4">
        <f t="shared" si="39"/>
        <v>0.0216719154938818</v>
      </c>
      <c r="L893" s="4">
        <f t="shared" si="40"/>
        <v>-0.00519423858454104</v>
      </c>
      <c r="M893" s="18">
        <f t="shared" si="41"/>
        <v>-0.001300895978</v>
      </c>
    </row>
    <row r="894" spans="1:13">
      <c r="A894" t="s">
        <v>13</v>
      </c>
      <c r="B894" t="s">
        <v>1798</v>
      </c>
      <c r="C894" t="s">
        <v>1799</v>
      </c>
      <c r="D894">
        <v>1351.9525</v>
      </c>
      <c r="E894">
        <v>1351.9525</v>
      </c>
      <c r="F894">
        <v>1.2093</v>
      </c>
      <c r="G894">
        <v>0</v>
      </c>
      <c r="H894">
        <v>0.163492</v>
      </c>
      <c r="I894">
        <v>0.163397</v>
      </c>
      <c r="J894">
        <v>9.5e-5</v>
      </c>
      <c r="K894" s="4">
        <f t="shared" si="39"/>
        <v>0.000581406023366402</v>
      </c>
      <c r="L894" s="4">
        <f t="shared" si="40"/>
        <v>0</v>
      </c>
      <c r="M894" s="18">
        <f t="shared" si="41"/>
        <v>0</v>
      </c>
    </row>
    <row r="895" spans="1:13">
      <c r="A895" t="s">
        <v>13</v>
      </c>
      <c r="B895" t="s">
        <v>1800</v>
      </c>
      <c r="C895" t="s">
        <v>1801</v>
      </c>
      <c r="D895">
        <v>60.9311</v>
      </c>
      <c r="E895">
        <v>61.2283</v>
      </c>
      <c r="F895">
        <v>2.1194</v>
      </c>
      <c r="G895">
        <v>-0.2972</v>
      </c>
      <c r="H895">
        <v>0.012914</v>
      </c>
      <c r="I895">
        <v>0.012913</v>
      </c>
      <c r="J895">
        <v>1e-6</v>
      </c>
      <c r="K895" s="4">
        <f t="shared" si="39"/>
        <v>7.74413381863239e-5</v>
      </c>
      <c r="L895" s="4">
        <f t="shared" si="40"/>
        <v>-0.0048539645882704</v>
      </c>
      <c r="M895" s="18">
        <f t="shared" si="41"/>
        <v>-6.2988568e-5</v>
      </c>
    </row>
    <row r="896" spans="1:13">
      <c r="A896" t="s">
        <v>13</v>
      </c>
      <c r="B896" t="s">
        <v>1802</v>
      </c>
      <c r="C896" t="s">
        <v>1803</v>
      </c>
      <c r="D896">
        <v>125.8284</v>
      </c>
      <c r="E896">
        <v>125.8284</v>
      </c>
      <c r="F896">
        <v>0.805</v>
      </c>
      <c r="G896">
        <v>0</v>
      </c>
      <c r="H896">
        <v>0.010129</v>
      </c>
      <c r="I896">
        <v>0.010129</v>
      </c>
      <c r="J896">
        <v>0</v>
      </c>
      <c r="K896" s="4">
        <f t="shared" si="39"/>
        <v>0</v>
      </c>
      <c r="L896" s="4">
        <f t="shared" si="40"/>
        <v>0</v>
      </c>
      <c r="M896" s="18">
        <f t="shared" si="41"/>
        <v>0</v>
      </c>
    </row>
    <row r="897" spans="1:13">
      <c r="A897" t="s">
        <v>13</v>
      </c>
      <c r="B897" t="s">
        <v>1804</v>
      </c>
      <c r="C897" t="s">
        <v>1805</v>
      </c>
      <c r="D897">
        <v>794.3899</v>
      </c>
      <c r="E897">
        <v>794.3899</v>
      </c>
      <c r="F897">
        <v>1.6417</v>
      </c>
      <c r="G897">
        <v>0</v>
      </c>
      <c r="H897">
        <v>0.130415</v>
      </c>
      <c r="I897">
        <v>0.130725</v>
      </c>
      <c r="J897">
        <v>-0.00031</v>
      </c>
      <c r="K897" s="4">
        <f t="shared" si="39"/>
        <v>-0.00237139032319755</v>
      </c>
      <c r="L897" s="4">
        <f t="shared" si="40"/>
        <v>0</v>
      </c>
      <c r="M897" s="18">
        <f t="shared" si="41"/>
        <v>0</v>
      </c>
    </row>
    <row r="898" spans="1:13">
      <c r="A898" t="s">
        <v>13</v>
      </c>
      <c r="B898" t="s">
        <v>1806</v>
      </c>
      <c r="C898" t="s">
        <v>1807</v>
      </c>
      <c r="D898">
        <v>1208.7793</v>
      </c>
      <c r="E898">
        <v>1209.0393</v>
      </c>
      <c r="F898">
        <v>1.6597</v>
      </c>
      <c r="G898">
        <v>-0.26</v>
      </c>
      <c r="H898">
        <v>0.200621</v>
      </c>
      <c r="I898">
        <v>0.200846</v>
      </c>
      <c r="J898">
        <v>-0.000225</v>
      </c>
      <c r="K898" s="4">
        <f t="shared" ref="K898:K961" si="42">IFERROR(J898/I898,"")</f>
        <v>-0.00112026129472332</v>
      </c>
      <c r="L898" s="4">
        <f t="shared" ref="L898:L961" si="43">IFERROR((D898-E898)/E898,"")</f>
        <v>-0.00021504677308669</v>
      </c>
      <c r="M898" s="18">
        <f t="shared" ref="M898:M961" si="44">IFERROR(F898*G898/10000,"")</f>
        <v>-4.31522e-5</v>
      </c>
    </row>
    <row r="899" spans="1:13">
      <c r="A899" t="s">
        <v>13</v>
      </c>
      <c r="B899" t="s">
        <v>1808</v>
      </c>
      <c r="C899" t="s">
        <v>1809</v>
      </c>
      <c r="D899">
        <v>74.5807</v>
      </c>
      <c r="E899">
        <v>74.5907</v>
      </c>
      <c r="F899">
        <v>1.4088</v>
      </c>
      <c r="G899">
        <v>-0.01</v>
      </c>
      <c r="H899">
        <v>0.010507</v>
      </c>
      <c r="I899">
        <v>0.010506</v>
      </c>
      <c r="J899">
        <v>1e-6</v>
      </c>
      <c r="K899" s="4">
        <f t="shared" si="42"/>
        <v>9.51837045497811e-5</v>
      </c>
      <c r="L899" s="4">
        <f t="shared" si="43"/>
        <v>-0.000134064970566104</v>
      </c>
      <c r="M899" s="18">
        <f t="shared" si="44"/>
        <v>-1.4088e-6</v>
      </c>
    </row>
    <row r="900" spans="1:13">
      <c r="A900" t="s">
        <v>13</v>
      </c>
      <c r="B900" t="s">
        <v>1810</v>
      </c>
      <c r="C900" t="s">
        <v>1811</v>
      </c>
      <c r="D900">
        <v>74.7336</v>
      </c>
      <c r="E900">
        <v>74.7336</v>
      </c>
      <c r="F900">
        <v>1.255</v>
      </c>
      <c r="G900">
        <v>0</v>
      </c>
      <c r="H900">
        <v>0.009379</v>
      </c>
      <c r="I900">
        <v>0.009378</v>
      </c>
      <c r="J900">
        <v>1e-6</v>
      </c>
      <c r="K900" s="4">
        <f t="shared" si="42"/>
        <v>0.000106632544252506</v>
      </c>
      <c r="L900" s="4">
        <f t="shared" si="43"/>
        <v>0</v>
      </c>
      <c r="M900" s="18">
        <f t="shared" si="44"/>
        <v>0</v>
      </c>
    </row>
    <row r="901" spans="1:13">
      <c r="A901" t="s">
        <v>13</v>
      </c>
      <c r="B901" t="s">
        <v>1812</v>
      </c>
      <c r="C901" t="s">
        <v>1813</v>
      </c>
      <c r="D901">
        <v>2241.4305</v>
      </c>
      <c r="E901">
        <v>2244.5899</v>
      </c>
      <c r="F901">
        <v>0.8693</v>
      </c>
      <c r="G901">
        <v>-3.1594</v>
      </c>
      <c r="H901">
        <v>0.194848</v>
      </c>
      <c r="I901">
        <v>0.199364</v>
      </c>
      <c r="J901">
        <v>-0.004516</v>
      </c>
      <c r="K901" s="4">
        <f t="shared" si="42"/>
        <v>-0.0226520334664232</v>
      </c>
      <c r="L901" s="4">
        <f t="shared" si="43"/>
        <v>-0.00140756224555764</v>
      </c>
      <c r="M901" s="18">
        <f t="shared" si="44"/>
        <v>-0.000274646642</v>
      </c>
    </row>
    <row r="902" spans="1:13">
      <c r="A902" t="s">
        <v>13</v>
      </c>
      <c r="B902" t="s">
        <v>1814</v>
      </c>
      <c r="C902" t="s">
        <v>1815</v>
      </c>
      <c r="D902">
        <v>134.5695</v>
      </c>
      <c r="E902">
        <v>135.296</v>
      </c>
      <c r="F902">
        <v>1.39</v>
      </c>
      <c r="G902">
        <v>-0.7265</v>
      </c>
      <c r="H902">
        <v>0.018705</v>
      </c>
      <c r="I902">
        <v>0.018617</v>
      </c>
      <c r="J902">
        <v>8.8e-5</v>
      </c>
      <c r="K902" s="4">
        <f t="shared" si="42"/>
        <v>0.00472686254498576</v>
      </c>
      <c r="L902" s="4">
        <f t="shared" si="43"/>
        <v>-0.00536970789971608</v>
      </c>
      <c r="M902" s="18">
        <f t="shared" si="44"/>
        <v>-0.0001009835</v>
      </c>
    </row>
    <row r="903" spans="1:13">
      <c r="A903" t="s">
        <v>13</v>
      </c>
      <c r="B903" t="s">
        <v>1816</v>
      </c>
      <c r="C903" t="s">
        <v>1817</v>
      </c>
      <c r="D903">
        <v>83.0703</v>
      </c>
      <c r="E903">
        <v>83.0703</v>
      </c>
      <c r="F903">
        <v>0.7283</v>
      </c>
      <c r="G903">
        <v>0</v>
      </c>
      <c r="H903">
        <v>0.00605</v>
      </c>
      <c r="I903">
        <v>0.006048</v>
      </c>
      <c r="J903">
        <v>2e-6</v>
      </c>
      <c r="K903" s="4">
        <f t="shared" si="42"/>
        <v>0.000330687830687831</v>
      </c>
      <c r="L903" s="4">
        <f t="shared" si="43"/>
        <v>0</v>
      </c>
      <c r="M903" s="18">
        <f t="shared" si="44"/>
        <v>0</v>
      </c>
    </row>
    <row r="904" spans="1:13">
      <c r="A904" t="s">
        <v>13</v>
      </c>
      <c r="B904" t="s">
        <v>1818</v>
      </c>
      <c r="C904" t="s">
        <v>1819</v>
      </c>
      <c r="D904">
        <v>45.7981</v>
      </c>
      <c r="E904">
        <v>56.1399</v>
      </c>
      <c r="F904">
        <v>1.2546</v>
      </c>
      <c r="G904">
        <v>-10.3418</v>
      </c>
      <c r="H904">
        <v>0.005746</v>
      </c>
      <c r="I904">
        <v>0.007042</v>
      </c>
      <c r="J904">
        <v>-0.001296</v>
      </c>
      <c r="K904" s="4">
        <f t="shared" si="42"/>
        <v>-0.184038625390514</v>
      </c>
      <c r="L904" s="4">
        <f t="shared" si="43"/>
        <v>-0.184214791975048</v>
      </c>
      <c r="M904" s="18">
        <f t="shared" si="44"/>
        <v>-0.001297482228</v>
      </c>
    </row>
    <row r="905" spans="1:13">
      <c r="A905" t="s">
        <v>13</v>
      </c>
      <c r="B905" t="s">
        <v>1820</v>
      </c>
      <c r="C905" t="s">
        <v>1821</v>
      </c>
      <c r="D905">
        <v>32535.0509</v>
      </c>
      <c r="E905">
        <v>32471.3758</v>
      </c>
      <c r="F905">
        <v>1.697</v>
      </c>
      <c r="G905">
        <v>63.6751</v>
      </c>
      <c r="H905">
        <v>5.521198</v>
      </c>
      <c r="I905">
        <v>5.494157</v>
      </c>
      <c r="J905">
        <v>0.027041</v>
      </c>
      <c r="K905" s="4">
        <f t="shared" si="42"/>
        <v>0.00492177416844841</v>
      </c>
      <c r="L905" s="4">
        <f t="shared" si="43"/>
        <v>0.00196096095195316</v>
      </c>
      <c r="M905" s="18">
        <f t="shared" si="44"/>
        <v>0.01080566447</v>
      </c>
    </row>
    <row r="906" spans="1:13">
      <c r="A906" t="s">
        <v>13</v>
      </c>
      <c r="B906" t="s">
        <v>1822</v>
      </c>
      <c r="C906" t="s">
        <v>1823</v>
      </c>
      <c r="D906">
        <v>1366.2505</v>
      </c>
      <c r="E906">
        <v>1366.0958</v>
      </c>
      <c r="F906">
        <v>0.8673</v>
      </c>
      <c r="G906">
        <v>0.1547</v>
      </c>
      <c r="H906">
        <v>0.118495</v>
      </c>
      <c r="I906">
        <v>0.118413</v>
      </c>
      <c r="J906">
        <v>8.2e-5</v>
      </c>
      <c r="K906" s="4">
        <f t="shared" si="42"/>
        <v>0.000692491533868748</v>
      </c>
      <c r="L906" s="4">
        <f t="shared" si="43"/>
        <v>0.000113242424140421</v>
      </c>
      <c r="M906" s="18">
        <f t="shared" si="44"/>
        <v>1.3417131e-5</v>
      </c>
    </row>
    <row r="907" spans="1:13">
      <c r="A907" t="s">
        <v>13</v>
      </c>
      <c r="B907" t="s">
        <v>1824</v>
      </c>
      <c r="C907" t="s">
        <v>1825</v>
      </c>
      <c r="D907">
        <v>4199.7455</v>
      </c>
      <c r="E907">
        <v>4199.8028</v>
      </c>
      <c r="F907">
        <v>1.0939</v>
      </c>
      <c r="G907">
        <v>-0.0573</v>
      </c>
      <c r="H907">
        <v>0.45941</v>
      </c>
      <c r="I907">
        <v>0.462608</v>
      </c>
      <c r="J907">
        <v>-0.003198</v>
      </c>
      <c r="K907" s="4">
        <f t="shared" si="42"/>
        <v>-0.00691298032027116</v>
      </c>
      <c r="L907" s="4">
        <f t="shared" si="43"/>
        <v>-1.36434977376547e-5</v>
      </c>
      <c r="M907" s="18">
        <f t="shared" si="44"/>
        <v>-6.268047e-6</v>
      </c>
    </row>
    <row r="908" spans="1:13">
      <c r="A908" t="s">
        <v>13</v>
      </c>
      <c r="B908" t="s">
        <v>1826</v>
      </c>
      <c r="C908" t="s">
        <v>1827</v>
      </c>
      <c r="D908">
        <v>698.747</v>
      </c>
      <c r="E908">
        <v>698.747</v>
      </c>
      <c r="F908">
        <v>1.109</v>
      </c>
      <c r="G908">
        <v>0</v>
      </c>
      <c r="H908">
        <v>0.077491</v>
      </c>
      <c r="I908">
        <v>0.077463</v>
      </c>
      <c r="J908">
        <v>2.8e-5</v>
      </c>
      <c r="K908" s="4">
        <f t="shared" si="42"/>
        <v>0.000361462891961323</v>
      </c>
      <c r="L908" s="4">
        <f t="shared" si="43"/>
        <v>0</v>
      </c>
      <c r="M908" s="18">
        <f t="shared" si="44"/>
        <v>0</v>
      </c>
    </row>
    <row r="909" spans="1:13">
      <c r="A909" t="s">
        <v>13</v>
      </c>
      <c r="B909" t="s">
        <v>1828</v>
      </c>
      <c r="C909" t="s">
        <v>1829</v>
      </c>
      <c r="D909">
        <v>2673.1629</v>
      </c>
      <c r="E909">
        <v>2673.1629</v>
      </c>
      <c r="F909">
        <v>1.0244</v>
      </c>
      <c r="G909">
        <v>0</v>
      </c>
      <c r="H909">
        <v>0.273839</v>
      </c>
      <c r="I909">
        <v>0.273732</v>
      </c>
      <c r="J909">
        <v>0.000107</v>
      </c>
      <c r="K909" s="4">
        <f t="shared" si="42"/>
        <v>0.000390893282480675</v>
      </c>
      <c r="L909" s="4">
        <f t="shared" si="43"/>
        <v>0</v>
      </c>
      <c r="M909" s="18">
        <f t="shared" si="44"/>
        <v>0</v>
      </c>
    </row>
    <row r="910" spans="1:13">
      <c r="A910" t="s">
        <v>13</v>
      </c>
      <c r="B910" t="s">
        <v>1830</v>
      </c>
      <c r="C910" t="s">
        <v>1831</v>
      </c>
      <c r="D910">
        <v>106.2363</v>
      </c>
      <c r="E910">
        <v>106.5205</v>
      </c>
      <c r="F910">
        <v>1.26</v>
      </c>
      <c r="G910">
        <v>-0.2842</v>
      </c>
      <c r="H910">
        <v>0.013386</v>
      </c>
      <c r="I910">
        <v>0.013326</v>
      </c>
      <c r="J910">
        <v>6e-5</v>
      </c>
      <c r="K910" s="4">
        <f t="shared" si="42"/>
        <v>0.0045024763619991</v>
      </c>
      <c r="L910" s="4">
        <f t="shared" si="43"/>
        <v>-0.00266803103627939</v>
      </c>
      <c r="M910" s="18">
        <f t="shared" si="44"/>
        <v>-3.58092e-5</v>
      </c>
    </row>
    <row r="911" spans="1:13">
      <c r="A911" t="s">
        <v>13</v>
      </c>
      <c r="B911" t="s">
        <v>1832</v>
      </c>
      <c r="C911" t="s">
        <v>1833</v>
      </c>
      <c r="D911">
        <v>131697.5734</v>
      </c>
      <c r="E911">
        <v>131479.6942</v>
      </c>
      <c r="F911">
        <v>1.3125</v>
      </c>
      <c r="G911">
        <v>217.8792</v>
      </c>
      <c r="H911">
        <v>17.285307</v>
      </c>
      <c r="I911">
        <v>17.208062</v>
      </c>
      <c r="J911">
        <v>0.077245</v>
      </c>
      <c r="K911" s="4">
        <f t="shared" si="42"/>
        <v>0.00448888433805038</v>
      </c>
      <c r="L911" s="4">
        <f t="shared" si="43"/>
        <v>0.00165713193452191</v>
      </c>
      <c r="M911" s="18">
        <f t="shared" si="44"/>
        <v>0.028596645</v>
      </c>
    </row>
    <row r="912" spans="1:13">
      <c r="A912" t="s">
        <v>13</v>
      </c>
      <c r="B912" t="s">
        <v>1834</v>
      </c>
      <c r="C912" t="s">
        <v>1835</v>
      </c>
      <c r="D912">
        <v>51.4693</v>
      </c>
      <c r="E912">
        <v>51.4693</v>
      </c>
      <c r="F912">
        <v>1.1816</v>
      </c>
      <c r="G912">
        <v>0</v>
      </c>
      <c r="H912">
        <v>0.006082</v>
      </c>
      <c r="I912">
        <v>0.006073</v>
      </c>
      <c r="J912">
        <v>9e-6</v>
      </c>
      <c r="K912" s="4">
        <f t="shared" si="42"/>
        <v>0.00148196937263297</v>
      </c>
      <c r="L912" s="4">
        <f t="shared" si="43"/>
        <v>0</v>
      </c>
      <c r="M912" s="18">
        <f t="shared" si="44"/>
        <v>0</v>
      </c>
    </row>
    <row r="913" spans="1:13">
      <c r="A913" t="s">
        <v>13</v>
      </c>
      <c r="B913" t="s">
        <v>1836</v>
      </c>
      <c r="C913" t="s">
        <v>1837</v>
      </c>
      <c r="D913">
        <v>88898.9495</v>
      </c>
      <c r="E913">
        <v>88936.786</v>
      </c>
      <c r="F913">
        <v>0.9319</v>
      </c>
      <c r="G913">
        <v>-37.8365</v>
      </c>
      <c r="H913">
        <v>8.284493</v>
      </c>
      <c r="I913">
        <v>8.509472</v>
      </c>
      <c r="J913">
        <v>-0.224979</v>
      </c>
      <c r="K913" s="4">
        <f t="shared" si="42"/>
        <v>-0.0264386556533707</v>
      </c>
      <c r="L913" s="4">
        <f t="shared" si="43"/>
        <v>-0.000425431384489095</v>
      </c>
      <c r="M913" s="18">
        <f t="shared" si="44"/>
        <v>-0.003525983435</v>
      </c>
    </row>
    <row r="914" spans="1:13">
      <c r="A914" t="s">
        <v>13</v>
      </c>
      <c r="B914" t="s">
        <v>1838</v>
      </c>
      <c r="C914" t="s">
        <v>1839</v>
      </c>
      <c r="D914">
        <v>119.9081</v>
      </c>
      <c r="E914">
        <v>121.3008</v>
      </c>
      <c r="F914">
        <v>2.0452</v>
      </c>
      <c r="G914">
        <v>-1.3927</v>
      </c>
      <c r="H914">
        <v>0.024524</v>
      </c>
      <c r="I914">
        <v>0.02458</v>
      </c>
      <c r="J914">
        <v>-5.6e-5</v>
      </c>
      <c r="K914" s="4">
        <f t="shared" si="42"/>
        <v>-0.00227827502034174</v>
      </c>
      <c r="L914" s="4">
        <f t="shared" si="43"/>
        <v>-0.0114813752258847</v>
      </c>
      <c r="M914" s="18">
        <f t="shared" si="44"/>
        <v>-0.000284835004</v>
      </c>
    </row>
    <row r="915" spans="1:13">
      <c r="A915" t="s">
        <v>13</v>
      </c>
      <c r="B915" t="s">
        <v>1840</v>
      </c>
      <c r="C915" t="s">
        <v>1841</v>
      </c>
      <c r="D915">
        <v>46.1673</v>
      </c>
      <c r="E915">
        <v>46.1673</v>
      </c>
      <c r="F915">
        <v>1.7359</v>
      </c>
      <c r="G915">
        <v>0</v>
      </c>
      <c r="H915">
        <v>0.008014</v>
      </c>
      <c r="I915">
        <v>0.008018</v>
      </c>
      <c r="J915">
        <v>-4e-6</v>
      </c>
      <c r="K915" s="4">
        <f t="shared" si="42"/>
        <v>-0.000498877525567473</v>
      </c>
      <c r="L915" s="4">
        <f t="shared" si="43"/>
        <v>0</v>
      </c>
      <c r="M915" s="18">
        <f t="shared" si="44"/>
        <v>0</v>
      </c>
    </row>
    <row r="916" spans="1:13">
      <c r="A916" t="s">
        <v>13</v>
      </c>
      <c r="B916" t="s">
        <v>1842</v>
      </c>
      <c r="C916" t="s">
        <v>1843</v>
      </c>
      <c r="D916">
        <v>2614.1654</v>
      </c>
      <c r="E916">
        <v>2634.7154</v>
      </c>
      <c r="F916">
        <v>4.995</v>
      </c>
      <c r="G916">
        <v>-20.55</v>
      </c>
      <c r="H916">
        <v>1.305776</v>
      </c>
      <c r="I916">
        <v>1.275466</v>
      </c>
      <c r="J916">
        <v>0.03031</v>
      </c>
      <c r="K916" s="4">
        <f t="shared" si="42"/>
        <v>0.0237638635604556</v>
      </c>
      <c r="L916" s="4">
        <f t="shared" si="43"/>
        <v>-0.00779970390729875</v>
      </c>
      <c r="M916" s="18">
        <f t="shared" si="44"/>
        <v>-0.010264725</v>
      </c>
    </row>
    <row r="917" spans="1:13">
      <c r="A917" t="s">
        <v>13</v>
      </c>
      <c r="B917" t="s">
        <v>1844</v>
      </c>
      <c r="C917" t="s">
        <v>1845</v>
      </c>
      <c r="D917">
        <v>17.5783</v>
      </c>
      <c r="E917">
        <v>17.7883</v>
      </c>
      <c r="F917">
        <v>2.1089</v>
      </c>
      <c r="G917">
        <v>-0.21</v>
      </c>
      <c r="H917">
        <v>0.003707</v>
      </c>
      <c r="I917">
        <v>0.003758</v>
      </c>
      <c r="J917">
        <v>-5.1e-5</v>
      </c>
      <c r="K917" s="4">
        <f t="shared" si="42"/>
        <v>-0.013571048430016</v>
      </c>
      <c r="L917" s="4">
        <f t="shared" si="43"/>
        <v>-0.0118055126122227</v>
      </c>
      <c r="M917" s="18">
        <f t="shared" si="44"/>
        <v>-4.42869e-5</v>
      </c>
    </row>
    <row r="918" spans="1:13">
      <c r="A918" t="s">
        <v>13</v>
      </c>
      <c r="B918" t="s">
        <v>1846</v>
      </c>
      <c r="C918" t="s">
        <v>1847</v>
      </c>
      <c r="D918">
        <v>114.5085</v>
      </c>
      <c r="E918">
        <v>114.5085</v>
      </c>
      <c r="F918">
        <v>1.2631</v>
      </c>
      <c r="G918">
        <v>0</v>
      </c>
      <c r="H918">
        <v>0.014464</v>
      </c>
      <c r="I918">
        <v>0.014409</v>
      </c>
      <c r="J918">
        <v>5.5e-5</v>
      </c>
      <c r="K918" s="4">
        <f t="shared" si="42"/>
        <v>0.00381705878270525</v>
      </c>
      <c r="L918" s="4">
        <f t="shared" si="43"/>
        <v>0</v>
      </c>
      <c r="M918" s="18">
        <f t="shared" si="44"/>
        <v>0</v>
      </c>
    </row>
    <row r="919" spans="1:13">
      <c r="A919" t="s">
        <v>13</v>
      </c>
      <c r="B919" t="s">
        <v>1848</v>
      </c>
      <c r="C919" t="s">
        <v>1849</v>
      </c>
      <c r="D919">
        <v>958.4716</v>
      </c>
      <c r="E919">
        <v>956.7397</v>
      </c>
      <c r="F919">
        <v>2.4078</v>
      </c>
      <c r="G919">
        <v>1.7319</v>
      </c>
      <c r="H919">
        <v>0.230781</v>
      </c>
      <c r="I919">
        <v>0.227283</v>
      </c>
      <c r="J919">
        <v>0.003498</v>
      </c>
      <c r="K919" s="4">
        <f t="shared" si="42"/>
        <v>0.0153905043492034</v>
      </c>
      <c r="L919" s="4">
        <f t="shared" si="43"/>
        <v>0.00181021023795709</v>
      </c>
      <c r="M919" s="18">
        <f t="shared" si="44"/>
        <v>0.000417006882</v>
      </c>
    </row>
    <row r="920" spans="1:13">
      <c r="A920" t="s">
        <v>13</v>
      </c>
      <c r="B920" t="s">
        <v>1850</v>
      </c>
      <c r="C920" t="s">
        <v>1851</v>
      </c>
      <c r="D920">
        <v>30.3049</v>
      </c>
      <c r="E920">
        <v>27.1875</v>
      </c>
      <c r="F920">
        <v>1.2321</v>
      </c>
      <c r="G920">
        <v>3.1174</v>
      </c>
      <c r="H920">
        <v>0.003734</v>
      </c>
      <c r="I920">
        <v>0.003364</v>
      </c>
      <c r="J920">
        <v>0.00037</v>
      </c>
      <c r="K920" s="4">
        <f t="shared" si="42"/>
        <v>0.109988109393579</v>
      </c>
      <c r="L920" s="4">
        <f t="shared" si="43"/>
        <v>0.114662988505747</v>
      </c>
      <c r="M920" s="18">
        <f t="shared" si="44"/>
        <v>0.000384094854</v>
      </c>
    </row>
    <row r="921" spans="1:13">
      <c r="A921" t="s">
        <v>13</v>
      </c>
      <c r="B921" t="s">
        <v>1852</v>
      </c>
      <c r="C921" t="s">
        <v>1853</v>
      </c>
      <c r="D921">
        <v>4353.5795</v>
      </c>
      <c r="E921">
        <v>4361.2052</v>
      </c>
      <c r="F921">
        <v>1.0279</v>
      </c>
      <c r="G921">
        <v>-7.6257</v>
      </c>
      <c r="H921">
        <v>0.447504</v>
      </c>
      <c r="I921">
        <v>0.447111</v>
      </c>
      <c r="J921">
        <v>0.000393</v>
      </c>
      <c r="K921" s="4">
        <f t="shared" si="42"/>
        <v>0.000878976361574643</v>
      </c>
      <c r="L921" s="4">
        <f t="shared" si="43"/>
        <v>-0.00174853042915763</v>
      </c>
      <c r="M921" s="18">
        <f t="shared" si="44"/>
        <v>-0.000783845703</v>
      </c>
    </row>
    <row r="922" spans="1:13">
      <c r="A922" t="s">
        <v>13</v>
      </c>
      <c r="B922" t="s">
        <v>1854</v>
      </c>
      <c r="C922" t="s">
        <v>1855</v>
      </c>
      <c r="D922">
        <v>1820.9967</v>
      </c>
      <c r="E922">
        <v>1824.9678</v>
      </c>
      <c r="F922">
        <v>1.3744</v>
      </c>
      <c r="G922">
        <v>-3.9711</v>
      </c>
      <c r="H922">
        <v>0.250278</v>
      </c>
      <c r="I922">
        <v>0.248524</v>
      </c>
      <c r="J922">
        <v>0.001754</v>
      </c>
      <c r="K922" s="4">
        <f t="shared" si="42"/>
        <v>0.00705766847467448</v>
      </c>
      <c r="L922" s="4">
        <f t="shared" si="43"/>
        <v>-0.00217598359817635</v>
      </c>
      <c r="M922" s="18">
        <f t="shared" si="44"/>
        <v>-0.000545787984</v>
      </c>
    </row>
    <row r="923" spans="1:13">
      <c r="A923" t="s">
        <v>13</v>
      </c>
      <c r="B923" t="s">
        <v>1856</v>
      </c>
      <c r="C923" t="s">
        <v>1857</v>
      </c>
      <c r="D923">
        <v>419.3998</v>
      </c>
      <c r="E923">
        <v>419.4569</v>
      </c>
      <c r="F923">
        <v>8.8013</v>
      </c>
      <c r="G923">
        <v>-0.0571</v>
      </c>
      <c r="H923">
        <v>0.369126</v>
      </c>
      <c r="I923">
        <v>0.364575</v>
      </c>
      <c r="J923">
        <v>0.004551</v>
      </c>
      <c r="K923" s="4">
        <f t="shared" si="42"/>
        <v>0.0124830281835013</v>
      </c>
      <c r="L923" s="4">
        <f t="shared" si="43"/>
        <v>-0.000136128407948448</v>
      </c>
      <c r="M923" s="18">
        <f t="shared" si="44"/>
        <v>-5.0255423e-5</v>
      </c>
    </row>
    <row r="924" spans="1:13">
      <c r="A924" t="s">
        <v>13</v>
      </c>
      <c r="B924" t="s">
        <v>1858</v>
      </c>
      <c r="C924" t="s">
        <v>1859</v>
      </c>
      <c r="D924">
        <v>234.2073</v>
      </c>
      <c r="E924">
        <v>234.2073</v>
      </c>
      <c r="F924">
        <v>1.0477</v>
      </c>
      <c r="G924">
        <v>0</v>
      </c>
      <c r="H924">
        <v>0.024538</v>
      </c>
      <c r="I924">
        <v>0.024554</v>
      </c>
      <c r="J924">
        <v>-1.6e-5</v>
      </c>
      <c r="K924" s="4">
        <f t="shared" si="42"/>
        <v>-0.000651624989818359</v>
      </c>
      <c r="L924" s="4">
        <f t="shared" si="43"/>
        <v>0</v>
      </c>
      <c r="M924" s="18">
        <f t="shared" si="44"/>
        <v>0</v>
      </c>
    </row>
    <row r="925" spans="1:13">
      <c r="A925" t="s">
        <v>13</v>
      </c>
      <c r="B925" t="s">
        <v>1860</v>
      </c>
      <c r="C925" t="s">
        <v>1861</v>
      </c>
      <c r="D925">
        <v>1029.7487</v>
      </c>
      <c r="E925">
        <v>1029.9164</v>
      </c>
      <c r="F925">
        <v>0.8965</v>
      </c>
      <c r="G925">
        <v>-0.1677</v>
      </c>
      <c r="H925">
        <v>0.092317</v>
      </c>
      <c r="I925">
        <v>0.092868</v>
      </c>
      <c r="J925">
        <v>-0.000551</v>
      </c>
      <c r="K925" s="4">
        <f t="shared" si="42"/>
        <v>-0.00593315243140802</v>
      </c>
      <c r="L925" s="4">
        <f t="shared" si="43"/>
        <v>-0.000162828749983948</v>
      </c>
      <c r="M925" s="18">
        <f t="shared" si="44"/>
        <v>-1.5034305e-5</v>
      </c>
    </row>
    <row r="926" spans="1:13">
      <c r="A926" t="s">
        <v>13</v>
      </c>
      <c r="B926" t="s">
        <v>1862</v>
      </c>
      <c r="C926" t="s">
        <v>1863</v>
      </c>
      <c r="D926">
        <v>2232.8182</v>
      </c>
      <c r="E926">
        <v>2260.2369</v>
      </c>
      <c r="F926">
        <v>3.0064</v>
      </c>
      <c r="G926">
        <v>-27.4187</v>
      </c>
      <c r="H926">
        <v>0.671274</v>
      </c>
      <c r="I926">
        <v>0.681868</v>
      </c>
      <c r="J926">
        <v>-0.010594</v>
      </c>
      <c r="K926" s="4">
        <f t="shared" si="42"/>
        <v>-0.0155367314494888</v>
      </c>
      <c r="L926" s="4">
        <f t="shared" si="43"/>
        <v>-0.012130896544517</v>
      </c>
      <c r="M926" s="18">
        <f t="shared" si="44"/>
        <v>-0.008243157968</v>
      </c>
    </row>
    <row r="927" spans="1:13">
      <c r="A927" t="s">
        <v>13</v>
      </c>
      <c r="B927" t="s">
        <v>1864</v>
      </c>
      <c r="C927" t="s">
        <v>1865</v>
      </c>
      <c r="D927">
        <v>5980.8783</v>
      </c>
      <c r="E927">
        <v>5981.0783</v>
      </c>
      <c r="F927">
        <v>1.2254</v>
      </c>
      <c r="G927">
        <v>-0.2</v>
      </c>
      <c r="H927">
        <v>0.732897</v>
      </c>
      <c r="I927">
        <v>0.737228</v>
      </c>
      <c r="J927">
        <v>-0.004331</v>
      </c>
      <c r="K927" s="4">
        <f t="shared" si="42"/>
        <v>-0.00587470904523431</v>
      </c>
      <c r="L927" s="4">
        <f t="shared" si="43"/>
        <v>-3.34387864475571e-5</v>
      </c>
      <c r="M927" s="18">
        <f t="shared" si="44"/>
        <v>-2.4508e-5</v>
      </c>
    </row>
    <row r="928" spans="1:13">
      <c r="A928" t="s">
        <v>13</v>
      </c>
      <c r="B928" t="s">
        <v>1866</v>
      </c>
      <c r="C928" t="s">
        <v>1867</v>
      </c>
      <c r="D928">
        <v>816.9283</v>
      </c>
      <c r="E928">
        <v>813.6202</v>
      </c>
      <c r="F928">
        <v>1.5516</v>
      </c>
      <c r="G928">
        <v>3.3081</v>
      </c>
      <c r="H928">
        <v>0.126755</v>
      </c>
      <c r="I928">
        <v>0.122726</v>
      </c>
      <c r="J928">
        <v>0.004029</v>
      </c>
      <c r="K928" s="4">
        <f t="shared" si="42"/>
        <v>0.0328292293401561</v>
      </c>
      <c r="L928" s="4">
        <f t="shared" si="43"/>
        <v>0.00406590200194155</v>
      </c>
      <c r="M928" s="18">
        <f t="shared" si="44"/>
        <v>0.000513284796</v>
      </c>
    </row>
    <row r="929" spans="1:13">
      <c r="A929" t="s">
        <v>13</v>
      </c>
      <c r="B929" t="s">
        <v>1868</v>
      </c>
      <c r="C929" t="s">
        <v>1869</v>
      </c>
      <c r="D929">
        <v>6762.2521</v>
      </c>
      <c r="E929">
        <v>6765.2365</v>
      </c>
      <c r="F929">
        <v>0.7596</v>
      </c>
      <c r="G929">
        <v>-2.9844</v>
      </c>
      <c r="H929">
        <v>0.513661</v>
      </c>
      <c r="I929">
        <v>0.500763</v>
      </c>
      <c r="J929">
        <v>0.012898</v>
      </c>
      <c r="K929" s="4">
        <f t="shared" si="42"/>
        <v>0.0257566952829981</v>
      </c>
      <c r="L929" s="4">
        <f t="shared" si="43"/>
        <v>-0.000441137571465577</v>
      </c>
      <c r="M929" s="18">
        <f t="shared" si="44"/>
        <v>-0.000226695024</v>
      </c>
    </row>
    <row r="930" spans="1:13">
      <c r="A930" t="s">
        <v>13</v>
      </c>
      <c r="B930" t="s">
        <v>1870</v>
      </c>
      <c r="C930" t="s">
        <v>1871</v>
      </c>
      <c r="D930">
        <v>892.5531</v>
      </c>
      <c r="E930">
        <v>892.7963</v>
      </c>
      <c r="F930">
        <v>3.1791</v>
      </c>
      <c r="G930">
        <v>-0.2432</v>
      </c>
      <c r="H930">
        <v>0.283752</v>
      </c>
      <c r="I930">
        <v>0.275035</v>
      </c>
      <c r="J930">
        <v>0.008717</v>
      </c>
      <c r="K930" s="4">
        <f t="shared" si="42"/>
        <v>0.031694148017525</v>
      </c>
      <c r="L930" s="4">
        <f t="shared" si="43"/>
        <v>-0.000272402562600228</v>
      </c>
      <c r="M930" s="18">
        <f t="shared" si="44"/>
        <v>-7.7315712e-5</v>
      </c>
    </row>
    <row r="931" spans="1:13">
      <c r="A931" t="s">
        <v>13</v>
      </c>
      <c r="B931" t="s">
        <v>1872</v>
      </c>
      <c r="C931" t="s">
        <v>1873</v>
      </c>
      <c r="D931">
        <v>3526.7841</v>
      </c>
      <c r="E931">
        <v>3581.2709</v>
      </c>
      <c r="F931">
        <v>1.6883</v>
      </c>
      <c r="G931">
        <v>-54.4868</v>
      </c>
      <c r="H931">
        <v>0.595427</v>
      </c>
      <c r="I931">
        <v>0.603444</v>
      </c>
      <c r="J931">
        <v>-0.008017</v>
      </c>
      <c r="K931" s="4">
        <f t="shared" si="42"/>
        <v>-0.0132854084223225</v>
      </c>
      <c r="L931" s="4">
        <f t="shared" si="43"/>
        <v>-0.0152143754330342</v>
      </c>
      <c r="M931" s="18">
        <f t="shared" si="44"/>
        <v>-0.009199006444</v>
      </c>
    </row>
    <row r="932" spans="1:13">
      <c r="A932" t="s">
        <v>13</v>
      </c>
      <c r="B932" t="s">
        <v>1874</v>
      </c>
      <c r="C932" t="s">
        <v>1875</v>
      </c>
      <c r="D932">
        <v>975.3162</v>
      </c>
      <c r="E932">
        <v>975.3162</v>
      </c>
      <c r="F932">
        <v>2.5086</v>
      </c>
      <c r="G932">
        <v>0</v>
      </c>
      <c r="H932">
        <v>0.244668</v>
      </c>
      <c r="I932">
        <v>0.243127</v>
      </c>
      <c r="J932">
        <v>0.001541</v>
      </c>
      <c r="K932" s="4">
        <f t="shared" si="42"/>
        <v>0.00633825120204667</v>
      </c>
      <c r="L932" s="4">
        <f t="shared" si="43"/>
        <v>0</v>
      </c>
      <c r="M932" s="18">
        <f t="shared" si="44"/>
        <v>0</v>
      </c>
    </row>
    <row r="933" spans="1:13">
      <c r="A933" t="s">
        <v>13</v>
      </c>
      <c r="B933" t="s">
        <v>1876</v>
      </c>
      <c r="C933" t="s">
        <v>1877</v>
      </c>
      <c r="D933">
        <v>88.0363</v>
      </c>
      <c r="E933">
        <v>88.0363</v>
      </c>
      <c r="F933">
        <v>1.1489</v>
      </c>
      <c r="G933">
        <v>0</v>
      </c>
      <c r="H933">
        <v>0.010114</v>
      </c>
      <c r="I933">
        <v>0.010119</v>
      </c>
      <c r="J933">
        <v>-5e-6</v>
      </c>
      <c r="K933" s="4">
        <f t="shared" si="42"/>
        <v>-0.000494119972329282</v>
      </c>
      <c r="L933" s="4">
        <f t="shared" si="43"/>
        <v>0</v>
      </c>
      <c r="M933" s="18">
        <f t="shared" si="44"/>
        <v>0</v>
      </c>
    </row>
    <row r="934" spans="1:13">
      <c r="A934" t="s">
        <v>13</v>
      </c>
      <c r="B934" t="s">
        <v>1878</v>
      </c>
      <c r="C934" t="s">
        <v>1879</v>
      </c>
      <c r="D934">
        <v>84.2219</v>
      </c>
      <c r="E934">
        <v>84.2219</v>
      </c>
      <c r="F934">
        <v>3.7069</v>
      </c>
      <c r="G934">
        <v>0</v>
      </c>
      <c r="H934">
        <v>0.03122</v>
      </c>
      <c r="I934">
        <v>0.030912</v>
      </c>
      <c r="J934">
        <v>0.000308</v>
      </c>
      <c r="K934" s="4">
        <f t="shared" si="42"/>
        <v>0.00996376811594203</v>
      </c>
      <c r="L934" s="4">
        <f t="shared" si="43"/>
        <v>0</v>
      </c>
      <c r="M934" s="18">
        <f t="shared" si="44"/>
        <v>0</v>
      </c>
    </row>
    <row r="935" spans="1:13">
      <c r="A935" t="s">
        <v>13</v>
      </c>
      <c r="B935" t="s">
        <v>1880</v>
      </c>
      <c r="C935" t="s">
        <v>1881</v>
      </c>
      <c r="D935">
        <v>612.3561</v>
      </c>
      <c r="E935">
        <v>612.2669</v>
      </c>
      <c r="F935">
        <v>2.2073</v>
      </c>
      <c r="G935">
        <v>0.0892</v>
      </c>
      <c r="H935">
        <v>0.135165</v>
      </c>
      <c r="I935">
        <v>0.135813</v>
      </c>
      <c r="J935">
        <v>-0.000648</v>
      </c>
      <c r="K935" s="4">
        <f t="shared" si="42"/>
        <v>-0.00477126637361667</v>
      </c>
      <c r="L935" s="4">
        <f t="shared" si="43"/>
        <v>0.000145688097788734</v>
      </c>
      <c r="M935" s="18">
        <f t="shared" si="44"/>
        <v>1.9689116e-5</v>
      </c>
    </row>
    <row r="936" spans="1:13">
      <c r="A936" t="s">
        <v>13</v>
      </c>
      <c r="B936" t="s">
        <v>1882</v>
      </c>
      <c r="C936" t="s">
        <v>1883</v>
      </c>
      <c r="D936">
        <v>510.9096</v>
      </c>
      <c r="E936">
        <v>563.3137</v>
      </c>
      <c r="F936">
        <v>1.1212</v>
      </c>
      <c r="G936">
        <v>-52.4041</v>
      </c>
      <c r="H936">
        <v>0.057283</v>
      </c>
      <c r="I936">
        <v>0.063131</v>
      </c>
      <c r="J936">
        <v>-0.005848</v>
      </c>
      <c r="K936" s="4">
        <f t="shared" si="42"/>
        <v>-0.0926327794585861</v>
      </c>
      <c r="L936" s="4">
        <f t="shared" si="43"/>
        <v>-0.0930282718137337</v>
      </c>
      <c r="M936" s="18">
        <f t="shared" si="44"/>
        <v>-0.005875547692</v>
      </c>
    </row>
    <row r="937" spans="1:13">
      <c r="A937" t="s">
        <v>13</v>
      </c>
      <c r="B937" t="s">
        <v>1884</v>
      </c>
      <c r="C937" t="s">
        <v>1885</v>
      </c>
      <c r="D937">
        <v>732.7378</v>
      </c>
      <c r="E937">
        <v>737.2678</v>
      </c>
      <c r="F937">
        <v>1.5949</v>
      </c>
      <c r="G937">
        <v>-4.53</v>
      </c>
      <c r="H937">
        <v>0.116864</v>
      </c>
      <c r="I937">
        <v>0.115876</v>
      </c>
      <c r="J937">
        <v>0.000988</v>
      </c>
      <c r="K937" s="4">
        <f t="shared" si="42"/>
        <v>0.00852635575960509</v>
      </c>
      <c r="L937" s="4">
        <f t="shared" si="43"/>
        <v>-0.00614430740091995</v>
      </c>
      <c r="M937" s="18">
        <f t="shared" si="44"/>
        <v>-0.0007224897</v>
      </c>
    </row>
    <row r="938" spans="1:13">
      <c r="A938" t="s">
        <v>13</v>
      </c>
      <c r="B938" t="s">
        <v>1886</v>
      </c>
      <c r="C938" t="s">
        <v>1887</v>
      </c>
      <c r="D938">
        <v>8598.0678</v>
      </c>
      <c r="E938">
        <v>8598.0678</v>
      </c>
      <c r="F938">
        <v>1.1145</v>
      </c>
      <c r="G938">
        <v>0</v>
      </c>
      <c r="H938">
        <v>0.958255</v>
      </c>
      <c r="I938">
        <v>0.952666</v>
      </c>
      <c r="J938">
        <v>0.005589</v>
      </c>
      <c r="K938" s="4">
        <f t="shared" si="42"/>
        <v>0.00586669409845633</v>
      </c>
      <c r="L938" s="4">
        <f t="shared" si="43"/>
        <v>0</v>
      </c>
      <c r="M938" s="18">
        <f t="shared" si="44"/>
        <v>0</v>
      </c>
    </row>
    <row r="939" spans="1:13">
      <c r="A939" t="s">
        <v>13</v>
      </c>
      <c r="B939" t="s">
        <v>1888</v>
      </c>
      <c r="C939" t="s">
        <v>1889</v>
      </c>
      <c r="D939">
        <v>6247.8957</v>
      </c>
      <c r="E939">
        <v>6247.8957</v>
      </c>
      <c r="F939">
        <v>0.6922</v>
      </c>
      <c r="G939">
        <v>0</v>
      </c>
      <c r="H939">
        <v>0.432479</v>
      </c>
      <c r="I939">
        <v>0.432792</v>
      </c>
      <c r="J939">
        <v>-0.000313</v>
      </c>
      <c r="K939" s="4">
        <f t="shared" si="42"/>
        <v>-0.000723211149928834</v>
      </c>
      <c r="L939" s="4">
        <f t="shared" si="43"/>
        <v>0</v>
      </c>
      <c r="M939" s="18">
        <f t="shared" si="44"/>
        <v>0</v>
      </c>
    </row>
    <row r="940" spans="1:13">
      <c r="A940" t="s">
        <v>13</v>
      </c>
      <c r="B940" t="s">
        <v>1890</v>
      </c>
      <c r="C940" t="s">
        <v>1891</v>
      </c>
      <c r="D940">
        <v>7748.0322</v>
      </c>
      <c r="E940">
        <v>7746.0554</v>
      </c>
      <c r="F940">
        <v>0.9936</v>
      </c>
      <c r="G940">
        <v>1.9768</v>
      </c>
      <c r="H940">
        <v>0.769844</v>
      </c>
      <c r="I940">
        <v>0.766007</v>
      </c>
      <c r="J940">
        <v>0.003837</v>
      </c>
      <c r="K940" s="4">
        <f t="shared" si="42"/>
        <v>0.00500909260620334</v>
      </c>
      <c r="L940" s="4">
        <f t="shared" si="43"/>
        <v>0.000255200860040254</v>
      </c>
      <c r="M940" s="18">
        <f t="shared" si="44"/>
        <v>0.000196414848</v>
      </c>
    </row>
    <row r="941" spans="1:13">
      <c r="A941" t="s">
        <v>13</v>
      </c>
      <c r="B941" t="s">
        <v>1892</v>
      </c>
      <c r="C941" t="s">
        <v>1893</v>
      </c>
      <c r="D941">
        <v>54.1602</v>
      </c>
      <c r="E941">
        <v>54.9892</v>
      </c>
      <c r="F941">
        <v>0.995</v>
      </c>
      <c r="G941">
        <v>-0.829</v>
      </c>
      <c r="H941">
        <v>0.005389</v>
      </c>
      <c r="I941">
        <v>0.005488</v>
      </c>
      <c r="J941">
        <v>-9.9e-5</v>
      </c>
      <c r="K941" s="4">
        <f t="shared" si="42"/>
        <v>-0.0180393586005831</v>
      </c>
      <c r="L941" s="4">
        <f t="shared" si="43"/>
        <v>-0.0150756875895629</v>
      </c>
      <c r="M941" s="18">
        <f t="shared" si="44"/>
        <v>-8.24855e-5</v>
      </c>
    </row>
    <row r="942" spans="1:13">
      <c r="A942" t="s">
        <v>13</v>
      </c>
      <c r="B942" t="s">
        <v>1894</v>
      </c>
      <c r="C942" t="s">
        <v>1895</v>
      </c>
      <c r="D942">
        <v>122.2321</v>
      </c>
      <c r="E942">
        <v>122.2321</v>
      </c>
      <c r="F942">
        <v>1.5669</v>
      </c>
      <c r="G942">
        <v>0</v>
      </c>
      <c r="H942">
        <v>0.019153</v>
      </c>
      <c r="I942">
        <v>0.019021</v>
      </c>
      <c r="J942">
        <v>0.000132</v>
      </c>
      <c r="K942" s="4">
        <f t="shared" si="42"/>
        <v>0.00693969822827401</v>
      </c>
      <c r="L942" s="4">
        <f t="shared" si="43"/>
        <v>0</v>
      </c>
      <c r="M942" s="18">
        <f t="shared" si="44"/>
        <v>0</v>
      </c>
    </row>
    <row r="943" spans="1:13">
      <c r="A943" t="s">
        <v>13</v>
      </c>
      <c r="B943" t="s">
        <v>1896</v>
      </c>
      <c r="C943" t="s">
        <v>1897</v>
      </c>
      <c r="D943">
        <v>105.5133</v>
      </c>
      <c r="E943">
        <v>106.3614</v>
      </c>
      <c r="F943">
        <v>1.1371</v>
      </c>
      <c r="G943">
        <v>-0.8481</v>
      </c>
      <c r="H943">
        <v>0.011998</v>
      </c>
      <c r="I943">
        <v>0.01209</v>
      </c>
      <c r="J943">
        <v>-9.2e-5</v>
      </c>
      <c r="K943" s="4">
        <f t="shared" si="42"/>
        <v>-0.0076095947063689</v>
      </c>
      <c r="L943" s="4">
        <f t="shared" si="43"/>
        <v>-0.00797375739695042</v>
      </c>
      <c r="M943" s="18">
        <f t="shared" si="44"/>
        <v>-9.6437451e-5</v>
      </c>
    </row>
    <row r="944" spans="1:13">
      <c r="A944" t="s">
        <v>13</v>
      </c>
      <c r="B944" t="s">
        <v>1898</v>
      </c>
      <c r="C944" t="s">
        <v>1899</v>
      </c>
      <c r="D944">
        <v>978.6279</v>
      </c>
      <c r="E944">
        <v>979.0279</v>
      </c>
      <c r="F944">
        <v>1.9706</v>
      </c>
      <c r="G944">
        <v>-0.4</v>
      </c>
      <c r="H944">
        <v>0.192848</v>
      </c>
      <c r="I944">
        <v>0.190254</v>
      </c>
      <c r="J944">
        <v>0.002594</v>
      </c>
      <c r="K944" s="4">
        <f t="shared" si="42"/>
        <v>0.0136344045328876</v>
      </c>
      <c r="L944" s="4">
        <f t="shared" si="43"/>
        <v>-0.000408568540283776</v>
      </c>
      <c r="M944" s="18">
        <f t="shared" si="44"/>
        <v>-7.8824e-5</v>
      </c>
    </row>
    <row r="945" spans="1:13">
      <c r="A945" t="s">
        <v>13</v>
      </c>
      <c r="B945" t="s">
        <v>1900</v>
      </c>
      <c r="C945" t="s">
        <v>1901</v>
      </c>
      <c r="D945">
        <v>712.0669</v>
      </c>
      <c r="E945">
        <v>713.1653</v>
      </c>
      <c r="F945">
        <v>6.7063</v>
      </c>
      <c r="G945">
        <v>-1.0984</v>
      </c>
      <c r="H945">
        <v>0.477533</v>
      </c>
      <c r="I945">
        <v>0.460669</v>
      </c>
      <c r="J945">
        <v>0.016864</v>
      </c>
      <c r="K945" s="4">
        <f t="shared" si="42"/>
        <v>0.0366076293390699</v>
      </c>
      <c r="L945" s="4">
        <f t="shared" si="43"/>
        <v>-0.00154017588909608</v>
      </c>
      <c r="M945" s="18">
        <f t="shared" si="44"/>
        <v>-0.000736619992</v>
      </c>
    </row>
    <row r="946" spans="1:13">
      <c r="A946" t="s">
        <v>13</v>
      </c>
      <c r="B946" t="s">
        <v>1902</v>
      </c>
      <c r="C946" t="s">
        <v>1903</v>
      </c>
      <c r="D946">
        <v>254.8854</v>
      </c>
      <c r="E946">
        <v>261.6345</v>
      </c>
      <c r="F946">
        <v>1.1816</v>
      </c>
      <c r="G946">
        <v>-6.7491</v>
      </c>
      <c r="H946">
        <v>0.030117</v>
      </c>
      <c r="I946">
        <v>0.030781</v>
      </c>
      <c r="J946">
        <v>-0.000664</v>
      </c>
      <c r="K946" s="4">
        <f t="shared" si="42"/>
        <v>-0.0215717488060817</v>
      </c>
      <c r="L946" s="4">
        <f t="shared" si="43"/>
        <v>-0.0257959099430694</v>
      </c>
      <c r="M946" s="18">
        <f t="shared" si="44"/>
        <v>-0.000797473656</v>
      </c>
    </row>
    <row r="947" spans="1:13">
      <c r="A947" t="s">
        <v>13</v>
      </c>
      <c r="B947" t="s">
        <v>1904</v>
      </c>
      <c r="C947" t="s">
        <v>1905</v>
      </c>
      <c r="D947">
        <v>34429.2937</v>
      </c>
      <c r="E947">
        <v>33751.3925</v>
      </c>
      <c r="F947">
        <v>1.025</v>
      </c>
      <c r="G947">
        <v>677.9012</v>
      </c>
      <c r="H947">
        <v>3.529003</v>
      </c>
      <c r="I947">
        <v>3.479769</v>
      </c>
      <c r="J947">
        <v>0.049234</v>
      </c>
      <c r="K947" s="4">
        <f t="shared" si="42"/>
        <v>0.0141486403264125</v>
      </c>
      <c r="L947" s="4">
        <f t="shared" si="43"/>
        <v>0.0200851327837807</v>
      </c>
      <c r="M947" s="18">
        <f t="shared" si="44"/>
        <v>0.069484873</v>
      </c>
    </row>
    <row r="948" spans="1:13">
      <c r="A948" t="s">
        <v>13</v>
      </c>
      <c r="B948" t="s">
        <v>1906</v>
      </c>
      <c r="C948" t="s">
        <v>1907</v>
      </c>
      <c r="D948">
        <v>97.0675</v>
      </c>
      <c r="E948">
        <v>97.2875</v>
      </c>
      <c r="F948">
        <v>1.0437</v>
      </c>
      <c r="G948">
        <v>-0.22</v>
      </c>
      <c r="H948">
        <v>0.010131</v>
      </c>
      <c r="I948">
        <v>0.010119</v>
      </c>
      <c r="J948">
        <v>1.2e-5</v>
      </c>
      <c r="K948" s="4">
        <f t="shared" si="42"/>
        <v>0.00118588793359028</v>
      </c>
      <c r="L948" s="4">
        <f t="shared" si="43"/>
        <v>-0.00226133881536681</v>
      </c>
      <c r="M948" s="18">
        <f t="shared" si="44"/>
        <v>-2.29614e-5</v>
      </c>
    </row>
    <row r="949" spans="1:13">
      <c r="A949" t="s">
        <v>13</v>
      </c>
      <c r="B949" t="s">
        <v>1908</v>
      </c>
      <c r="C949" t="s">
        <v>1909</v>
      </c>
      <c r="D949">
        <v>230.0707</v>
      </c>
      <c r="E949">
        <v>230.4585</v>
      </c>
      <c r="F949">
        <v>1.0598</v>
      </c>
      <c r="G949">
        <v>-0.3878</v>
      </c>
      <c r="H949">
        <v>0.024383</v>
      </c>
      <c r="I949">
        <v>0.024426</v>
      </c>
      <c r="J949">
        <v>-4.3e-5</v>
      </c>
      <c r="K949" s="4">
        <f t="shared" si="42"/>
        <v>-0.00176041922541554</v>
      </c>
      <c r="L949" s="4">
        <f t="shared" si="43"/>
        <v>-0.00168273246593204</v>
      </c>
      <c r="M949" s="18">
        <f t="shared" si="44"/>
        <v>-4.1099044e-5</v>
      </c>
    </row>
    <row r="950" spans="1:13">
      <c r="A950" t="s">
        <v>13</v>
      </c>
      <c r="B950" t="s">
        <v>1910</v>
      </c>
      <c r="C950" t="s">
        <v>1911</v>
      </c>
      <c r="D950">
        <v>273.4203</v>
      </c>
      <c r="E950">
        <v>273.4202</v>
      </c>
      <c r="F950">
        <v>1.9058</v>
      </c>
      <c r="G950">
        <v>0.0001</v>
      </c>
      <c r="H950">
        <v>0.052108</v>
      </c>
      <c r="I950">
        <v>0.051469</v>
      </c>
      <c r="J950">
        <v>0.000639</v>
      </c>
      <c r="K950" s="4">
        <f t="shared" si="42"/>
        <v>0.0124152402416989</v>
      </c>
      <c r="L950" s="4">
        <f t="shared" si="43"/>
        <v>3.65737425306901e-7</v>
      </c>
      <c r="M950" s="18">
        <f t="shared" si="44"/>
        <v>1.9058e-8</v>
      </c>
    </row>
    <row r="951" spans="1:13">
      <c r="A951" t="s">
        <v>13</v>
      </c>
      <c r="B951" t="s">
        <v>1912</v>
      </c>
      <c r="C951" t="s">
        <v>1913</v>
      </c>
      <c r="D951">
        <v>2170.4192</v>
      </c>
      <c r="E951">
        <v>2170.4192</v>
      </c>
      <c r="F951">
        <v>1.6859</v>
      </c>
      <c r="G951">
        <v>0</v>
      </c>
      <c r="H951">
        <v>0.365911</v>
      </c>
      <c r="I951">
        <v>0.369145</v>
      </c>
      <c r="J951">
        <v>-0.003234</v>
      </c>
      <c r="K951" s="4">
        <f t="shared" si="42"/>
        <v>-0.00876078505736228</v>
      </c>
      <c r="L951" s="4">
        <f t="shared" si="43"/>
        <v>0</v>
      </c>
      <c r="M951" s="18">
        <f t="shared" si="44"/>
        <v>0</v>
      </c>
    </row>
    <row r="952" spans="1:13">
      <c r="A952" t="s">
        <v>13</v>
      </c>
      <c r="B952" t="s">
        <v>1914</v>
      </c>
      <c r="C952" t="s">
        <v>1915</v>
      </c>
      <c r="D952">
        <v>449.771</v>
      </c>
      <c r="E952">
        <v>454.091</v>
      </c>
      <c r="F952">
        <v>1.372</v>
      </c>
      <c r="G952">
        <v>-4.32</v>
      </c>
      <c r="H952">
        <v>0.061709</v>
      </c>
      <c r="I952">
        <v>0.062483</v>
      </c>
      <c r="J952">
        <v>-0.000774</v>
      </c>
      <c r="K952" s="4">
        <f t="shared" si="42"/>
        <v>-0.0123873693644671</v>
      </c>
      <c r="L952" s="4">
        <f t="shared" si="43"/>
        <v>-0.00951351160890657</v>
      </c>
      <c r="M952" s="18">
        <f t="shared" si="44"/>
        <v>-0.000592704</v>
      </c>
    </row>
    <row r="953" spans="1:13">
      <c r="A953" t="s">
        <v>13</v>
      </c>
      <c r="B953" t="s">
        <v>1916</v>
      </c>
      <c r="C953" t="s">
        <v>1917</v>
      </c>
      <c r="D953">
        <v>806.1545</v>
      </c>
      <c r="E953">
        <v>806.1545</v>
      </c>
      <c r="F953">
        <v>1.078</v>
      </c>
      <c r="G953">
        <v>0</v>
      </c>
      <c r="H953">
        <v>0.086903</v>
      </c>
      <c r="I953">
        <v>0.087468</v>
      </c>
      <c r="J953">
        <v>-0.000565</v>
      </c>
      <c r="K953" s="4">
        <f t="shared" si="42"/>
        <v>-0.00645950519046966</v>
      </c>
      <c r="L953" s="4">
        <f t="shared" si="43"/>
        <v>0</v>
      </c>
      <c r="M953" s="18">
        <f t="shared" si="44"/>
        <v>0</v>
      </c>
    </row>
    <row r="954" spans="1:13">
      <c r="A954" t="s">
        <v>13</v>
      </c>
      <c r="B954" t="s">
        <v>1918</v>
      </c>
      <c r="C954" t="s">
        <v>1919</v>
      </c>
      <c r="D954">
        <v>4604.6545</v>
      </c>
      <c r="E954">
        <v>4604.6545</v>
      </c>
      <c r="F954">
        <v>1.393</v>
      </c>
      <c r="G954">
        <v>0</v>
      </c>
      <c r="H954">
        <v>0.641428</v>
      </c>
      <c r="I954">
        <v>0.642349</v>
      </c>
      <c r="J954">
        <v>-0.000921</v>
      </c>
      <c r="K954" s="4">
        <f t="shared" si="42"/>
        <v>-0.00143380000591579</v>
      </c>
      <c r="L954" s="4">
        <f t="shared" si="43"/>
        <v>0</v>
      </c>
      <c r="M954" s="18">
        <f t="shared" si="44"/>
        <v>0</v>
      </c>
    </row>
    <row r="955" spans="1:13">
      <c r="A955" t="s">
        <v>13</v>
      </c>
      <c r="B955" t="s">
        <v>1920</v>
      </c>
      <c r="C955" t="s">
        <v>1921</v>
      </c>
      <c r="D955">
        <v>95.6686</v>
      </c>
      <c r="E955">
        <v>95.6686</v>
      </c>
      <c r="F955">
        <v>0.7889</v>
      </c>
      <c r="G955">
        <v>0</v>
      </c>
      <c r="H955">
        <v>0.007547</v>
      </c>
      <c r="I955">
        <v>0.007589</v>
      </c>
      <c r="J955">
        <v>-4.2e-5</v>
      </c>
      <c r="K955" s="4">
        <f t="shared" si="42"/>
        <v>-0.00553432599815522</v>
      </c>
      <c r="L955" s="4">
        <f t="shared" si="43"/>
        <v>0</v>
      </c>
      <c r="M955" s="18">
        <f t="shared" si="44"/>
        <v>0</v>
      </c>
    </row>
    <row r="956" spans="1:13">
      <c r="A956" t="s">
        <v>13</v>
      </c>
      <c r="B956" t="s">
        <v>1922</v>
      </c>
      <c r="C956" t="s">
        <v>1923</v>
      </c>
      <c r="D956">
        <v>513.4098</v>
      </c>
      <c r="E956">
        <v>513.1436</v>
      </c>
      <c r="F956">
        <v>2.6709</v>
      </c>
      <c r="G956">
        <v>0.2662</v>
      </c>
      <c r="H956">
        <v>0.137127</v>
      </c>
      <c r="I956">
        <v>0.131888</v>
      </c>
      <c r="J956">
        <v>0.005239</v>
      </c>
      <c r="K956" s="4">
        <f t="shared" si="42"/>
        <v>0.0397230983865098</v>
      </c>
      <c r="L956" s="4">
        <f t="shared" si="43"/>
        <v>0.000518763168828426</v>
      </c>
      <c r="M956" s="18">
        <f t="shared" si="44"/>
        <v>7.1099358e-5</v>
      </c>
    </row>
    <row r="957" spans="1:13">
      <c r="A957" t="s">
        <v>13</v>
      </c>
      <c r="B957" t="s">
        <v>1924</v>
      </c>
      <c r="C957" t="s">
        <v>1925</v>
      </c>
      <c r="D957">
        <v>294.3836</v>
      </c>
      <c r="E957">
        <v>296.1527</v>
      </c>
      <c r="F957">
        <v>1.21</v>
      </c>
      <c r="G957">
        <v>-1.7691</v>
      </c>
      <c r="H957">
        <v>0.03562</v>
      </c>
      <c r="I957">
        <v>0.036456</v>
      </c>
      <c r="J957">
        <v>-0.000836</v>
      </c>
      <c r="K957" s="4">
        <f t="shared" si="42"/>
        <v>-0.0229317533464999</v>
      </c>
      <c r="L957" s="4">
        <f t="shared" si="43"/>
        <v>-0.0059736075342213</v>
      </c>
      <c r="M957" s="18">
        <f t="shared" si="44"/>
        <v>-0.0002140611</v>
      </c>
    </row>
    <row r="958" spans="1:13">
      <c r="A958" t="s">
        <v>13</v>
      </c>
      <c r="B958" t="s">
        <v>1926</v>
      </c>
      <c r="C958" t="s">
        <v>1927</v>
      </c>
      <c r="D958">
        <v>1627.9045</v>
      </c>
      <c r="E958">
        <v>1655.8447</v>
      </c>
      <c r="F958">
        <v>2.013</v>
      </c>
      <c r="G958">
        <v>-27.9402</v>
      </c>
      <c r="H958">
        <v>0.327697</v>
      </c>
      <c r="I958">
        <v>0.341932</v>
      </c>
      <c r="J958">
        <v>-0.014235</v>
      </c>
      <c r="K958" s="4">
        <f t="shared" si="42"/>
        <v>-0.0416310845431255</v>
      </c>
      <c r="L958" s="4">
        <f t="shared" si="43"/>
        <v>-0.016873683866609</v>
      </c>
      <c r="M958" s="18">
        <f t="shared" si="44"/>
        <v>-0.00562436226</v>
      </c>
    </row>
    <row r="959" spans="1:13">
      <c r="A959" t="s">
        <v>13</v>
      </c>
      <c r="B959" t="s">
        <v>1928</v>
      </c>
      <c r="C959" t="s">
        <v>1929</v>
      </c>
      <c r="D959">
        <v>336.0605</v>
      </c>
      <c r="E959">
        <v>336.0605</v>
      </c>
      <c r="F959">
        <v>0.8584</v>
      </c>
      <c r="G959">
        <v>0</v>
      </c>
      <c r="H959">
        <v>0.028847</v>
      </c>
      <c r="I959">
        <v>0.028629</v>
      </c>
      <c r="J959">
        <v>0.000218</v>
      </c>
      <c r="K959" s="4">
        <f t="shared" si="42"/>
        <v>0.00761465646721855</v>
      </c>
      <c r="L959" s="4">
        <f t="shared" si="43"/>
        <v>0</v>
      </c>
      <c r="M959" s="18">
        <f t="shared" si="44"/>
        <v>0</v>
      </c>
    </row>
    <row r="960" spans="1:13">
      <c r="A960" t="s">
        <v>13</v>
      </c>
      <c r="B960" t="s">
        <v>1930</v>
      </c>
      <c r="C960" t="s">
        <v>1931</v>
      </c>
      <c r="D960">
        <v>1044.6863</v>
      </c>
      <c r="E960">
        <v>1026.9673</v>
      </c>
      <c r="F960">
        <v>7.9922</v>
      </c>
      <c r="G960">
        <v>17.719</v>
      </c>
      <c r="H960">
        <v>0.834934</v>
      </c>
      <c r="I960">
        <v>0.795396</v>
      </c>
      <c r="J960">
        <v>0.039538</v>
      </c>
      <c r="K960" s="4">
        <f t="shared" si="42"/>
        <v>0.0497085728366751</v>
      </c>
      <c r="L960" s="4">
        <f t="shared" si="43"/>
        <v>0.0172537139205893</v>
      </c>
      <c r="M960" s="18">
        <f t="shared" si="44"/>
        <v>0.01416137918</v>
      </c>
    </row>
    <row r="961" spans="1:13">
      <c r="A961" t="s">
        <v>13</v>
      </c>
      <c r="B961" t="s">
        <v>1932</v>
      </c>
      <c r="C961" t="s">
        <v>1933</v>
      </c>
      <c r="D961">
        <v>1088.9476</v>
      </c>
      <c r="E961">
        <v>1097.4145</v>
      </c>
      <c r="F961">
        <v>0.9971</v>
      </c>
      <c r="G961">
        <v>-8.4669</v>
      </c>
      <c r="H961">
        <v>0.108579</v>
      </c>
      <c r="I961">
        <v>0.109544</v>
      </c>
      <c r="J961">
        <v>-0.000965</v>
      </c>
      <c r="K961" s="4">
        <f t="shared" si="42"/>
        <v>-0.00880924559994158</v>
      </c>
      <c r="L961" s="4">
        <f t="shared" si="43"/>
        <v>-0.00771531631849235</v>
      </c>
      <c r="M961" s="18">
        <f t="shared" si="44"/>
        <v>-0.000844234599</v>
      </c>
    </row>
    <row r="962" spans="1:13">
      <c r="A962" t="s">
        <v>13</v>
      </c>
      <c r="B962" t="s">
        <v>1934</v>
      </c>
      <c r="C962" t="s">
        <v>1935</v>
      </c>
      <c r="D962">
        <v>2469.9534</v>
      </c>
      <c r="E962">
        <v>2470.5334</v>
      </c>
      <c r="F962">
        <v>2.703</v>
      </c>
      <c r="G962">
        <v>-0.58</v>
      </c>
      <c r="H962">
        <v>0.667628</v>
      </c>
      <c r="I962">
        <v>0.652962</v>
      </c>
      <c r="J962">
        <v>0.014666</v>
      </c>
      <c r="K962" s="4">
        <f t="shared" ref="K962:K1025" si="45">IFERROR(J962/I962,"")</f>
        <v>0.0224607251264239</v>
      </c>
      <c r="L962" s="4">
        <f t="shared" ref="L962:L1025" si="46">IFERROR((D962-E962)/E962,"")</f>
        <v>-0.0002347671154739</v>
      </c>
      <c r="M962" s="18">
        <f t="shared" ref="M962:M1025" si="47">IFERROR(F962*G962/10000,"")</f>
        <v>-0.000156774</v>
      </c>
    </row>
    <row r="963" spans="1:13">
      <c r="A963" t="s">
        <v>13</v>
      </c>
      <c r="B963" t="s">
        <v>1936</v>
      </c>
      <c r="C963" t="s">
        <v>1937</v>
      </c>
      <c r="D963">
        <v>1025.4009</v>
      </c>
      <c r="E963">
        <v>1025.4209</v>
      </c>
      <c r="F963">
        <v>3.216</v>
      </c>
      <c r="G963">
        <v>-0.02</v>
      </c>
      <c r="H963">
        <v>0.329769</v>
      </c>
      <c r="I963">
        <v>0.324956</v>
      </c>
      <c r="J963">
        <v>0.004813</v>
      </c>
      <c r="K963" s="4">
        <f t="shared" si="45"/>
        <v>0.0148112359827177</v>
      </c>
      <c r="L963" s="4">
        <f t="shared" si="46"/>
        <v>-1.950418603715e-5</v>
      </c>
      <c r="M963" s="18">
        <f t="shared" si="47"/>
        <v>-6.432e-6</v>
      </c>
    </row>
    <row r="964" spans="1:13">
      <c r="A964" t="s">
        <v>13</v>
      </c>
      <c r="B964" t="s">
        <v>1938</v>
      </c>
      <c r="C964" t="s">
        <v>1939</v>
      </c>
      <c r="D964">
        <v>3376.0347</v>
      </c>
      <c r="E964">
        <v>3376.0347</v>
      </c>
      <c r="F964">
        <v>2.1565</v>
      </c>
      <c r="G964">
        <v>0</v>
      </c>
      <c r="H964">
        <v>0.728042</v>
      </c>
      <c r="I964">
        <v>0.714943</v>
      </c>
      <c r="J964">
        <v>0.013099</v>
      </c>
      <c r="K964" s="4">
        <f t="shared" si="45"/>
        <v>0.0183217403345442</v>
      </c>
      <c r="L964" s="4">
        <f t="shared" si="46"/>
        <v>0</v>
      </c>
      <c r="M964" s="18">
        <f t="shared" si="47"/>
        <v>0</v>
      </c>
    </row>
    <row r="965" spans="1:13">
      <c r="A965" t="s">
        <v>13</v>
      </c>
      <c r="B965" t="s">
        <v>1940</v>
      </c>
      <c r="C965" t="s">
        <v>1941</v>
      </c>
      <c r="D965">
        <v>5476.4547</v>
      </c>
      <c r="E965">
        <v>5476.4547</v>
      </c>
      <c r="F965">
        <v>1.1136</v>
      </c>
      <c r="G965">
        <v>0</v>
      </c>
      <c r="H965">
        <v>0.609858</v>
      </c>
      <c r="I965">
        <v>0.608434</v>
      </c>
      <c r="J965">
        <v>0.001424</v>
      </c>
      <c r="K965" s="4">
        <f t="shared" si="45"/>
        <v>0.00234043462396907</v>
      </c>
      <c r="L965" s="4">
        <f t="shared" si="46"/>
        <v>0</v>
      </c>
      <c r="M965" s="18">
        <f t="shared" si="47"/>
        <v>0</v>
      </c>
    </row>
    <row r="966" spans="1:13">
      <c r="A966" t="s">
        <v>13</v>
      </c>
      <c r="B966" t="s">
        <v>1942</v>
      </c>
      <c r="C966" t="s">
        <v>1943</v>
      </c>
      <c r="D966">
        <v>127.7017</v>
      </c>
      <c r="E966">
        <v>123.5948</v>
      </c>
      <c r="F966">
        <v>2.318</v>
      </c>
      <c r="G966">
        <v>4.1069</v>
      </c>
      <c r="H966">
        <v>0.029601</v>
      </c>
      <c r="I966">
        <v>0.028365</v>
      </c>
      <c r="J966">
        <v>0.001236</v>
      </c>
      <c r="K966" s="4">
        <f t="shared" si="45"/>
        <v>0.0435748281332628</v>
      </c>
      <c r="L966" s="4">
        <f t="shared" si="46"/>
        <v>0.0332287442513762</v>
      </c>
      <c r="M966" s="18">
        <f t="shared" si="47"/>
        <v>0.00095197942</v>
      </c>
    </row>
    <row r="967" spans="1:13">
      <c r="A967" t="s">
        <v>13</v>
      </c>
      <c r="B967" t="s">
        <v>1944</v>
      </c>
      <c r="C967" t="s">
        <v>1945</v>
      </c>
      <c r="D967">
        <v>13352.44</v>
      </c>
      <c r="E967">
        <v>13352.44</v>
      </c>
      <c r="F967">
        <v>1.691</v>
      </c>
      <c r="G967">
        <v>0</v>
      </c>
      <c r="H967">
        <v>2.257897</v>
      </c>
      <c r="I967">
        <v>2.307093</v>
      </c>
      <c r="J967">
        <v>-0.049196</v>
      </c>
      <c r="K967" s="4">
        <f t="shared" si="45"/>
        <v>-0.0213238044586846</v>
      </c>
      <c r="L967" s="4">
        <f t="shared" si="46"/>
        <v>0</v>
      </c>
      <c r="M967" s="18">
        <f t="shared" si="47"/>
        <v>0</v>
      </c>
    </row>
    <row r="968" spans="1:13">
      <c r="A968" t="s">
        <v>13</v>
      </c>
      <c r="B968" t="s">
        <v>1946</v>
      </c>
      <c r="C968" t="s">
        <v>1947</v>
      </c>
      <c r="D968">
        <v>3584.8</v>
      </c>
      <c r="E968">
        <v>3584.8</v>
      </c>
      <c r="F968">
        <v>3.871</v>
      </c>
      <c r="G968">
        <v>0</v>
      </c>
      <c r="I968">
        <v>1.380507</v>
      </c>
      <c r="K968" s="4">
        <f t="shared" si="45"/>
        <v>0</v>
      </c>
      <c r="L968" s="4">
        <f t="shared" si="46"/>
        <v>0</v>
      </c>
      <c r="M968" s="18">
        <f t="shared" si="47"/>
        <v>0</v>
      </c>
    </row>
    <row r="969" spans="1:13">
      <c r="A969" t="s">
        <v>13</v>
      </c>
      <c r="B969" t="s">
        <v>1948</v>
      </c>
      <c r="C969" t="s">
        <v>1949</v>
      </c>
      <c r="D969">
        <v>16122.98</v>
      </c>
      <c r="E969">
        <v>15872.98</v>
      </c>
      <c r="F969">
        <v>0.992</v>
      </c>
      <c r="G969">
        <v>250</v>
      </c>
      <c r="H969">
        <v>1.5746</v>
      </c>
      <c r="I969">
        <v>1.624144</v>
      </c>
      <c r="J969">
        <v>-0.049544</v>
      </c>
      <c r="K969" s="4">
        <f t="shared" si="45"/>
        <v>-0.0305046843137062</v>
      </c>
      <c r="L969" s="4">
        <f t="shared" si="46"/>
        <v>0.0157500355950804</v>
      </c>
      <c r="M969" s="18">
        <f t="shared" si="47"/>
        <v>0.0248</v>
      </c>
    </row>
    <row r="970" spans="1:13">
      <c r="A970" t="s">
        <v>13</v>
      </c>
      <c r="B970" t="s">
        <v>1950</v>
      </c>
      <c r="C970" t="s">
        <v>1951</v>
      </c>
      <c r="D970">
        <v>3248</v>
      </c>
      <c r="E970">
        <v>3248</v>
      </c>
      <c r="F970">
        <v>1.192</v>
      </c>
      <c r="G970">
        <v>0</v>
      </c>
      <c r="H970">
        <v>0.387162</v>
      </c>
      <c r="I970">
        <v>0.387811</v>
      </c>
      <c r="J970">
        <v>-0.000649</v>
      </c>
      <c r="K970" s="4">
        <f t="shared" si="45"/>
        <v>-0.00167349559450351</v>
      </c>
      <c r="L970" s="4">
        <f t="shared" si="46"/>
        <v>0</v>
      </c>
      <c r="M970" s="18">
        <f t="shared" si="47"/>
        <v>0</v>
      </c>
    </row>
    <row r="971" spans="1:13">
      <c r="A971" t="s">
        <v>13</v>
      </c>
      <c r="B971" t="s">
        <v>1952</v>
      </c>
      <c r="C971" t="s">
        <v>1953</v>
      </c>
      <c r="D971">
        <v>769926.68</v>
      </c>
      <c r="E971">
        <v>775956.68</v>
      </c>
      <c r="F971">
        <v>3.017</v>
      </c>
      <c r="G971">
        <v>-6030</v>
      </c>
      <c r="H971">
        <v>234.106129</v>
      </c>
      <c r="I971">
        <v>251.154528</v>
      </c>
      <c r="J971">
        <v>-17.048399</v>
      </c>
      <c r="K971" s="4">
        <f t="shared" si="45"/>
        <v>-0.0678801180124453</v>
      </c>
      <c r="L971" s="4">
        <f t="shared" si="46"/>
        <v>-0.00777105237369694</v>
      </c>
      <c r="M971" s="18">
        <f t="shared" si="47"/>
        <v>-1.819251</v>
      </c>
    </row>
    <row r="972" spans="1:13">
      <c r="A972" t="s">
        <v>13</v>
      </c>
      <c r="B972" t="s">
        <v>1954</v>
      </c>
      <c r="C972" t="s">
        <v>1955</v>
      </c>
      <c r="D972">
        <v>3695.92</v>
      </c>
      <c r="E972">
        <v>3695.92</v>
      </c>
      <c r="F972">
        <v>2.518</v>
      </c>
      <c r="G972">
        <v>0</v>
      </c>
      <c r="H972">
        <v>0.930633</v>
      </c>
      <c r="I972">
        <v>0.946156</v>
      </c>
      <c r="J972">
        <v>-0.015523</v>
      </c>
      <c r="K972" s="4">
        <f t="shared" si="45"/>
        <v>-0.0164063854163584</v>
      </c>
      <c r="L972" s="4">
        <f t="shared" si="46"/>
        <v>0</v>
      </c>
      <c r="M972" s="18">
        <f t="shared" si="47"/>
        <v>0</v>
      </c>
    </row>
    <row r="973" spans="1:13">
      <c r="A973" t="s">
        <v>13</v>
      </c>
      <c r="B973" t="s">
        <v>1956</v>
      </c>
      <c r="C973" t="s">
        <v>1957</v>
      </c>
      <c r="D973">
        <v>2608.11</v>
      </c>
      <c r="E973">
        <v>2608.11</v>
      </c>
      <c r="F973">
        <v>2.455</v>
      </c>
      <c r="G973">
        <v>0</v>
      </c>
      <c r="H973">
        <v>0.640291</v>
      </c>
      <c r="I973">
        <v>0.649681</v>
      </c>
      <c r="J973">
        <v>-0.00939</v>
      </c>
      <c r="K973" s="4">
        <f t="shared" si="45"/>
        <v>-0.0144532470550932</v>
      </c>
      <c r="L973" s="4">
        <f t="shared" si="46"/>
        <v>0</v>
      </c>
      <c r="M973" s="18">
        <f t="shared" si="47"/>
        <v>0</v>
      </c>
    </row>
    <row r="974" spans="1:13">
      <c r="A974" t="s">
        <v>13</v>
      </c>
      <c r="B974" t="s">
        <v>1958</v>
      </c>
      <c r="C974" t="s">
        <v>1959</v>
      </c>
      <c r="D974">
        <v>120290.68</v>
      </c>
      <c r="E974">
        <v>118130.68</v>
      </c>
      <c r="F974">
        <v>2.961</v>
      </c>
      <c r="G974">
        <v>2160</v>
      </c>
      <c r="H974">
        <v>34.978495</v>
      </c>
      <c r="I974">
        <v>35.831263</v>
      </c>
      <c r="J974">
        <v>-0.852768</v>
      </c>
      <c r="K974" s="4">
        <f t="shared" si="45"/>
        <v>-0.0237995518048024</v>
      </c>
      <c r="L974" s="4">
        <f t="shared" si="46"/>
        <v>0.0182848350657086</v>
      </c>
      <c r="M974" s="18">
        <f t="shared" si="47"/>
        <v>0.639576</v>
      </c>
    </row>
    <row r="975" spans="1:13">
      <c r="A975" t="s">
        <v>13</v>
      </c>
      <c r="B975" t="s">
        <v>1960</v>
      </c>
      <c r="C975" t="s">
        <v>1961</v>
      </c>
      <c r="D975">
        <v>3148.51</v>
      </c>
      <c r="E975">
        <v>3188.51</v>
      </c>
      <c r="F975">
        <v>7.558</v>
      </c>
      <c r="G975">
        <v>-40</v>
      </c>
      <c r="H975">
        <v>2.409875</v>
      </c>
      <c r="I975">
        <v>2.415295</v>
      </c>
      <c r="J975">
        <v>-0.00542</v>
      </c>
      <c r="K975" s="4">
        <f t="shared" si="45"/>
        <v>-0.00224403230247237</v>
      </c>
      <c r="L975" s="4">
        <f t="shared" si="46"/>
        <v>-0.0125450445505895</v>
      </c>
      <c r="M975" s="18">
        <f t="shared" si="47"/>
        <v>-0.030232</v>
      </c>
    </row>
    <row r="976" spans="1:13">
      <c r="A976" t="s">
        <v>13</v>
      </c>
      <c r="B976" t="s">
        <v>1962</v>
      </c>
      <c r="C976" t="s">
        <v>1963</v>
      </c>
      <c r="D976">
        <v>303517.86</v>
      </c>
      <c r="E976">
        <v>304717.86</v>
      </c>
      <c r="F976">
        <v>0.458</v>
      </c>
      <c r="G976">
        <v>-1200</v>
      </c>
      <c r="H976">
        <v>13.956078</v>
      </c>
      <c r="I976">
        <v>13.928598</v>
      </c>
      <c r="J976">
        <v>0.02748</v>
      </c>
      <c r="K976" s="4">
        <f t="shared" si="45"/>
        <v>0.00197291931320008</v>
      </c>
      <c r="L976" s="4">
        <f t="shared" si="46"/>
        <v>-0.00393806913713558</v>
      </c>
      <c r="M976" s="18">
        <f t="shared" si="47"/>
        <v>-0.05496</v>
      </c>
    </row>
    <row r="977" spans="1:13">
      <c r="A977" t="s">
        <v>13</v>
      </c>
      <c r="B977" t="s">
        <v>1964</v>
      </c>
      <c r="C977" t="s">
        <v>1965</v>
      </c>
      <c r="D977">
        <v>19605.74</v>
      </c>
      <c r="E977">
        <v>19605.74</v>
      </c>
      <c r="F977">
        <v>0.866</v>
      </c>
      <c r="G977">
        <v>0</v>
      </c>
      <c r="H977">
        <v>1.697857</v>
      </c>
      <c r="I977">
        <v>1.729226</v>
      </c>
      <c r="J977">
        <v>-0.031369</v>
      </c>
      <c r="K977" s="4">
        <f t="shared" si="45"/>
        <v>-0.0181404859746499</v>
      </c>
      <c r="L977" s="4">
        <f t="shared" si="46"/>
        <v>0</v>
      </c>
      <c r="M977" s="18">
        <f t="shared" si="47"/>
        <v>0</v>
      </c>
    </row>
    <row r="978" spans="1:13">
      <c r="A978" t="s">
        <v>13</v>
      </c>
      <c r="B978" t="s">
        <v>1966</v>
      </c>
      <c r="C978" t="s">
        <v>1967</v>
      </c>
      <c r="D978">
        <v>39291.48</v>
      </c>
      <c r="E978">
        <v>39091.48</v>
      </c>
      <c r="F978">
        <v>1.436</v>
      </c>
      <c r="G978">
        <v>200</v>
      </c>
      <c r="H978">
        <v>5.613537</v>
      </c>
      <c r="I978">
        <v>5.61593</v>
      </c>
      <c r="J978">
        <v>-0.002393</v>
      </c>
      <c r="K978" s="4">
        <f t="shared" si="45"/>
        <v>-0.000426109299795403</v>
      </c>
      <c r="L978" s="4">
        <f t="shared" si="46"/>
        <v>0.00511620434938764</v>
      </c>
      <c r="M978" s="18">
        <f t="shared" si="47"/>
        <v>0.02872</v>
      </c>
    </row>
    <row r="979" spans="1:13">
      <c r="A979" t="s">
        <v>13</v>
      </c>
      <c r="B979" t="s">
        <v>1968</v>
      </c>
      <c r="C979" t="s">
        <v>1969</v>
      </c>
      <c r="D979">
        <v>466305.77</v>
      </c>
      <c r="E979">
        <v>471005.77</v>
      </c>
      <c r="F979">
        <v>4.097</v>
      </c>
      <c r="G979">
        <v>-4700</v>
      </c>
      <c r="H979">
        <v>192.971063</v>
      </c>
      <c r="I979">
        <v>194.317536</v>
      </c>
      <c r="J979">
        <v>-1.346473</v>
      </c>
      <c r="K979" s="4">
        <f t="shared" si="45"/>
        <v>-0.00692924080717038</v>
      </c>
      <c r="L979" s="4">
        <f t="shared" si="46"/>
        <v>-0.00997864633378058</v>
      </c>
      <c r="M979" s="18">
        <f t="shared" si="47"/>
        <v>-1.92559</v>
      </c>
    </row>
    <row r="980" spans="1:13">
      <c r="A980" t="s">
        <v>13</v>
      </c>
      <c r="B980" t="s">
        <v>1970</v>
      </c>
      <c r="C980" t="s">
        <v>1971</v>
      </c>
      <c r="D980">
        <v>2565.08</v>
      </c>
      <c r="E980">
        <v>2565.08</v>
      </c>
      <c r="F980">
        <v>4.298</v>
      </c>
      <c r="G980">
        <v>0</v>
      </c>
      <c r="H980">
        <v>1.102471</v>
      </c>
      <c r="I980">
        <v>1.101958</v>
      </c>
      <c r="J980">
        <v>0.000513</v>
      </c>
      <c r="K980" s="4">
        <f t="shared" si="45"/>
        <v>0.000465534984091953</v>
      </c>
      <c r="L980" s="4">
        <f t="shared" si="46"/>
        <v>0</v>
      </c>
      <c r="M980" s="18">
        <f t="shared" si="47"/>
        <v>0</v>
      </c>
    </row>
    <row r="981" spans="1:13">
      <c r="A981" t="s">
        <v>13</v>
      </c>
      <c r="B981" t="s">
        <v>1972</v>
      </c>
      <c r="C981" t="s">
        <v>1973</v>
      </c>
      <c r="D981">
        <v>15988.55</v>
      </c>
      <c r="E981">
        <v>15988.55</v>
      </c>
      <c r="F981">
        <v>1.144</v>
      </c>
      <c r="G981">
        <v>0</v>
      </c>
      <c r="H981">
        <v>1.829091</v>
      </c>
      <c r="I981">
        <v>1.883452</v>
      </c>
      <c r="J981">
        <v>-0.054361</v>
      </c>
      <c r="K981" s="4">
        <f t="shared" si="45"/>
        <v>-0.0288624291991513</v>
      </c>
      <c r="L981" s="4">
        <f t="shared" si="46"/>
        <v>0</v>
      </c>
      <c r="M981" s="18">
        <f t="shared" si="47"/>
        <v>0</v>
      </c>
    </row>
    <row r="982" spans="1:13">
      <c r="A982" t="s">
        <v>13</v>
      </c>
      <c r="B982" t="s">
        <v>1974</v>
      </c>
      <c r="C982" t="s">
        <v>1975</v>
      </c>
      <c r="D982">
        <v>824319.26</v>
      </c>
      <c r="E982">
        <v>806619.26</v>
      </c>
      <c r="F982">
        <v>1.028</v>
      </c>
      <c r="G982">
        <v>17700</v>
      </c>
      <c r="H982">
        <v>82.92046</v>
      </c>
      <c r="I982">
        <v>83.323769</v>
      </c>
      <c r="J982">
        <v>-0.403309</v>
      </c>
      <c r="K982" s="4">
        <f t="shared" si="45"/>
        <v>-0.00484026352672549</v>
      </c>
      <c r="L982" s="4">
        <f t="shared" si="46"/>
        <v>0.0219434383453725</v>
      </c>
      <c r="M982" s="18">
        <f t="shared" si="47"/>
        <v>1.81956</v>
      </c>
    </row>
    <row r="983" spans="1:13">
      <c r="A983" t="s">
        <v>13</v>
      </c>
      <c r="B983" t="s">
        <v>1976</v>
      </c>
      <c r="C983" t="s">
        <v>1977</v>
      </c>
      <c r="D983">
        <v>191980.8</v>
      </c>
      <c r="E983">
        <v>196280.8</v>
      </c>
      <c r="F983">
        <v>1.242</v>
      </c>
      <c r="G983">
        <v>-4300</v>
      </c>
      <c r="H983">
        <v>24.378076</v>
      </c>
      <c r="I983">
        <v>26.358055</v>
      </c>
      <c r="J983">
        <v>-1.979979</v>
      </c>
      <c r="K983" s="4">
        <f t="shared" si="45"/>
        <v>-0.0751185548402566</v>
      </c>
      <c r="L983" s="4">
        <f t="shared" si="46"/>
        <v>-0.0219073898211134</v>
      </c>
      <c r="M983" s="18">
        <f t="shared" si="47"/>
        <v>-0.53406</v>
      </c>
    </row>
    <row r="984" spans="1:13">
      <c r="A984" t="s">
        <v>13</v>
      </c>
      <c r="B984" t="s">
        <v>1978</v>
      </c>
      <c r="C984" t="s">
        <v>1979</v>
      </c>
      <c r="D984">
        <v>1583.21</v>
      </c>
      <c r="E984">
        <v>1583.21</v>
      </c>
      <c r="F984">
        <v>1.482</v>
      </c>
      <c r="G984">
        <v>0</v>
      </c>
      <c r="H984">
        <v>0.234631</v>
      </c>
      <c r="I984">
        <v>0.238906</v>
      </c>
      <c r="J984">
        <v>-0.004275</v>
      </c>
      <c r="K984" s="4">
        <f t="shared" si="45"/>
        <v>-0.017894067122634</v>
      </c>
      <c r="L984" s="4">
        <f t="shared" si="46"/>
        <v>0</v>
      </c>
      <c r="M984" s="18">
        <f t="shared" si="47"/>
        <v>0</v>
      </c>
    </row>
    <row r="985" spans="1:13">
      <c r="A985" t="s">
        <v>13</v>
      </c>
      <c r="B985" t="s">
        <v>1980</v>
      </c>
      <c r="C985" t="s">
        <v>1981</v>
      </c>
      <c r="D985">
        <v>5644.89</v>
      </c>
      <c r="E985">
        <v>5644.89</v>
      </c>
      <c r="F985">
        <v>2.783</v>
      </c>
      <c r="G985">
        <v>0</v>
      </c>
      <c r="H985">
        <v>1.570973</v>
      </c>
      <c r="I985">
        <v>1.56928</v>
      </c>
      <c r="J985">
        <v>0.001693</v>
      </c>
      <c r="K985" s="4">
        <f t="shared" si="45"/>
        <v>0.00107883870309951</v>
      </c>
      <c r="L985" s="4">
        <f t="shared" si="46"/>
        <v>0</v>
      </c>
      <c r="M985" s="18">
        <f t="shared" si="47"/>
        <v>0</v>
      </c>
    </row>
    <row r="986" spans="1:13">
      <c r="A986" t="s">
        <v>13</v>
      </c>
      <c r="B986" t="s">
        <v>1982</v>
      </c>
      <c r="C986" t="s">
        <v>1983</v>
      </c>
      <c r="D986">
        <v>2652708.77</v>
      </c>
      <c r="E986">
        <v>2708238.77</v>
      </c>
      <c r="G986">
        <v>-55530</v>
      </c>
      <c r="H986">
        <v>1349.786202</v>
      </c>
      <c r="I986">
        <v>1386.786696</v>
      </c>
      <c r="J986">
        <v>-37.000494</v>
      </c>
      <c r="K986" s="4">
        <f t="shared" si="45"/>
        <v>-0.0266807390831791</v>
      </c>
      <c r="L986" s="4">
        <f t="shared" si="46"/>
        <v>-0.0205041005302498</v>
      </c>
      <c r="M986" s="18">
        <f t="shared" si="47"/>
        <v>0</v>
      </c>
    </row>
    <row r="987" spans="1:13">
      <c r="A987" t="s">
        <v>13</v>
      </c>
      <c r="B987" t="s">
        <v>1984</v>
      </c>
      <c r="C987" t="s">
        <v>1985</v>
      </c>
      <c r="D987">
        <v>1900054.4</v>
      </c>
      <c r="E987">
        <v>1951084.4</v>
      </c>
      <c r="F987">
        <v>4.828</v>
      </c>
      <c r="G987">
        <v>-51030</v>
      </c>
      <c r="H987">
        <v>941.983549</v>
      </c>
      <c r="I987">
        <v>988.384851</v>
      </c>
      <c r="J987">
        <v>-46.401302</v>
      </c>
      <c r="K987" s="4">
        <f t="shared" si="45"/>
        <v>-0.0469465936806431</v>
      </c>
      <c r="L987" s="4">
        <f t="shared" si="46"/>
        <v>-0.0261546860812377</v>
      </c>
      <c r="M987" s="18">
        <f t="shared" si="47"/>
        <v>-24.637284</v>
      </c>
    </row>
    <row r="988" spans="1:13">
      <c r="A988" t="s">
        <v>13</v>
      </c>
      <c r="B988" t="s">
        <v>1986</v>
      </c>
      <c r="C988" t="s">
        <v>1987</v>
      </c>
      <c r="D988">
        <v>59206.85</v>
      </c>
      <c r="E988">
        <v>59206.85</v>
      </c>
      <c r="F988">
        <v>1.338</v>
      </c>
      <c r="G988">
        <v>0</v>
      </c>
      <c r="H988">
        <v>7.921876</v>
      </c>
      <c r="I988">
        <v>7.920361</v>
      </c>
      <c r="J988">
        <v>0.001515</v>
      </c>
      <c r="K988" s="4">
        <f t="shared" si="45"/>
        <v>0.000191279160129191</v>
      </c>
      <c r="L988" s="4">
        <f t="shared" si="46"/>
        <v>0</v>
      </c>
      <c r="M988" s="18">
        <f t="shared" si="47"/>
        <v>0</v>
      </c>
    </row>
    <row r="989" spans="1:13">
      <c r="A989" t="s">
        <v>13</v>
      </c>
      <c r="B989" t="s">
        <v>1988</v>
      </c>
      <c r="C989" t="s">
        <v>1989</v>
      </c>
      <c r="D989">
        <v>1288914.98</v>
      </c>
      <c r="E989">
        <v>1317084.98</v>
      </c>
      <c r="F989">
        <v>5.191</v>
      </c>
      <c r="G989">
        <v>-28170</v>
      </c>
      <c r="H989">
        <v>683.698815</v>
      </c>
      <c r="I989">
        <v>694.731229</v>
      </c>
      <c r="J989">
        <v>-11.032414</v>
      </c>
      <c r="K989" s="4">
        <f t="shared" si="45"/>
        <v>-0.0158801181514182</v>
      </c>
      <c r="L989" s="4">
        <f t="shared" si="46"/>
        <v>-0.0213881415609189</v>
      </c>
      <c r="M989" s="18">
        <f t="shared" si="47"/>
        <v>-14.623047</v>
      </c>
    </row>
    <row r="990" spans="1:13">
      <c r="A990" t="s">
        <v>13</v>
      </c>
      <c r="B990" t="s">
        <v>1990</v>
      </c>
      <c r="C990" t="s">
        <v>1991</v>
      </c>
      <c r="D990">
        <v>69041.47</v>
      </c>
      <c r="E990">
        <v>68951.47</v>
      </c>
      <c r="F990">
        <v>5.216</v>
      </c>
      <c r="G990">
        <v>90</v>
      </c>
      <c r="H990">
        <v>35.965087</v>
      </c>
      <c r="I990">
        <v>35.704672</v>
      </c>
      <c r="J990">
        <v>0.260415</v>
      </c>
      <c r="K990" s="4">
        <f t="shared" si="45"/>
        <v>0.00729358331593132</v>
      </c>
      <c r="L990" s="4">
        <f t="shared" si="46"/>
        <v>0.00130526586307732</v>
      </c>
      <c r="M990" s="18">
        <f t="shared" si="47"/>
        <v>0.046944</v>
      </c>
    </row>
    <row r="991" spans="1:13">
      <c r="A991" t="s">
        <v>13</v>
      </c>
      <c r="B991" t="s">
        <v>1992</v>
      </c>
      <c r="C991" t="s">
        <v>1993</v>
      </c>
      <c r="D991">
        <v>149638.12</v>
      </c>
      <c r="E991">
        <v>149638.12</v>
      </c>
      <c r="F991">
        <v>1.895</v>
      </c>
      <c r="G991">
        <v>0</v>
      </c>
      <c r="H991">
        <v>28.356423</v>
      </c>
      <c r="I991">
        <v>28.263335</v>
      </c>
      <c r="J991">
        <v>0.093088</v>
      </c>
      <c r="K991" s="4">
        <f t="shared" si="45"/>
        <v>0.00329359574869703</v>
      </c>
      <c r="L991" s="4">
        <f t="shared" si="46"/>
        <v>0</v>
      </c>
      <c r="M991" s="18">
        <f t="shared" si="47"/>
        <v>0</v>
      </c>
    </row>
    <row r="992" spans="1:13">
      <c r="A992" t="s">
        <v>13</v>
      </c>
      <c r="B992" t="s">
        <v>1994</v>
      </c>
      <c r="C992" t="s">
        <v>1995</v>
      </c>
      <c r="D992">
        <v>7825.81</v>
      </c>
      <c r="E992">
        <v>7825.81</v>
      </c>
      <c r="F992">
        <v>1.103</v>
      </c>
      <c r="G992">
        <v>0</v>
      </c>
      <c r="H992">
        <v>0.863187</v>
      </c>
      <c r="I992">
        <v>0.893839</v>
      </c>
      <c r="J992">
        <v>-0.030652</v>
      </c>
      <c r="K992" s="4">
        <f t="shared" si="45"/>
        <v>-0.0342925291914987</v>
      </c>
      <c r="L992" s="4">
        <f t="shared" si="46"/>
        <v>0</v>
      </c>
      <c r="M992" s="18">
        <f t="shared" si="47"/>
        <v>0</v>
      </c>
    </row>
    <row r="993" spans="1:13">
      <c r="A993" t="s">
        <v>13</v>
      </c>
      <c r="B993" t="s">
        <v>1996</v>
      </c>
      <c r="C993" t="s">
        <v>1997</v>
      </c>
      <c r="D993">
        <v>120680.24</v>
      </c>
      <c r="E993">
        <v>120680.24</v>
      </c>
      <c r="F993">
        <v>1.467</v>
      </c>
      <c r="G993">
        <v>0</v>
      </c>
      <c r="H993">
        <v>17.703791</v>
      </c>
      <c r="I993">
        <v>17.679655</v>
      </c>
      <c r="J993">
        <v>0.024136</v>
      </c>
      <c r="K993" s="4">
        <f t="shared" si="45"/>
        <v>0.00136518501068036</v>
      </c>
      <c r="L993" s="4">
        <f t="shared" si="46"/>
        <v>0</v>
      </c>
      <c r="M993" s="18">
        <f t="shared" si="47"/>
        <v>0</v>
      </c>
    </row>
    <row r="994" spans="1:13">
      <c r="A994" t="s">
        <v>13</v>
      </c>
      <c r="B994" t="s">
        <v>1998</v>
      </c>
      <c r="C994" t="s">
        <v>1999</v>
      </c>
      <c r="D994">
        <v>10955</v>
      </c>
      <c r="E994">
        <v>10955</v>
      </c>
      <c r="F994">
        <v>5.59</v>
      </c>
      <c r="G994">
        <v>0</v>
      </c>
      <c r="H994">
        <v>6.123845</v>
      </c>
      <c r="I994">
        <v>6.146542</v>
      </c>
      <c r="J994">
        <v>-0.022697</v>
      </c>
      <c r="K994" s="4">
        <f t="shared" si="45"/>
        <v>-0.00369264539313324</v>
      </c>
      <c r="L994" s="4">
        <f t="shared" si="46"/>
        <v>0</v>
      </c>
      <c r="M994" s="18">
        <f t="shared" si="47"/>
        <v>0</v>
      </c>
    </row>
    <row r="995" spans="1:13">
      <c r="A995" t="s">
        <v>13</v>
      </c>
      <c r="B995" t="s">
        <v>2000</v>
      </c>
      <c r="C995" t="s">
        <v>2001</v>
      </c>
      <c r="D995">
        <v>45725.84</v>
      </c>
      <c r="E995">
        <v>45725.84</v>
      </c>
      <c r="F995">
        <v>2.005</v>
      </c>
      <c r="G995">
        <v>0</v>
      </c>
      <c r="H995">
        <v>9.168031</v>
      </c>
      <c r="I995">
        <v>9.039079</v>
      </c>
      <c r="J995">
        <v>0.128952</v>
      </c>
      <c r="K995" s="4">
        <f t="shared" si="45"/>
        <v>0.0142660552031905</v>
      </c>
      <c r="L995" s="4">
        <f t="shared" si="46"/>
        <v>0</v>
      </c>
      <c r="M995" s="18">
        <f t="shared" si="47"/>
        <v>0</v>
      </c>
    </row>
    <row r="996" spans="1:13">
      <c r="A996" t="s">
        <v>13</v>
      </c>
      <c r="B996" t="s">
        <v>2002</v>
      </c>
      <c r="C996" t="s">
        <v>2003</v>
      </c>
      <c r="D996">
        <v>458216.86</v>
      </c>
      <c r="E996">
        <v>457856.86</v>
      </c>
      <c r="F996">
        <v>8.828</v>
      </c>
      <c r="G996">
        <v>360</v>
      </c>
      <c r="H996">
        <v>404.196038</v>
      </c>
      <c r="I996">
        <v>401.95606</v>
      </c>
      <c r="J996">
        <v>2.239978</v>
      </c>
      <c r="K996" s="4">
        <f t="shared" si="45"/>
        <v>0.00557269369194235</v>
      </c>
      <c r="L996" s="4">
        <f t="shared" si="46"/>
        <v>0.000786271936604816</v>
      </c>
      <c r="M996" s="18">
        <f t="shared" si="47"/>
        <v>0.317808</v>
      </c>
    </row>
    <row r="997" spans="1:13">
      <c r="A997" t="s">
        <v>13</v>
      </c>
      <c r="B997" t="s">
        <v>2004</v>
      </c>
      <c r="C997" t="s">
        <v>2005</v>
      </c>
      <c r="D997">
        <v>80703.83</v>
      </c>
      <c r="E997">
        <v>79103.83</v>
      </c>
      <c r="F997">
        <v>2.791</v>
      </c>
      <c r="G997">
        <v>1600</v>
      </c>
      <c r="H997">
        <v>22.077879</v>
      </c>
      <c r="I997">
        <v>21.975092</v>
      </c>
      <c r="J997">
        <v>0.102787</v>
      </c>
      <c r="K997" s="4">
        <f t="shared" si="45"/>
        <v>0.0046774320671786</v>
      </c>
      <c r="L997" s="4">
        <f t="shared" si="46"/>
        <v>0.0202265806851577</v>
      </c>
      <c r="M997" s="18">
        <f t="shared" si="47"/>
        <v>0.44656</v>
      </c>
    </row>
    <row r="998" spans="1:13">
      <c r="A998" t="s">
        <v>13</v>
      </c>
      <c r="B998" t="s">
        <v>2006</v>
      </c>
      <c r="C998" t="s">
        <v>2007</v>
      </c>
      <c r="D998">
        <v>4547.94</v>
      </c>
      <c r="E998">
        <v>4547.94</v>
      </c>
      <c r="F998">
        <v>9.613</v>
      </c>
      <c r="G998">
        <v>0</v>
      </c>
      <c r="H998">
        <v>4.371933</v>
      </c>
      <c r="I998">
        <v>4.3451</v>
      </c>
      <c r="J998">
        <v>0.026833</v>
      </c>
      <c r="K998" s="4">
        <f t="shared" si="45"/>
        <v>0.00617546201468321</v>
      </c>
      <c r="L998" s="4">
        <f t="shared" si="46"/>
        <v>0</v>
      </c>
      <c r="M998" s="18">
        <f t="shared" si="47"/>
        <v>0</v>
      </c>
    </row>
    <row r="999" spans="1:13">
      <c r="A999" t="s">
        <v>13</v>
      </c>
      <c r="B999" t="s">
        <v>2008</v>
      </c>
      <c r="C999" t="s">
        <v>2009</v>
      </c>
      <c r="D999">
        <v>2174.33</v>
      </c>
      <c r="E999">
        <v>2174.33</v>
      </c>
      <c r="F999">
        <v>2.223</v>
      </c>
      <c r="G999">
        <v>0</v>
      </c>
      <c r="H999">
        <v>0.483354</v>
      </c>
      <c r="I999">
        <v>0.479875</v>
      </c>
      <c r="J999">
        <v>0.003479</v>
      </c>
      <c r="K999" s="4">
        <f t="shared" si="45"/>
        <v>0.00724980463662412</v>
      </c>
      <c r="L999" s="4">
        <f t="shared" si="46"/>
        <v>0</v>
      </c>
      <c r="M999" s="18">
        <f t="shared" si="47"/>
        <v>0</v>
      </c>
    </row>
    <row r="1000" spans="1:13">
      <c r="A1000" t="s">
        <v>13</v>
      </c>
      <c r="B1000" t="s">
        <v>2010</v>
      </c>
      <c r="C1000" t="s">
        <v>2011</v>
      </c>
      <c r="D1000">
        <v>6231.87</v>
      </c>
      <c r="E1000">
        <v>6231.87</v>
      </c>
      <c r="F1000">
        <v>2.143</v>
      </c>
      <c r="G1000">
        <v>0</v>
      </c>
      <c r="H1000">
        <v>1.335489</v>
      </c>
      <c r="I1000">
        <v>1.327388</v>
      </c>
      <c r="J1000">
        <v>0.008101</v>
      </c>
      <c r="K1000" s="4">
        <f t="shared" si="45"/>
        <v>0.00610296311251872</v>
      </c>
      <c r="L1000" s="4">
        <f t="shared" si="46"/>
        <v>0</v>
      </c>
      <c r="M1000" s="18">
        <f t="shared" si="47"/>
        <v>0</v>
      </c>
    </row>
    <row r="1001" spans="1:13">
      <c r="A1001" t="s">
        <v>13</v>
      </c>
      <c r="B1001" t="s">
        <v>2012</v>
      </c>
      <c r="C1001" t="s">
        <v>2013</v>
      </c>
      <c r="D1001">
        <v>2556.06</v>
      </c>
      <c r="E1001">
        <v>4556.06</v>
      </c>
      <c r="F1001">
        <v>1.367</v>
      </c>
      <c r="G1001">
        <v>-2000</v>
      </c>
      <c r="H1001">
        <v>0.622813</v>
      </c>
      <c r="I1001">
        <v>0.620991</v>
      </c>
      <c r="J1001">
        <v>0.001822</v>
      </c>
      <c r="K1001" s="4">
        <f t="shared" si="45"/>
        <v>0.00293401997774525</v>
      </c>
      <c r="L1001" s="4">
        <f t="shared" si="46"/>
        <v>-0.438975781706123</v>
      </c>
      <c r="M1001" s="18">
        <f t="shared" si="47"/>
        <v>-0.2734</v>
      </c>
    </row>
    <row r="1002" spans="1:13">
      <c r="A1002" t="s">
        <v>13</v>
      </c>
      <c r="B1002" t="s">
        <v>2014</v>
      </c>
      <c r="C1002" t="s">
        <v>2015</v>
      </c>
      <c r="D1002">
        <v>96856.83</v>
      </c>
      <c r="E1002">
        <v>96776.83</v>
      </c>
      <c r="F1002">
        <v>4.543</v>
      </c>
      <c r="G1002">
        <v>80</v>
      </c>
      <c r="H1002">
        <v>43.965716</v>
      </c>
      <c r="I1002">
        <v>43.732414</v>
      </c>
      <c r="J1002">
        <v>0.233302</v>
      </c>
      <c r="K1002" s="4">
        <f t="shared" si="45"/>
        <v>0.00533476153408774</v>
      </c>
      <c r="L1002" s="4">
        <f t="shared" si="46"/>
        <v>0.000826644146124646</v>
      </c>
      <c r="M1002" s="18">
        <f t="shared" si="47"/>
        <v>0.036344</v>
      </c>
    </row>
    <row r="1003" spans="1:13">
      <c r="A1003" t="s">
        <v>13</v>
      </c>
      <c r="B1003" t="s">
        <v>2016</v>
      </c>
      <c r="C1003" t="s">
        <v>2017</v>
      </c>
      <c r="D1003">
        <v>13958.61</v>
      </c>
      <c r="E1003">
        <v>13998.61</v>
      </c>
      <c r="F1003">
        <v>9.321</v>
      </c>
      <c r="G1003">
        <v>-40</v>
      </c>
      <c r="H1003">
        <v>13.048106</v>
      </c>
      <c r="I1003">
        <v>12.986512</v>
      </c>
      <c r="J1003">
        <v>0.061594</v>
      </c>
      <c r="K1003" s="4">
        <f t="shared" si="45"/>
        <v>0.00474292096291907</v>
      </c>
      <c r="L1003" s="4">
        <f t="shared" si="46"/>
        <v>-0.00285742655877976</v>
      </c>
      <c r="M1003" s="18">
        <f t="shared" si="47"/>
        <v>-0.037284</v>
      </c>
    </row>
    <row r="1004" spans="1:13">
      <c r="A1004" t="s">
        <v>13</v>
      </c>
      <c r="B1004" t="s">
        <v>2018</v>
      </c>
      <c r="C1004" t="s">
        <v>2019</v>
      </c>
      <c r="D1004">
        <v>1361.51</v>
      </c>
      <c r="E1004">
        <v>1331.51</v>
      </c>
      <c r="F1004">
        <v>3.877</v>
      </c>
      <c r="G1004">
        <v>30</v>
      </c>
      <c r="H1004">
        <v>0.516227</v>
      </c>
      <c r="I1004">
        <v>0.515029</v>
      </c>
      <c r="J1004">
        <v>0.001198</v>
      </c>
      <c r="K1004" s="4">
        <f t="shared" si="45"/>
        <v>0.00232608260894047</v>
      </c>
      <c r="L1004" s="4">
        <f t="shared" si="46"/>
        <v>0.0225308108838837</v>
      </c>
      <c r="M1004" s="18">
        <f t="shared" si="47"/>
        <v>0.011631</v>
      </c>
    </row>
    <row r="1005" spans="1:13">
      <c r="A1005" t="s">
        <v>13</v>
      </c>
      <c r="B1005" t="s">
        <v>2020</v>
      </c>
      <c r="C1005" t="s">
        <v>2021</v>
      </c>
      <c r="D1005">
        <v>55736.15</v>
      </c>
      <c r="E1005">
        <v>55436.15</v>
      </c>
      <c r="F1005">
        <v>0.764</v>
      </c>
      <c r="G1005">
        <v>300</v>
      </c>
      <c r="H1005">
        <v>4.235322</v>
      </c>
      <c r="I1005">
        <v>4.315159</v>
      </c>
      <c r="J1005">
        <v>-0.079837</v>
      </c>
      <c r="K1005" s="4">
        <f t="shared" si="45"/>
        <v>-0.0185015198744704</v>
      </c>
      <c r="L1005" s="4">
        <f t="shared" si="46"/>
        <v>0.00541163121897895</v>
      </c>
      <c r="M1005" s="18">
        <f t="shared" si="47"/>
        <v>0.02292</v>
      </c>
    </row>
    <row r="1006" spans="1:13">
      <c r="A1006" t="s">
        <v>13</v>
      </c>
      <c r="B1006" t="s">
        <v>2022</v>
      </c>
      <c r="C1006" t="s">
        <v>2023</v>
      </c>
      <c r="D1006">
        <v>1145.25</v>
      </c>
      <c r="E1006">
        <v>1145.25</v>
      </c>
      <c r="F1006">
        <v>2.688</v>
      </c>
      <c r="G1006">
        <v>0</v>
      </c>
      <c r="H1006">
        <v>0.307842</v>
      </c>
      <c r="I1006">
        <v>0.317921</v>
      </c>
      <c r="J1006">
        <v>-0.010079</v>
      </c>
      <c r="K1006" s="4">
        <f t="shared" si="45"/>
        <v>-0.0317028444173238</v>
      </c>
      <c r="L1006" s="4">
        <f t="shared" si="46"/>
        <v>0</v>
      </c>
      <c r="M1006" s="18">
        <f t="shared" si="47"/>
        <v>0</v>
      </c>
    </row>
    <row r="1007" spans="1:13">
      <c r="A1007" t="s">
        <v>13</v>
      </c>
      <c r="B1007" t="s">
        <v>2024</v>
      </c>
      <c r="C1007" t="s">
        <v>2025</v>
      </c>
      <c r="D1007">
        <v>4587.97</v>
      </c>
      <c r="E1007">
        <v>4637.97</v>
      </c>
      <c r="F1007">
        <v>2.162</v>
      </c>
      <c r="G1007">
        <v>-50</v>
      </c>
      <c r="H1007">
        <v>1.00273</v>
      </c>
      <c r="I1007">
        <v>0.984641</v>
      </c>
      <c r="J1007">
        <v>0.018089</v>
      </c>
      <c r="K1007" s="4">
        <f t="shared" si="45"/>
        <v>0.0183711626877207</v>
      </c>
      <c r="L1007" s="4">
        <f t="shared" si="46"/>
        <v>-0.0107805785720908</v>
      </c>
      <c r="M1007" s="18">
        <f t="shared" si="47"/>
        <v>-0.01081</v>
      </c>
    </row>
    <row r="1008" spans="1:13">
      <c r="A1008" t="s">
        <v>13</v>
      </c>
      <c r="B1008" t="s">
        <v>2026</v>
      </c>
      <c r="C1008" t="s">
        <v>2027</v>
      </c>
      <c r="D1008">
        <v>23799.3</v>
      </c>
      <c r="E1008">
        <v>24299.3</v>
      </c>
      <c r="F1008">
        <v>1.008</v>
      </c>
      <c r="G1008">
        <v>-500</v>
      </c>
      <c r="H1008">
        <v>2.449369</v>
      </c>
      <c r="I1008">
        <v>2.46966</v>
      </c>
      <c r="J1008">
        <v>-0.020291</v>
      </c>
      <c r="K1008" s="4">
        <f t="shared" si="45"/>
        <v>-0.00821611071969421</v>
      </c>
      <c r="L1008" s="4">
        <f t="shared" si="46"/>
        <v>-0.0205767244323911</v>
      </c>
      <c r="M1008" s="18">
        <f t="shared" si="47"/>
        <v>-0.0504</v>
      </c>
    </row>
    <row r="1009" spans="1:13">
      <c r="A1009" t="s">
        <v>13</v>
      </c>
      <c r="B1009" t="s">
        <v>2028</v>
      </c>
      <c r="C1009" t="s">
        <v>2029</v>
      </c>
      <c r="D1009">
        <v>2172.47</v>
      </c>
      <c r="E1009">
        <v>2262.47</v>
      </c>
      <c r="F1009">
        <v>3.193</v>
      </c>
      <c r="G1009">
        <v>-90</v>
      </c>
      <c r="H1009">
        <v>0.722405</v>
      </c>
      <c r="I1009">
        <v>0.711263</v>
      </c>
      <c r="J1009">
        <v>0.011142</v>
      </c>
      <c r="K1009" s="4">
        <f t="shared" si="45"/>
        <v>0.0156650915343551</v>
      </c>
      <c r="L1009" s="4">
        <f t="shared" si="46"/>
        <v>-0.0397795329882827</v>
      </c>
      <c r="M1009" s="18">
        <f t="shared" si="47"/>
        <v>-0.028737</v>
      </c>
    </row>
    <row r="1010" spans="1:13">
      <c r="A1010" t="s">
        <v>13</v>
      </c>
      <c r="B1010" t="s">
        <v>2030</v>
      </c>
      <c r="C1010" t="s">
        <v>2031</v>
      </c>
      <c r="D1010">
        <v>10791.89</v>
      </c>
      <c r="E1010">
        <v>10761.89</v>
      </c>
      <c r="F1010">
        <v>4.288</v>
      </c>
      <c r="G1010">
        <v>30</v>
      </c>
      <c r="H1010">
        <v>4.614697</v>
      </c>
      <c r="I1010">
        <v>4.606088</v>
      </c>
      <c r="J1010">
        <v>0.008609</v>
      </c>
      <c r="K1010" s="4">
        <f t="shared" si="45"/>
        <v>0.0018690480946087</v>
      </c>
      <c r="L1010" s="4">
        <f t="shared" si="46"/>
        <v>0.00278761444318795</v>
      </c>
      <c r="M1010" s="18">
        <f t="shared" si="47"/>
        <v>0.012864</v>
      </c>
    </row>
    <row r="1011" spans="1:13">
      <c r="A1011" t="s">
        <v>13</v>
      </c>
      <c r="B1011" t="s">
        <v>2032</v>
      </c>
      <c r="C1011" t="s">
        <v>2033</v>
      </c>
      <c r="D1011">
        <v>254276.6</v>
      </c>
      <c r="E1011">
        <v>211576.6</v>
      </c>
      <c r="F1011">
        <v>0.965</v>
      </c>
      <c r="G1011">
        <v>42700</v>
      </c>
      <c r="H1011">
        <v>20.417142</v>
      </c>
      <c r="I1011">
        <v>18.820433</v>
      </c>
      <c r="J1011">
        <v>1.596709</v>
      </c>
      <c r="K1011" s="4">
        <f t="shared" si="45"/>
        <v>0.0848391213953473</v>
      </c>
      <c r="L1011" s="4">
        <f t="shared" si="46"/>
        <v>0.201818159475103</v>
      </c>
      <c r="M1011" s="18">
        <f t="shared" si="47"/>
        <v>4.12055</v>
      </c>
    </row>
    <row r="1012" spans="1:13">
      <c r="A1012" t="s">
        <v>13</v>
      </c>
      <c r="B1012" t="s">
        <v>2034</v>
      </c>
      <c r="C1012" t="s">
        <v>2035</v>
      </c>
      <c r="D1012">
        <v>211750.37</v>
      </c>
      <c r="E1012">
        <v>214450.37</v>
      </c>
      <c r="F1012">
        <v>1.328</v>
      </c>
      <c r="G1012">
        <v>-2700</v>
      </c>
      <c r="H1012">
        <v>28.479009</v>
      </c>
      <c r="I1012">
        <v>28.687719</v>
      </c>
      <c r="J1012">
        <v>-0.20871</v>
      </c>
      <c r="K1012" s="4">
        <f t="shared" si="45"/>
        <v>-0.00727523857857085</v>
      </c>
      <c r="L1012" s="4">
        <f t="shared" si="46"/>
        <v>-0.0125903256776848</v>
      </c>
      <c r="M1012" s="18">
        <f t="shared" si="47"/>
        <v>-0.35856</v>
      </c>
    </row>
    <row r="1013" spans="1:13">
      <c r="A1013" t="s">
        <v>13</v>
      </c>
      <c r="B1013" t="s">
        <v>2036</v>
      </c>
      <c r="C1013" t="s">
        <v>2037</v>
      </c>
      <c r="D1013">
        <v>2761.07</v>
      </c>
      <c r="E1013">
        <v>2611.07</v>
      </c>
      <c r="F1013">
        <v>1.194</v>
      </c>
      <c r="G1013">
        <v>150</v>
      </c>
      <c r="H1013">
        <v>0.311761</v>
      </c>
      <c r="I1013">
        <v>0.285484</v>
      </c>
      <c r="J1013">
        <v>0.026277</v>
      </c>
      <c r="K1013" s="4">
        <f t="shared" si="45"/>
        <v>0.0920436872118928</v>
      </c>
      <c r="L1013" s="4">
        <f t="shared" si="46"/>
        <v>0.0574477130065452</v>
      </c>
      <c r="M1013" s="18">
        <f t="shared" si="47"/>
        <v>0.01791</v>
      </c>
    </row>
    <row r="1014" spans="1:13">
      <c r="A1014" t="s">
        <v>13</v>
      </c>
      <c r="B1014" t="s">
        <v>2038</v>
      </c>
      <c r="C1014" t="s">
        <v>2039</v>
      </c>
      <c r="D1014">
        <v>19257.6</v>
      </c>
      <c r="E1014">
        <v>19257.6</v>
      </c>
      <c r="F1014">
        <v>1.393</v>
      </c>
      <c r="G1014">
        <v>0</v>
      </c>
      <c r="H1014">
        <v>2.682584</v>
      </c>
      <c r="I1014">
        <v>2.680658</v>
      </c>
      <c r="J1014">
        <v>0.001926</v>
      </c>
      <c r="K1014" s="4">
        <f t="shared" si="45"/>
        <v>0.000718480313415587</v>
      </c>
      <c r="L1014" s="4">
        <f t="shared" si="46"/>
        <v>0</v>
      </c>
      <c r="M1014" s="18">
        <f t="shared" si="47"/>
        <v>0</v>
      </c>
    </row>
    <row r="1015" spans="1:13">
      <c r="A1015" t="s">
        <v>13</v>
      </c>
      <c r="B1015" t="s">
        <v>2040</v>
      </c>
      <c r="C1015" t="s">
        <v>2041</v>
      </c>
      <c r="D1015">
        <v>606679.37</v>
      </c>
      <c r="E1015">
        <v>606289.37</v>
      </c>
      <c r="F1015">
        <v>0.823</v>
      </c>
      <c r="G1015">
        <v>390</v>
      </c>
      <c r="H1015">
        <v>49.897615</v>
      </c>
      <c r="I1015">
        <v>50.674923</v>
      </c>
      <c r="J1015">
        <v>-0.777308</v>
      </c>
      <c r="K1015" s="4">
        <f t="shared" si="45"/>
        <v>-0.0153391056953357</v>
      </c>
      <c r="L1015" s="4">
        <f t="shared" si="46"/>
        <v>0.000643257195817238</v>
      </c>
      <c r="M1015" s="18">
        <f t="shared" si="47"/>
        <v>0.032097</v>
      </c>
    </row>
    <row r="1016" spans="1:13">
      <c r="A1016" t="s">
        <v>13</v>
      </c>
      <c r="B1016" t="s">
        <v>2042</v>
      </c>
      <c r="C1016" t="s">
        <v>2043</v>
      </c>
      <c r="D1016">
        <v>5389.89</v>
      </c>
      <c r="E1016">
        <v>5389.89</v>
      </c>
      <c r="F1016">
        <v>3.554</v>
      </c>
      <c r="G1016">
        <v>0</v>
      </c>
      <c r="H1016">
        <v>1.915567</v>
      </c>
      <c r="I1016">
        <v>1.893177</v>
      </c>
      <c r="J1016">
        <v>0.02239</v>
      </c>
      <c r="K1016" s="4">
        <f t="shared" si="45"/>
        <v>0.0118266807593796</v>
      </c>
      <c r="L1016" s="4">
        <f t="shared" si="46"/>
        <v>0</v>
      </c>
      <c r="M1016" s="18">
        <f t="shared" si="47"/>
        <v>0</v>
      </c>
    </row>
    <row r="1017" spans="1:13">
      <c r="A1017" t="s">
        <v>13</v>
      </c>
      <c r="B1017" t="s">
        <v>2044</v>
      </c>
      <c r="C1017" t="s">
        <v>2045</v>
      </c>
      <c r="D1017">
        <v>657467.57</v>
      </c>
      <c r="E1017">
        <v>630567.57</v>
      </c>
      <c r="F1017">
        <v>3.098</v>
      </c>
      <c r="G1017">
        <v>26900</v>
      </c>
      <c r="H1017">
        <v>195.349833</v>
      </c>
      <c r="I1017">
        <v>194.029552</v>
      </c>
      <c r="J1017">
        <v>1.320281</v>
      </c>
      <c r="K1017" s="4">
        <f t="shared" si="45"/>
        <v>0.00680453563073732</v>
      </c>
      <c r="L1017" s="4">
        <f t="shared" si="46"/>
        <v>0.0426599801191806</v>
      </c>
      <c r="M1017" s="18">
        <f t="shared" si="47"/>
        <v>8.33362</v>
      </c>
    </row>
    <row r="1018" spans="1:13">
      <c r="A1018" t="s">
        <v>13</v>
      </c>
      <c r="B1018" t="s">
        <v>2046</v>
      </c>
      <c r="C1018" t="s">
        <v>2047</v>
      </c>
      <c r="D1018">
        <v>361002.19</v>
      </c>
      <c r="E1018">
        <v>361002.19</v>
      </c>
      <c r="F1018">
        <v>0.981</v>
      </c>
      <c r="G1018">
        <v>0</v>
      </c>
      <c r="H1018">
        <v>35.414315</v>
      </c>
      <c r="I1018">
        <v>36.20852</v>
      </c>
      <c r="J1018">
        <v>-0.794205</v>
      </c>
      <c r="K1018" s="4">
        <f t="shared" si="45"/>
        <v>-0.0219342022264373</v>
      </c>
      <c r="L1018" s="4">
        <f t="shared" si="46"/>
        <v>0</v>
      </c>
      <c r="M1018" s="18">
        <f t="shared" si="47"/>
        <v>0</v>
      </c>
    </row>
    <row r="1019" spans="1:13">
      <c r="A1019" t="s">
        <v>13</v>
      </c>
      <c r="B1019" t="s">
        <v>2048</v>
      </c>
      <c r="C1019" t="s">
        <v>2049</v>
      </c>
      <c r="D1019">
        <v>10579.6</v>
      </c>
      <c r="E1019">
        <v>10879.6</v>
      </c>
      <c r="F1019">
        <v>1.009</v>
      </c>
      <c r="G1019">
        <v>-300</v>
      </c>
      <c r="H1019">
        <v>1.097752</v>
      </c>
      <c r="I1019">
        <v>1.187384</v>
      </c>
      <c r="J1019">
        <v>-0.089632</v>
      </c>
      <c r="K1019" s="4">
        <f t="shared" si="45"/>
        <v>-0.0754869528307607</v>
      </c>
      <c r="L1019" s="4">
        <f t="shared" si="46"/>
        <v>-0.0275745431817346</v>
      </c>
      <c r="M1019" s="18">
        <f t="shared" si="47"/>
        <v>-0.03027</v>
      </c>
    </row>
    <row r="1020" spans="1:13">
      <c r="A1020" t="s">
        <v>13</v>
      </c>
      <c r="B1020" t="s">
        <v>2050</v>
      </c>
      <c r="C1020" t="s">
        <v>2051</v>
      </c>
      <c r="D1020">
        <v>11272.08</v>
      </c>
      <c r="E1020">
        <v>11542.08</v>
      </c>
      <c r="F1020">
        <v>0.988</v>
      </c>
      <c r="G1020">
        <v>-270</v>
      </c>
      <c r="H1020">
        <v>1.140358</v>
      </c>
      <c r="I1020">
        <v>1.103672</v>
      </c>
      <c r="J1020">
        <v>0.036686</v>
      </c>
      <c r="K1020" s="4">
        <f t="shared" si="45"/>
        <v>0.0332399481005226</v>
      </c>
      <c r="L1020" s="4">
        <f t="shared" si="46"/>
        <v>-0.0233926640605506</v>
      </c>
      <c r="M1020" s="18">
        <f t="shared" si="47"/>
        <v>-0.026676</v>
      </c>
    </row>
    <row r="1021" spans="1:13">
      <c r="A1021" t="s">
        <v>13</v>
      </c>
      <c r="B1021" t="s">
        <v>2052</v>
      </c>
      <c r="C1021" t="s">
        <v>2053</v>
      </c>
      <c r="D1021">
        <v>47379.8</v>
      </c>
      <c r="E1021">
        <v>47379.8</v>
      </c>
      <c r="F1021">
        <v>1.436</v>
      </c>
      <c r="G1021">
        <v>0</v>
      </c>
      <c r="H1021">
        <v>6.803739</v>
      </c>
      <c r="I1021">
        <v>6.889899</v>
      </c>
      <c r="J1021">
        <v>-0.08616</v>
      </c>
      <c r="K1021" s="4">
        <f t="shared" si="45"/>
        <v>-0.0125052631395613</v>
      </c>
      <c r="L1021" s="4">
        <f t="shared" si="46"/>
        <v>0</v>
      </c>
      <c r="M1021" s="18">
        <f t="shared" si="47"/>
        <v>0</v>
      </c>
    </row>
    <row r="1022" spans="1:13">
      <c r="A1022" t="s">
        <v>13</v>
      </c>
      <c r="B1022" t="s">
        <v>2054</v>
      </c>
      <c r="C1022" t="s">
        <v>2055</v>
      </c>
      <c r="D1022">
        <v>4094.86</v>
      </c>
      <c r="E1022">
        <v>4094.86</v>
      </c>
      <c r="F1022">
        <v>1.05</v>
      </c>
      <c r="G1022">
        <v>0</v>
      </c>
      <c r="H1022">
        <v>0.429961</v>
      </c>
      <c r="I1022">
        <v>0.431599</v>
      </c>
      <c r="J1022">
        <v>-0.001638</v>
      </c>
      <c r="K1022" s="4">
        <f t="shared" si="45"/>
        <v>-0.00379518951619443</v>
      </c>
      <c r="L1022" s="4">
        <f t="shared" si="46"/>
        <v>0</v>
      </c>
      <c r="M1022" s="18">
        <f t="shared" si="47"/>
        <v>0</v>
      </c>
    </row>
    <row r="1023" spans="1:13">
      <c r="A1023" t="s">
        <v>13</v>
      </c>
      <c r="B1023" t="s">
        <v>2056</v>
      </c>
      <c r="C1023" t="s">
        <v>2057</v>
      </c>
      <c r="D1023">
        <v>3557.63</v>
      </c>
      <c r="E1023">
        <v>3528.63</v>
      </c>
      <c r="F1023">
        <v>141.431</v>
      </c>
      <c r="G1023">
        <v>29</v>
      </c>
      <c r="H1023">
        <v>49.905749</v>
      </c>
      <c r="I1023">
        <v>49.862326</v>
      </c>
      <c r="J1023">
        <v>0.043423</v>
      </c>
      <c r="K1023" s="4">
        <f t="shared" si="45"/>
        <v>0.000870857889782358</v>
      </c>
      <c r="L1023" s="4">
        <f t="shared" si="46"/>
        <v>0.0082184870615508</v>
      </c>
      <c r="M1023" s="18">
        <f t="shared" si="47"/>
        <v>0.4101499</v>
      </c>
    </row>
    <row r="1024" spans="1:13">
      <c r="A1024" t="s">
        <v>13</v>
      </c>
      <c r="B1024" t="s">
        <v>2058</v>
      </c>
      <c r="C1024" t="s">
        <v>2059</v>
      </c>
      <c r="D1024">
        <v>2773.75</v>
      </c>
      <c r="E1024">
        <v>2331.25</v>
      </c>
      <c r="F1024">
        <v>117.473</v>
      </c>
      <c r="G1024">
        <v>442.5</v>
      </c>
      <c r="H1024">
        <v>27.385922</v>
      </c>
      <c r="I1024">
        <v>20.402293</v>
      </c>
      <c r="J1024">
        <v>6.983629</v>
      </c>
      <c r="K1024" s="4">
        <f t="shared" si="45"/>
        <v>0.342296280128905</v>
      </c>
      <c r="L1024" s="4">
        <f t="shared" si="46"/>
        <v>0.189812332439678</v>
      </c>
      <c r="M1024" s="18">
        <f t="shared" si="47"/>
        <v>5.19818025</v>
      </c>
    </row>
    <row r="1025" spans="1:13">
      <c r="A1025" t="s">
        <v>13</v>
      </c>
      <c r="B1025" t="s">
        <v>2060</v>
      </c>
      <c r="C1025" t="s">
        <v>2061</v>
      </c>
      <c r="D1025">
        <v>38155.07</v>
      </c>
      <c r="E1025">
        <v>38155.07</v>
      </c>
      <c r="F1025">
        <v>108.007</v>
      </c>
      <c r="G1025">
        <v>0</v>
      </c>
      <c r="H1025">
        <v>412.101498</v>
      </c>
      <c r="I1025">
        <v>408.981485</v>
      </c>
      <c r="J1025">
        <v>3.120013</v>
      </c>
      <c r="K1025" s="4">
        <f t="shared" si="45"/>
        <v>0.00762873898802534</v>
      </c>
      <c r="L1025" s="4">
        <f t="shared" si="46"/>
        <v>0</v>
      </c>
      <c r="M1025" s="18">
        <f t="shared" si="47"/>
        <v>0</v>
      </c>
    </row>
    <row r="1026" spans="1:13">
      <c r="A1026" t="s">
        <v>13</v>
      </c>
      <c r="B1026" t="s">
        <v>2062</v>
      </c>
      <c r="C1026" t="s">
        <v>2063</v>
      </c>
      <c r="D1026">
        <v>1457.63</v>
      </c>
      <c r="E1026">
        <v>1417.63</v>
      </c>
      <c r="F1026">
        <v>108.194</v>
      </c>
      <c r="G1026">
        <v>40</v>
      </c>
      <c r="H1026">
        <v>15.33789</v>
      </c>
      <c r="I1026">
        <v>15.115632</v>
      </c>
      <c r="J1026">
        <v>0.222258</v>
      </c>
      <c r="K1026" s="4">
        <f t="shared" ref="K1026:K1089" si="48">IFERROR(J1026/I1026,"")</f>
        <v>0.0147038509537676</v>
      </c>
      <c r="L1026" s="4">
        <f t="shared" ref="L1026:L1089" si="49">IFERROR((D1026-E1026)/E1026,"")</f>
        <v>0.028216107164775</v>
      </c>
      <c r="M1026" s="18">
        <f t="shared" ref="M1026:M1089" si="50">IFERROR(F1026*G1026/10000,"")</f>
        <v>0.432776</v>
      </c>
    </row>
    <row r="1027" spans="1:13">
      <c r="A1027" t="s">
        <v>13</v>
      </c>
      <c r="B1027" t="s">
        <v>2064</v>
      </c>
      <c r="C1027" t="s">
        <v>2065</v>
      </c>
      <c r="D1027">
        <v>24182.1</v>
      </c>
      <c r="E1027">
        <v>24162.1</v>
      </c>
      <c r="F1027">
        <v>102.423</v>
      </c>
      <c r="G1027">
        <v>20</v>
      </c>
      <c r="H1027">
        <v>247.475446</v>
      </c>
      <c r="I1027">
        <v>246.124917</v>
      </c>
      <c r="J1027">
        <v>1.350529</v>
      </c>
      <c r="K1027" s="4">
        <f t="shared" si="48"/>
        <v>0.00548716894031497</v>
      </c>
      <c r="L1027" s="4">
        <f t="shared" si="49"/>
        <v>0.000827742621709206</v>
      </c>
      <c r="M1027" s="18">
        <f t="shared" si="50"/>
        <v>0.204846</v>
      </c>
    </row>
    <row r="1028" spans="1:13">
      <c r="A1028" t="s">
        <v>13</v>
      </c>
      <c r="B1028" t="s">
        <v>2066</v>
      </c>
      <c r="C1028" t="s">
        <v>2067</v>
      </c>
      <c r="D1028">
        <v>25457.81</v>
      </c>
      <c r="E1028">
        <v>25154.81</v>
      </c>
      <c r="F1028">
        <v>116.827</v>
      </c>
      <c r="G1028">
        <v>303</v>
      </c>
      <c r="H1028">
        <v>293.876153</v>
      </c>
      <c r="I1028">
        <v>293.205219</v>
      </c>
      <c r="J1028">
        <v>0.670934</v>
      </c>
      <c r="K1028" s="4">
        <f t="shared" si="48"/>
        <v>0.00228827441165022</v>
      </c>
      <c r="L1028" s="4">
        <f t="shared" si="49"/>
        <v>0.0120454100030968</v>
      </c>
      <c r="M1028" s="18">
        <f t="shared" si="50"/>
        <v>3.5398581</v>
      </c>
    </row>
    <row r="1029" spans="1:13">
      <c r="A1029" t="s">
        <v>13</v>
      </c>
      <c r="B1029" t="s">
        <v>2068</v>
      </c>
      <c r="C1029" t="s">
        <v>2069</v>
      </c>
      <c r="D1029">
        <v>11032.05</v>
      </c>
      <c r="E1029">
        <v>11059.05</v>
      </c>
      <c r="F1029">
        <v>109.289</v>
      </c>
      <c r="G1029">
        <v>-27</v>
      </c>
      <c r="H1029">
        <v>120.863256</v>
      </c>
      <c r="I1029">
        <v>120.688161</v>
      </c>
      <c r="J1029">
        <v>0.175095</v>
      </c>
      <c r="K1029" s="4">
        <f t="shared" si="48"/>
        <v>0.00145080510423885</v>
      </c>
      <c r="L1029" s="4">
        <f t="shared" si="49"/>
        <v>-0.00244143936414068</v>
      </c>
      <c r="M1029" s="18">
        <f t="shared" si="50"/>
        <v>-0.2950803</v>
      </c>
    </row>
    <row r="1030" spans="1:13">
      <c r="A1030" t="s">
        <v>13</v>
      </c>
      <c r="B1030" t="s">
        <v>2070</v>
      </c>
      <c r="C1030" t="s">
        <v>2071</v>
      </c>
      <c r="D1030">
        <v>26619.96</v>
      </c>
      <c r="E1030">
        <v>26599.96</v>
      </c>
      <c r="F1030">
        <v>102.704</v>
      </c>
      <c r="G1030">
        <v>20</v>
      </c>
      <c r="H1030">
        <v>273.192248</v>
      </c>
      <c r="I1030">
        <v>271.748569</v>
      </c>
      <c r="J1030">
        <v>1.443679</v>
      </c>
      <c r="K1030" s="4">
        <f t="shared" si="48"/>
        <v>0.00531255419416762</v>
      </c>
      <c r="L1030" s="4">
        <f t="shared" si="49"/>
        <v>0.000751880829895985</v>
      </c>
      <c r="M1030" s="18">
        <f t="shared" si="50"/>
        <v>0.205408</v>
      </c>
    </row>
    <row r="1031" spans="1:13">
      <c r="A1031" t="s">
        <v>13</v>
      </c>
      <c r="B1031" t="s">
        <v>2072</v>
      </c>
      <c r="C1031" t="s">
        <v>2073</v>
      </c>
      <c r="D1031">
        <v>10288.06</v>
      </c>
      <c r="E1031">
        <v>10288.06</v>
      </c>
      <c r="F1031">
        <v>101.462</v>
      </c>
      <c r="G1031">
        <v>0</v>
      </c>
      <c r="H1031">
        <v>104.384713</v>
      </c>
      <c r="I1031">
        <v>104.246863</v>
      </c>
      <c r="J1031">
        <v>0.13785</v>
      </c>
      <c r="K1031" s="4">
        <f t="shared" si="48"/>
        <v>0.00132234194903304</v>
      </c>
      <c r="L1031" s="4">
        <f t="shared" si="49"/>
        <v>0</v>
      </c>
      <c r="M1031" s="18">
        <f t="shared" si="50"/>
        <v>0</v>
      </c>
    </row>
    <row r="1032" spans="1:13">
      <c r="A1032" t="s">
        <v>13</v>
      </c>
      <c r="B1032" t="s">
        <v>2074</v>
      </c>
      <c r="C1032" t="s">
        <v>2075</v>
      </c>
      <c r="D1032">
        <v>17247.97</v>
      </c>
      <c r="E1032">
        <v>17430.97</v>
      </c>
      <c r="F1032">
        <v>106.375</v>
      </c>
      <c r="G1032">
        <v>-183</v>
      </c>
      <c r="H1032">
        <v>185.421901</v>
      </c>
      <c r="I1032">
        <v>187.046421</v>
      </c>
      <c r="J1032">
        <v>-1.62452</v>
      </c>
      <c r="K1032" s="4">
        <f t="shared" si="48"/>
        <v>-0.00868511672832275</v>
      </c>
      <c r="L1032" s="4">
        <f t="shared" si="49"/>
        <v>-0.0104985551578598</v>
      </c>
      <c r="M1032" s="18">
        <f t="shared" si="50"/>
        <v>-1.9466625</v>
      </c>
    </row>
    <row r="1033" spans="1:13">
      <c r="A1033" t="s">
        <v>13</v>
      </c>
      <c r="B1033" t="s">
        <v>2076</v>
      </c>
      <c r="C1033" t="s">
        <v>2077</v>
      </c>
      <c r="D1033">
        <v>11299.09</v>
      </c>
      <c r="E1033">
        <v>11219.09</v>
      </c>
      <c r="F1033">
        <v>101.866</v>
      </c>
      <c r="G1033">
        <v>80</v>
      </c>
      <c r="H1033">
        <v>114.284385</v>
      </c>
      <c r="I1033">
        <v>109.222687</v>
      </c>
      <c r="J1033">
        <v>5.061698</v>
      </c>
      <c r="K1033" s="4">
        <f t="shared" si="48"/>
        <v>0.0463429177493134</v>
      </c>
      <c r="L1033" s="4">
        <f t="shared" si="49"/>
        <v>0.00713070311406718</v>
      </c>
      <c r="M1033" s="18">
        <f t="shared" si="50"/>
        <v>0.814928</v>
      </c>
    </row>
    <row r="1034" spans="1:13">
      <c r="A1034" t="s">
        <v>13</v>
      </c>
      <c r="B1034" t="s">
        <v>2078</v>
      </c>
      <c r="C1034" t="s">
        <v>2079</v>
      </c>
      <c r="D1034">
        <v>2595.09</v>
      </c>
      <c r="E1034">
        <v>2641.09</v>
      </c>
      <c r="F1034">
        <v>101.821</v>
      </c>
      <c r="G1034">
        <v>-46</v>
      </c>
      <c r="H1034">
        <v>26.891858</v>
      </c>
      <c r="I1034">
        <v>26.779512</v>
      </c>
      <c r="J1034">
        <v>0.112346</v>
      </c>
      <c r="K1034" s="4">
        <f t="shared" si="48"/>
        <v>0.00419522207872944</v>
      </c>
      <c r="L1034" s="4">
        <f t="shared" si="49"/>
        <v>-0.0174170512932161</v>
      </c>
      <c r="M1034" s="18">
        <f t="shared" si="50"/>
        <v>-0.4683766</v>
      </c>
    </row>
    <row r="1035" spans="1:13">
      <c r="A1035" t="s">
        <v>13</v>
      </c>
      <c r="B1035" t="s">
        <v>2080</v>
      </c>
      <c r="C1035" t="s">
        <v>2081</v>
      </c>
      <c r="D1035">
        <v>85845.97</v>
      </c>
      <c r="E1035">
        <v>85235.97</v>
      </c>
      <c r="F1035">
        <v>12.809</v>
      </c>
      <c r="G1035">
        <v>610</v>
      </c>
      <c r="H1035">
        <v>109.178758</v>
      </c>
      <c r="I1035">
        <v>109.069175</v>
      </c>
      <c r="J1035">
        <v>0.109583</v>
      </c>
      <c r="K1035" s="4">
        <f t="shared" si="48"/>
        <v>0.00100471100106882</v>
      </c>
      <c r="L1035" s="4">
        <f t="shared" si="49"/>
        <v>0.00715660301630873</v>
      </c>
      <c r="M1035" s="18">
        <f t="shared" si="50"/>
        <v>0.781349</v>
      </c>
    </row>
    <row r="1036" spans="1:13">
      <c r="A1036" t="s">
        <v>13</v>
      </c>
      <c r="B1036" t="s">
        <v>2082</v>
      </c>
      <c r="C1036" t="s">
        <v>2083</v>
      </c>
      <c r="D1036">
        <v>12041.43</v>
      </c>
      <c r="E1036">
        <v>11821.43</v>
      </c>
      <c r="F1036">
        <v>102.21</v>
      </c>
      <c r="G1036">
        <v>220</v>
      </c>
      <c r="H1036">
        <v>120.826838</v>
      </c>
      <c r="I1036">
        <v>119.546491</v>
      </c>
      <c r="J1036">
        <v>1.280347</v>
      </c>
      <c r="K1036" s="4">
        <f t="shared" si="48"/>
        <v>0.0107100341406089</v>
      </c>
      <c r="L1036" s="4">
        <f t="shared" si="49"/>
        <v>0.0186102696543481</v>
      </c>
      <c r="M1036" s="18">
        <f t="shared" si="50"/>
        <v>2.24862</v>
      </c>
    </row>
    <row r="1037" spans="1:13">
      <c r="A1037" t="s">
        <v>13</v>
      </c>
      <c r="B1037" t="s">
        <v>2084</v>
      </c>
      <c r="C1037" t="s">
        <v>2085</v>
      </c>
      <c r="D1037">
        <v>19395.75</v>
      </c>
      <c r="E1037">
        <v>19395.75</v>
      </c>
      <c r="F1037">
        <v>102.741</v>
      </c>
      <c r="G1037">
        <v>0</v>
      </c>
      <c r="H1037">
        <v>199.273826</v>
      </c>
      <c r="I1037">
        <v>199.093542</v>
      </c>
      <c r="J1037">
        <v>0.180284</v>
      </c>
      <c r="K1037" s="4">
        <f t="shared" si="48"/>
        <v>0.000905524097813278</v>
      </c>
      <c r="L1037" s="4">
        <f t="shared" si="49"/>
        <v>0</v>
      </c>
      <c r="M1037" s="18">
        <f t="shared" si="50"/>
        <v>0</v>
      </c>
    </row>
    <row r="1038" spans="1:13">
      <c r="A1038" t="s">
        <v>13</v>
      </c>
      <c r="B1038" t="s">
        <v>2086</v>
      </c>
      <c r="C1038" t="s">
        <v>2087</v>
      </c>
      <c r="D1038">
        <v>527228.14</v>
      </c>
      <c r="E1038">
        <v>525228.14</v>
      </c>
      <c r="F1038">
        <v>10.374</v>
      </c>
      <c r="G1038">
        <v>2000</v>
      </c>
      <c r="H1038">
        <v>544.871667</v>
      </c>
      <c r="I1038">
        <v>542.535253</v>
      </c>
      <c r="J1038">
        <v>2.336414</v>
      </c>
      <c r="K1038" s="4">
        <f t="shared" si="48"/>
        <v>0.00430647407164894</v>
      </c>
      <c r="L1038" s="4">
        <f t="shared" si="49"/>
        <v>0.00380786909094398</v>
      </c>
      <c r="M1038" s="18">
        <f t="shared" si="50"/>
        <v>2.0748</v>
      </c>
    </row>
    <row r="1039" spans="1:13">
      <c r="A1039" t="s">
        <v>13</v>
      </c>
      <c r="B1039" t="s">
        <v>2088</v>
      </c>
      <c r="C1039" t="s">
        <v>2089</v>
      </c>
      <c r="D1039">
        <v>14615.65</v>
      </c>
      <c r="E1039">
        <v>14567.65</v>
      </c>
      <c r="G1039">
        <v>48</v>
      </c>
      <c r="H1039">
        <v>198.096696</v>
      </c>
      <c r="I1039">
        <v>197.411501</v>
      </c>
      <c r="J1039">
        <v>0.685195</v>
      </c>
      <c r="K1039" s="4">
        <f t="shared" si="48"/>
        <v>0.00347089706794742</v>
      </c>
      <c r="L1039" s="4">
        <f t="shared" si="49"/>
        <v>0.0032949720785439</v>
      </c>
      <c r="M1039" s="18">
        <f t="shared" si="50"/>
        <v>0</v>
      </c>
    </row>
    <row r="1040" spans="1:13">
      <c r="A1040" t="s">
        <v>13</v>
      </c>
      <c r="B1040" t="s">
        <v>2090</v>
      </c>
      <c r="C1040" t="s">
        <v>2091</v>
      </c>
      <c r="D1040">
        <v>7992.75</v>
      </c>
      <c r="E1040">
        <v>7896.75</v>
      </c>
      <c r="F1040">
        <v>120.165</v>
      </c>
      <c r="G1040">
        <v>96</v>
      </c>
      <c r="H1040">
        <v>94.891262</v>
      </c>
      <c r="I1040">
        <v>87.42756</v>
      </c>
      <c r="J1040">
        <v>7.463702</v>
      </c>
      <c r="K1040" s="4">
        <f t="shared" si="48"/>
        <v>0.0853701281380837</v>
      </c>
      <c r="L1040" s="4">
        <f t="shared" si="49"/>
        <v>0.0121568999905024</v>
      </c>
      <c r="M1040" s="18">
        <f t="shared" si="50"/>
        <v>1.153584</v>
      </c>
    </row>
    <row r="1041" spans="1:13">
      <c r="A1041" t="s">
        <v>13</v>
      </c>
      <c r="B1041" t="s">
        <v>2092</v>
      </c>
      <c r="C1041" t="s">
        <v>2093</v>
      </c>
      <c r="D1041">
        <v>74797.86</v>
      </c>
      <c r="E1041">
        <v>74802.86</v>
      </c>
      <c r="F1041">
        <v>113.557</v>
      </c>
      <c r="G1041">
        <v>-5</v>
      </c>
      <c r="H1041">
        <v>849.438878</v>
      </c>
      <c r="I1041">
        <v>850.624889</v>
      </c>
      <c r="J1041">
        <v>-1.186011</v>
      </c>
      <c r="K1041" s="4">
        <f t="shared" si="48"/>
        <v>-0.00139428203352277</v>
      </c>
      <c r="L1041" s="4">
        <f t="shared" si="49"/>
        <v>-6.68423640486473e-5</v>
      </c>
      <c r="M1041" s="18">
        <f t="shared" si="50"/>
        <v>-0.0567785</v>
      </c>
    </row>
    <row r="1042" spans="1:13">
      <c r="A1042" t="s">
        <v>13</v>
      </c>
      <c r="B1042" t="s">
        <v>2094</v>
      </c>
      <c r="C1042" t="s">
        <v>2095</v>
      </c>
      <c r="D1042">
        <v>437718.67</v>
      </c>
      <c r="E1042">
        <v>438408.67</v>
      </c>
      <c r="F1042">
        <v>14.067</v>
      </c>
      <c r="G1042">
        <v>-690</v>
      </c>
      <c r="H1042">
        <v>616.709472</v>
      </c>
      <c r="I1042">
        <v>630.298115</v>
      </c>
      <c r="J1042">
        <v>-13.588643</v>
      </c>
      <c r="K1042" s="4">
        <f t="shared" si="48"/>
        <v>-0.0215590728841066</v>
      </c>
      <c r="L1042" s="4">
        <f t="shared" si="49"/>
        <v>-0.00157387398383339</v>
      </c>
      <c r="M1042" s="18">
        <f t="shared" si="50"/>
        <v>-0.970623</v>
      </c>
    </row>
    <row r="1043" spans="1:13">
      <c r="A1043" t="s">
        <v>13</v>
      </c>
      <c r="B1043" t="s">
        <v>2096</v>
      </c>
      <c r="C1043" t="s">
        <v>2097</v>
      </c>
      <c r="D1043">
        <v>34639.65</v>
      </c>
      <c r="E1043">
        <v>34439.65</v>
      </c>
      <c r="F1043">
        <v>117.869</v>
      </c>
      <c r="G1043">
        <v>200</v>
      </c>
      <c r="H1043">
        <v>405.936695</v>
      </c>
      <c r="I1043">
        <v>403.356758</v>
      </c>
      <c r="J1043">
        <v>2.579937</v>
      </c>
      <c r="K1043" s="4">
        <f t="shared" si="48"/>
        <v>0.00639616654197721</v>
      </c>
      <c r="L1043" s="4">
        <f t="shared" si="49"/>
        <v>0.00580725994602152</v>
      </c>
      <c r="M1043" s="18">
        <f t="shared" si="50"/>
        <v>2.35738</v>
      </c>
    </row>
    <row r="1044" spans="1:13">
      <c r="A1044" t="s">
        <v>13</v>
      </c>
      <c r="B1044" t="s">
        <v>2098</v>
      </c>
      <c r="C1044" t="s">
        <v>2099</v>
      </c>
      <c r="D1044">
        <v>6666.68</v>
      </c>
      <c r="E1044">
        <v>6626.68</v>
      </c>
      <c r="F1044">
        <v>109.34</v>
      </c>
      <c r="G1044">
        <v>40</v>
      </c>
      <c r="H1044">
        <v>72.456131</v>
      </c>
      <c r="I1044">
        <v>72.221294</v>
      </c>
      <c r="J1044">
        <v>0.234837</v>
      </c>
      <c r="K1044" s="4">
        <f t="shared" si="48"/>
        <v>0.00325163102173162</v>
      </c>
      <c r="L1044" s="4">
        <f t="shared" si="49"/>
        <v>0.00603620515854093</v>
      </c>
      <c r="M1044" s="18">
        <f t="shared" si="50"/>
        <v>0.43736</v>
      </c>
    </row>
    <row r="1045" spans="1:13">
      <c r="A1045" t="s">
        <v>13</v>
      </c>
      <c r="B1045" t="s">
        <v>2100</v>
      </c>
      <c r="C1045" t="s">
        <v>2101</v>
      </c>
      <c r="D1045">
        <v>7239603.54</v>
      </c>
      <c r="E1045">
        <v>7210323.54</v>
      </c>
      <c r="G1045">
        <v>29280</v>
      </c>
      <c r="H1045">
        <v>361.958242</v>
      </c>
      <c r="I1045">
        <v>375.922257</v>
      </c>
      <c r="J1045">
        <v>-13.964015</v>
      </c>
      <c r="K1045" s="4">
        <f t="shared" si="48"/>
        <v>-0.0371460181991831</v>
      </c>
      <c r="L1045" s="4">
        <f t="shared" si="49"/>
        <v>0.0040608441268365</v>
      </c>
      <c r="M1045" s="18">
        <f t="shared" si="50"/>
        <v>0</v>
      </c>
    </row>
    <row r="1046" spans="1:13">
      <c r="A1046" t="s">
        <v>13</v>
      </c>
      <c r="B1046" t="s">
        <v>2102</v>
      </c>
      <c r="C1046" t="s">
        <v>2103</v>
      </c>
      <c r="D1046">
        <v>5010269.49</v>
      </c>
      <c r="E1046">
        <v>5049669.49</v>
      </c>
      <c r="F1046">
        <v>0.326</v>
      </c>
      <c r="G1046">
        <v>-39400</v>
      </c>
      <c r="H1046">
        <v>164.619225</v>
      </c>
      <c r="I1046">
        <v>163.201225</v>
      </c>
      <c r="J1046">
        <v>1.418</v>
      </c>
      <c r="K1046" s="4">
        <f t="shared" si="48"/>
        <v>0.0086886602720047</v>
      </c>
      <c r="L1046" s="4">
        <f t="shared" si="49"/>
        <v>-0.00780249085173295</v>
      </c>
      <c r="M1046" s="18">
        <f t="shared" si="50"/>
        <v>-1.28444</v>
      </c>
    </row>
    <row r="1047" spans="1:13">
      <c r="A1047" t="s">
        <v>13</v>
      </c>
      <c r="B1047" t="s">
        <v>2104</v>
      </c>
      <c r="C1047" t="s">
        <v>2105</v>
      </c>
      <c r="D1047">
        <v>94401.27</v>
      </c>
      <c r="E1047">
        <v>95601.27</v>
      </c>
      <c r="F1047">
        <v>1.393</v>
      </c>
      <c r="G1047">
        <v>-1200</v>
      </c>
      <c r="H1047">
        <v>13.317256</v>
      </c>
      <c r="I1047">
        <v>13.304635</v>
      </c>
      <c r="J1047">
        <v>0.012621</v>
      </c>
      <c r="K1047" s="4">
        <f t="shared" si="48"/>
        <v>0.000948616779039786</v>
      </c>
      <c r="L1047" s="4">
        <f t="shared" si="49"/>
        <v>-0.0125521345061629</v>
      </c>
      <c r="M1047" s="18">
        <f t="shared" si="50"/>
        <v>-0.16716</v>
      </c>
    </row>
    <row r="1048" spans="1:13">
      <c r="A1048" t="s">
        <v>13</v>
      </c>
      <c r="B1048" t="s">
        <v>2106</v>
      </c>
      <c r="C1048" t="s">
        <v>2107</v>
      </c>
      <c r="D1048">
        <v>4424</v>
      </c>
      <c r="E1048">
        <v>4424</v>
      </c>
      <c r="F1048">
        <v>1.126</v>
      </c>
      <c r="G1048">
        <v>0</v>
      </c>
      <c r="H1048">
        <v>0.498142</v>
      </c>
      <c r="I1048">
        <v>0.496815</v>
      </c>
      <c r="J1048">
        <v>0.001327</v>
      </c>
      <c r="K1048" s="4">
        <f t="shared" si="48"/>
        <v>0.00267101436148264</v>
      </c>
      <c r="L1048" s="4">
        <f t="shared" si="49"/>
        <v>0</v>
      </c>
      <c r="M1048" s="18">
        <f t="shared" si="50"/>
        <v>0</v>
      </c>
    </row>
    <row r="1049" spans="1:13">
      <c r="A1049" t="s">
        <v>13</v>
      </c>
      <c r="B1049" t="s">
        <v>2108</v>
      </c>
      <c r="C1049" t="s">
        <v>2109</v>
      </c>
      <c r="D1049">
        <v>386171.59</v>
      </c>
      <c r="E1049">
        <v>381771.59</v>
      </c>
      <c r="F1049">
        <v>1.172</v>
      </c>
      <c r="G1049">
        <v>4400</v>
      </c>
      <c r="H1049">
        <v>44.74363</v>
      </c>
      <c r="I1049">
        <v>45.565557</v>
      </c>
      <c r="J1049">
        <v>-0.821927</v>
      </c>
      <c r="K1049" s="4">
        <f t="shared" si="48"/>
        <v>-0.0180383397924884</v>
      </c>
      <c r="L1049" s="4">
        <f t="shared" si="49"/>
        <v>0.0115252159020005</v>
      </c>
      <c r="M1049" s="18">
        <f t="shared" si="50"/>
        <v>0.51568</v>
      </c>
    </row>
    <row r="1050" spans="1:13">
      <c r="A1050" t="s">
        <v>13</v>
      </c>
      <c r="B1050" t="s">
        <v>2110</v>
      </c>
      <c r="C1050" t="s">
        <v>2111</v>
      </c>
      <c r="D1050">
        <v>1390699.22</v>
      </c>
      <c r="E1050">
        <v>1420699.22</v>
      </c>
      <c r="F1050">
        <v>1.317</v>
      </c>
      <c r="G1050">
        <v>-30000</v>
      </c>
      <c r="H1050">
        <v>187.106087</v>
      </c>
      <c r="I1050">
        <v>187.433568</v>
      </c>
      <c r="J1050">
        <v>-0.327481</v>
      </c>
      <c r="K1050" s="4">
        <f t="shared" si="48"/>
        <v>-0.00174718436774356</v>
      </c>
      <c r="L1050" s="4">
        <f t="shared" si="49"/>
        <v>-0.0211163626879446</v>
      </c>
      <c r="M1050" s="18">
        <f t="shared" si="50"/>
        <v>-3.951</v>
      </c>
    </row>
    <row r="1051" spans="1:13">
      <c r="A1051" t="s">
        <v>13</v>
      </c>
      <c r="B1051" t="s">
        <v>2112</v>
      </c>
      <c r="C1051" t="s">
        <v>2113</v>
      </c>
      <c r="D1051">
        <v>892.8</v>
      </c>
      <c r="E1051">
        <v>892.8</v>
      </c>
      <c r="F1051">
        <v>1.282</v>
      </c>
      <c r="G1051">
        <v>0</v>
      </c>
      <c r="H1051">
        <v>0.114457</v>
      </c>
      <c r="I1051">
        <v>0.113832</v>
      </c>
      <c r="J1051">
        <v>0.000625</v>
      </c>
      <c r="K1051" s="4">
        <f t="shared" si="48"/>
        <v>0.00549054747346967</v>
      </c>
      <c r="L1051" s="4">
        <f t="shared" si="49"/>
        <v>0</v>
      </c>
      <c r="M1051" s="18">
        <f t="shared" si="50"/>
        <v>0</v>
      </c>
    </row>
    <row r="1052" spans="1:13">
      <c r="A1052" t="s">
        <v>13</v>
      </c>
      <c r="B1052" t="s">
        <v>2114</v>
      </c>
      <c r="C1052" t="s">
        <v>2115</v>
      </c>
      <c r="D1052">
        <v>1697847.97</v>
      </c>
      <c r="E1052">
        <v>1701947.97</v>
      </c>
      <c r="F1052">
        <v>0.756</v>
      </c>
      <c r="G1052">
        <v>-4100</v>
      </c>
      <c r="H1052">
        <v>128.667266</v>
      </c>
      <c r="I1052">
        <v>134.686085</v>
      </c>
      <c r="J1052">
        <v>-6.018819</v>
      </c>
      <c r="K1052" s="4">
        <f t="shared" si="48"/>
        <v>-0.0446877567196344</v>
      </c>
      <c r="L1052" s="4">
        <f t="shared" si="49"/>
        <v>-0.00240900431286392</v>
      </c>
      <c r="M1052" s="18">
        <f t="shared" si="50"/>
        <v>-0.30996</v>
      </c>
    </row>
    <row r="1053" spans="1:13">
      <c r="A1053" t="s">
        <v>13</v>
      </c>
      <c r="B1053" t="s">
        <v>2116</v>
      </c>
      <c r="C1053" t="s">
        <v>2117</v>
      </c>
      <c r="D1053">
        <v>53918.61</v>
      </c>
      <c r="E1053">
        <v>53618.61</v>
      </c>
      <c r="F1053">
        <v>1.413</v>
      </c>
      <c r="G1053">
        <v>300</v>
      </c>
      <c r="H1053">
        <v>7.576309</v>
      </c>
      <c r="I1053">
        <v>7.517329</v>
      </c>
      <c r="J1053">
        <v>0.05898</v>
      </c>
      <c r="K1053" s="4">
        <f t="shared" si="48"/>
        <v>0.00784587185155791</v>
      </c>
      <c r="L1053" s="4">
        <f t="shared" si="49"/>
        <v>0.00559507230791697</v>
      </c>
      <c r="M1053" s="18">
        <f t="shared" si="50"/>
        <v>0.04239</v>
      </c>
    </row>
    <row r="1054" spans="1:13">
      <c r="A1054" t="s">
        <v>13</v>
      </c>
      <c r="B1054" t="s">
        <v>2118</v>
      </c>
      <c r="C1054" t="s">
        <v>2119</v>
      </c>
      <c r="D1054">
        <v>31359.23</v>
      </c>
      <c r="E1054">
        <v>31159.23</v>
      </c>
      <c r="F1054">
        <v>2.101</v>
      </c>
      <c r="G1054">
        <v>200</v>
      </c>
      <c r="H1054">
        <v>6.546555</v>
      </c>
      <c r="I1054">
        <v>6.537207</v>
      </c>
      <c r="J1054">
        <v>0.009348</v>
      </c>
      <c r="K1054" s="4">
        <f t="shared" si="48"/>
        <v>0.00142996848654173</v>
      </c>
      <c r="L1054" s="4">
        <f t="shared" si="49"/>
        <v>0.00641864384967151</v>
      </c>
      <c r="M1054" s="18">
        <f t="shared" si="50"/>
        <v>0.04202</v>
      </c>
    </row>
    <row r="1055" spans="1:13">
      <c r="A1055" t="s">
        <v>13</v>
      </c>
      <c r="B1055" t="s">
        <v>2120</v>
      </c>
      <c r="C1055" t="s">
        <v>2121</v>
      </c>
      <c r="D1055">
        <v>323321.76</v>
      </c>
      <c r="E1055">
        <v>324321.76</v>
      </c>
      <c r="F1055">
        <v>3.544</v>
      </c>
      <c r="G1055">
        <v>-1000</v>
      </c>
      <c r="H1055">
        <v>114.939633</v>
      </c>
      <c r="I1055">
        <v>112.298949</v>
      </c>
      <c r="J1055">
        <v>2.640684</v>
      </c>
      <c r="K1055" s="4">
        <f t="shared" si="48"/>
        <v>0.0235147703831137</v>
      </c>
      <c r="L1055" s="4">
        <f t="shared" si="49"/>
        <v>-0.00308335771241498</v>
      </c>
      <c r="M1055" s="18">
        <f t="shared" si="50"/>
        <v>-0.3544</v>
      </c>
    </row>
    <row r="1056" spans="1:13">
      <c r="A1056" t="s">
        <v>13</v>
      </c>
      <c r="B1056" t="s">
        <v>2122</v>
      </c>
      <c r="C1056" t="s">
        <v>2123</v>
      </c>
      <c r="D1056">
        <v>85724.19</v>
      </c>
      <c r="E1056">
        <v>85024.19</v>
      </c>
      <c r="F1056">
        <v>0.402</v>
      </c>
      <c r="G1056">
        <v>700</v>
      </c>
      <c r="H1056">
        <v>3.417973</v>
      </c>
      <c r="I1056">
        <v>3.346013</v>
      </c>
      <c r="J1056">
        <v>0.07196</v>
      </c>
      <c r="K1056" s="4">
        <f t="shared" si="48"/>
        <v>0.0215061925939917</v>
      </c>
      <c r="L1056" s="4">
        <f t="shared" si="49"/>
        <v>0.00823295111661752</v>
      </c>
      <c r="M1056" s="18">
        <f t="shared" si="50"/>
        <v>0.02814</v>
      </c>
    </row>
    <row r="1057" spans="1:13">
      <c r="A1057" t="s">
        <v>13</v>
      </c>
      <c r="B1057" t="s">
        <v>2124</v>
      </c>
      <c r="C1057" t="s">
        <v>2125</v>
      </c>
      <c r="D1057">
        <v>1389.5</v>
      </c>
      <c r="E1057">
        <v>1389.5</v>
      </c>
      <c r="F1057">
        <v>1.146</v>
      </c>
      <c r="G1057">
        <v>0</v>
      </c>
      <c r="H1057">
        <v>0.159237</v>
      </c>
      <c r="I1057">
        <v>0.171888</v>
      </c>
      <c r="J1057">
        <v>-0.012651</v>
      </c>
      <c r="K1057" s="4">
        <f t="shared" si="48"/>
        <v>-0.0736002513264451</v>
      </c>
      <c r="L1057" s="4">
        <f t="shared" si="49"/>
        <v>0</v>
      </c>
      <c r="M1057" s="18">
        <f t="shared" si="50"/>
        <v>0</v>
      </c>
    </row>
    <row r="1058" spans="1:13">
      <c r="A1058" t="s">
        <v>13</v>
      </c>
      <c r="B1058" t="s">
        <v>2126</v>
      </c>
      <c r="C1058" t="s">
        <v>2127</v>
      </c>
      <c r="D1058">
        <v>16504.9</v>
      </c>
      <c r="E1058">
        <v>16204.9</v>
      </c>
      <c r="F1058">
        <v>0.962</v>
      </c>
      <c r="G1058">
        <v>300</v>
      </c>
      <c r="H1058">
        <v>1.558911</v>
      </c>
      <c r="I1058">
        <v>1.612388</v>
      </c>
      <c r="J1058">
        <v>-0.053477</v>
      </c>
      <c r="K1058" s="4">
        <f t="shared" si="48"/>
        <v>-0.0331663346539419</v>
      </c>
      <c r="L1058" s="4">
        <f t="shared" si="49"/>
        <v>0.0185129189319281</v>
      </c>
      <c r="M1058" s="18">
        <f t="shared" si="50"/>
        <v>0.02886</v>
      </c>
    </row>
    <row r="1059" spans="1:13">
      <c r="A1059" t="s">
        <v>13</v>
      </c>
      <c r="B1059" t="s">
        <v>2128</v>
      </c>
      <c r="C1059" t="s">
        <v>2129</v>
      </c>
      <c r="D1059">
        <v>1907.34</v>
      </c>
      <c r="E1059">
        <v>1907.34</v>
      </c>
      <c r="F1059">
        <v>1.983</v>
      </c>
      <c r="G1059">
        <v>0</v>
      </c>
      <c r="H1059">
        <v>0.378225</v>
      </c>
      <c r="I1059">
        <v>0.375936</v>
      </c>
      <c r="J1059">
        <v>0.002289</v>
      </c>
      <c r="K1059" s="4">
        <f t="shared" si="48"/>
        <v>0.00608880234933606</v>
      </c>
      <c r="L1059" s="4">
        <f t="shared" si="49"/>
        <v>0</v>
      </c>
      <c r="M1059" s="18">
        <f t="shared" si="50"/>
        <v>0</v>
      </c>
    </row>
    <row r="1060" spans="1:13">
      <c r="A1060" t="s">
        <v>13</v>
      </c>
      <c r="B1060" t="s">
        <v>2130</v>
      </c>
      <c r="C1060" t="s">
        <v>2131</v>
      </c>
      <c r="D1060">
        <v>12177.78</v>
      </c>
      <c r="E1060">
        <v>12377.78</v>
      </c>
      <c r="F1060">
        <v>1.613</v>
      </c>
      <c r="G1060">
        <v>-200</v>
      </c>
      <c r="H1060">
        <v>1.996536</v>
      </c>
      <c r="I1060">
        <v>1.984158</v>
      </c>
      <c r="J1060">
        <v>0.012378</v>
      </c>
      <c r="K1060" s="4">
        <f t="shared" si="48"/>
        <v>0.00623841448110483</v>
      </c>
      <c r="L1060" s="4">
        <f t="shared" si="49"/>
        <v>-0.016157986327112</v>
      </c>
      <c r="M1060" s="18">
        <f t="shared" si="50"/>
        <v>-0.03226</v>
      </c>
    </row>
    <row r="1061" spans="1:13">
      <c r="A1061" t="s">
        <v>13</v>
      </c>
      <c r="B1061" t="s">
        <v>2132</v>
      </c>
      <c r="C1061" t="s">
        <v>2133</v>
      </c>
      <c r="D1061">
        <v>8531682.05</v>
      </c>
      <c r="E1061">
        <v>8566182.05</v>
      </c>
      <c r="F1061">
        <v>0.296</v>
      </c>
      <c r="G1061">
        <v>-34500</v>
      </c>
      <c r="H1061">
        <v>253.558989</v>
      </c>
      <c r="I1061">
        <v>252.721872</v>
      </c>
      <c r="J1061">
        <v>0.837117</v>
      </c>
      <c r="K1061" s="4">
        <f t="shared" si="48"/>
        <v>0.00331240423860108</v>
      </c>
      <c r="L1061" s="4">
        <f t="shared" si="49"/>
        <v>-0.004027465187948</v>
      </c>
      <c r="M1061" s="18">
        <f t="shared" si="50"/>
        <v>-1.0212</v>
      </c>
    </row>
    <row r="1062" spans="1:13">
      <c r="A1062" t="s">
        <v>13</v>
      </c>
      <c r="B1062" t="s">
        <v>2134</v>
      </c>
      <c r="C1062" t="s">
        <v>2135</v>
      </c>
      <c r="D1062">
        <v>4804.8</v>
      </c>
      <c r="E1062">
        <v>4804.8</v>
      </c>
      <c r="F1062">
        <v>1.808</v>
      </c>
      <c r="G1062">
        <v>0</v>
      </c>
      <c r="H1062">
        <v>0.868708</v>
      </c>
      <c r="I1062">
        <v>0.865825</v>
      </c>
      <c r="J1062">
        <v>0.002883</v>
      </c>
      <c r="K1062" s="4">
        <f t="shared" si="48"/>
        <v>0.00332977218260041</v>
      </c>
      <c r="L1062" s="4">
        <f t="shared" si="49"/>
        <v>0</v>
      </c>
      <c r="M1062" s="18">
        <f t="shared" si="50"/>
        <v>0</v>
      </c>
    </row>
    <row r="1063" spans="1:13">
      <c r="A1063" t="s">
        <v>13</v>
      </c>
      <c r="B1063" t="s">
        <v>2136</v>
      </c>
      <c r="C1063" t="s">
        <v>2137</v>
      </c>
      <c r="D1063">
        <v>15881.84</v>
      </c>
      <c r="E1063">
        <v>15951.84</v>
      </c>
      <c r="F1063">
        <v>2.827</v>
      </c>
      <c r="G1063">
        <v>-70</v>
      </c>
      <c r="H1063">
        <v>4.509586</v>
      </c>
      <c r="I1063">
        <v>4.541489</v>
      </c>
      <c r="J1063">
        <v>-0.031903</v>
      </c>
      <c r="K1063" s="4">
        <f t="shared" si="48"/>
        <v>-0.00702478856604079</v>
      </c>
      <c r="L1063" s="4">
        <f t="shared" si="49"/>
        <v>-0.0043882085076079</v>
      </c>
      <c r="M1063" s="18">
        <f t="shared" si="50"/>
        <v>-0.019789</v>
      </c>
    </row>
    <row r="1064" spans="1:13">
      <c r="A1064" t="s">
        <v>13</v>
      </c>
      <c r="B1064" t="s">
        <v>2138</v>
      </c>
      <c r="C1064" t="s">
        <v>2139</v>
      </c>
      <c r="D1064">
        <v>287784.79</v>
      </c>
      <c r="E1064">
        <v>300459.79</v>
      </c>
      <c r="F1064">
        <v>1.243</v>
      </c>
      <c r="G1064">
        <v>-12675</v>
      </c>
      <c r="H1064">
        <v>37.347152</v>
      </c>
      <c r="I1064">
        <v>40.772026</v>
      </c>
      <c r="J1064">
        <v>-3.424874</v>
      </c>
      <c r="K1064" s="4">
        <f t="shared" si="48"/>
        <v>-0.0840005841259887</v>
      </c>
      <c r="L1064" s="4">
        <f t="shared" si="49"/>
        <v>-0.0421853453335636</v>
      </c>
      <c r="M1064" s="18">
        <f t="shared" si="50"/>
        <v>-1.5755025</v>
      </c>
    </row>
    <row r="1065" spans="1:13">
      <c r="A1065" t="s">
        <v>13</v>
      </c>
      <c r="B1065" t="s">
        <v>2140</v>
      </c>
      <c r="C1065" t="s">
        <v>2141</v>
      </c>
      <c r="D1065">
        <v>17546.76</v>
      </c>
      <c r="E1065">
        <v>17546.76</v>
      </c>
      <c r="G1065">
        <v>0</v>
      </c>
      <c r="H1065">
        <v>8.34875</v>
      </c>
      <c r="I1065">
        <v>8.069757</v>
      </c>
      <c r="J1065">
        <v>0.278993</v>
      </c>
      <c r="K1065" s="4">
        <f t="shared" si="48"/>
        <v>0.034572664331776</v>
      </c>
      <c r="L1065" s="4">
        <f t="shared" si="49"/>
        <v>0</v>
      </c>
      <c r="M1065" s="18">
        <f t="shared" si="50"/>
        <v>0</v>
      </c>
    </row>
    <row r="1066" spans="1:13">
      <c r="A1066" t="s">
        <v>13</v>
      </c>
      <c r="B1066" t="s">
        <v>2142</v>
      </c>
      <c r="C1066" t="s">
        <v>2143</v>
      </c>
      <c r="D1066">
        <v>2018.6</v>
      </c>
      <c r="E1066">
        <v>2018.6</v>
      </c>
      <c r="G1066">
        <v>0</v>
      </c>
      <c r="H1066">
        <v>0.240617</v>
      </c>
      <c r="I1066">
        <v>0.240415</v>
      </c>
      <c r="J1066">
        <v>0.000202</v>
      </c>
      <c r="K1066" s="4">
        <f t="shared" si="48"/>
        <v>0.000840213796976062</v>
      </c>
      <c r="L1066" s="4">
        <f t="shared" si="49"/>
        <v>0</v>
      </c>
      <c r="M1066" s="18">
        <f t="shared" si="50"/>
        <v>0</v>
      </c>
    </row>
    <row r="1067" spans="1:13">
      <c r="A1067" t="s">
        <v>13</v>
      </c>
      <c r="B1067" t="s">
        <v>2144</v>
      </c>
      <c r="C1067" t="s">
        <v>2145</v>
      </c>
      <c r="D1067">
        <v>13910.01</v>
      </c>
      <c r="E1067">
        <v>14060.01</v>
      </c>
      <c r="F1067">
        <v>1.273</v>
      </c>
      <c r="G1067">
        <v>-150</v>
      </c>
      <c r="H1067">
        <v>1.789839</v>
      </c>
      <c r="I1067">
        <v>1.804671</v>
      </c>
      <c r="J1067">
        <v>-0.014832</v>
      </c>
      <c r="K1067" s="4">
        <f t="shared" si="48"/>
        <v>-0.00821867254474638</v>
      </c>
      <c r="L1067" s="4">
        <f t="shared" si="49"/>
        <v>-0.0106685557122648</v>
      </c>
      <c r="M1067" s="18">
        <f t="shared" si="50"/>
        <v>-0.019095</v>
      </c>
    </row>
    <row r="1068" spans="1:13">
      <c r="A1068" t="s">
        <v>13</v>
      </c>
      <c r="B1068" t="s">
        <v>2146</v>
      </c>
      <c r="C1068" t="s">
        <v>2147</v>
      </c>
      <c r="D1068">
        <v>2129.77</v>
      </c>
      <c r="E1068">
        <v>2129.77</v>
      </c>
      <c r="F1068">
        <v>1.978</v>
      </c>
      <c r="G1068">
        <v>0</v>
      </c>
      <c r="H1068">
        <v>0.421269</v>
      </c>
      <c r="I1068">
        <v>0.423186</v>
      </c>
      <c r="J1068">
        <v>-0.001917</v>
      </c>
      <c r="K1068" s="4">
        <f t="shared" si="48"/>
        <v>-0.00452992301257603</v>
      </c>
      <c r="L1068" s="4">
        <f t="shared" si="49"/>
        <v>0</v>
      </c>
      <c r="M1068" s="18">
        <f t="shared" si="50"/>
        <v>0</v>
      </c>
    </row>
    <row r="1069" spans="1:13">
      <c r="A1069" t="s">
        <v>13</v>
      </c>
      <c r="B1069" t="s">
        <v>2148</v>
      </c>
      <c r="C1069" t="s">
        <v>2149</v>
      </c>
      <c r="D1069">
        <v>402882.07</v>
      </c>
      <c r="E1069">
        <v>406282.07</v>
      </c>
      <c r="F1069">
        <v>0.876</v>
      </c>
      <c r="G1069">
        <v>-3400</v>
      </c>
      <c r="H1069">
        <v>35.590309</v>
      </c>
      <c r="I1069">
        <v>35.008865</v>
      </c>
      <c r="J1069">
        <v>0.581444</v>
      </c>
      <c r="K1069" s="4">
        <f t="shared" si="48"/>
        <v>0.016608479023813</v>
      </c>
      <c r="L1069" s="4">
        <f t="shared" si="49"/>
        <v>-0.00836857014142908</v>
      </c>
      <c r="M1069" s="18">
        <f t="shared" si="50"/>
        <v>-0.29784</v>
      </c>
    </row>
    <row r="1070" spans="1:13">
      <c r="A1070" t="s">
        <v>13</v>
      </c>
      <c r="B1070" t="s">
        <v>2150</v>
      </c>
      <c r="C1070" t="s">
        <v>2151</v>
      </c>
      <c r="D1070">
        <v>36268.8</v>
      </c>
      <c r="E1070">
        <v>36568.8</v>
      </c>
      <c r="F1070">
        <v>2.106</v>
      </c>
      <c r="G1070">
        <v>-300</v>
      </c>
      <c r="H1070">
        <v>7.701389</v>
      </c>
      <c r="I1070">
        <v>7.583912</v>
      </c>
      <c r="J1070">
        <v>0.117477</v>
      </c>
      <c r="K1070" s="4">
        <f t="shared" si="48"/>
        <v>0.0154902904991514</v>
      </c>
      <c r="L1070" s="4">
        <f t="shared" si="49"/>
        <v>-0.00820371464198989</v>
      </c>
      <c r="M1070" s="18">
        <f t="shared" si="50"/>
        <v>-0.06318</v>
      </c>
    </row>
    <row r="1071" spans="1:13">
      <c r="A1071" t="s">
        <v>13</v>
      </c>
      <c r="B1071" t="s">
        <v>2152</v>
      </c>
      <c r="C1071" t="s">
        <v>2153</v>
      </c>
      <c r="D1071">
        <v>2733.77</v>
      </c>
      <c r="E1071">
        <v>2733.77</v>
      </c>
      <c r="F1071">
        <v>1.908</v>
      </c>
      <c r="G1071">
        <v>0</v>
      </c>
      <c r="H1071">
        <v>0.521603</v>
      </c>
      <c r="I1071">
        <v>0.520237</v>
      </c>
      <c r="J1071">
        <v>0.001366</v>
      </c>
      <c r="K1071" s="4">
        <f t="shared" si="48"/>
        <v>0.00262572635164358</v>
      </c>
      <c r="L1071" s="4">
        <f t="shared" si="49"/>
        <v>0</v>
      </c>
      <c r="M1071" s="18">
        <f t="shared" si="50"/>
        <v>0</v>
      </c>
    </row>
    <row r="1072" spans="1:13">
      <c r="A1072" t="s">
        <v>13</v>
      </c>
      <c r="B1072" t="s">
        <v>2154</v>
      </c>
      <c r="C1072" t="s">
        <v>2155</v>
      </c>
      <c r="D1072">
        <v>36231.3</v>
      </c>
      <c r="E1072">
        <v>36831.3</v>
      </c>
      <c r="F1072">
        <v>1.259</v>
      </c>
      <c r="G1072">
        <v>-600</v>
      </c>
      <c r="H1072">
        <v>4.637061</v>
      </c>
      <c r="I1072">
        <v>4.791413</v>
      </c>
      <c r="J1072">
        <v>-0.154352</v>
      </c>
      <c r="K1072" s="4">
        <f t="shared" si="48"/>
        <v>-0.0322142967012028</v>
      </c>
      <c r="L1072" s="4">
        <f t="shared" si="49"/>
        <v>-0.0162904920543125</v>
      </c>
      <c r="M1072" s="18">
        <f t="shared" si="50"/>
        <v>-0.07554</v>
      </c>
    </row>
    <row r="1073" spans="1:13">
      <c r="A1073" t="s">
        <v>13</v>
      </c>
      <c r="B1073" t="s">
        <v>2156</v>
      </c>
      <c r="C1073" t="s">
        <v>2157</v>
      </c>
      <c r="D1073">
        <v>6980.56</v>
      </c>
      <c r="E1073">
        <v>7280.56</v>
      </c>
      <c r="F1073">
        <v>1.716</v>
      </c>
      <c r="G1073">
        <v>-300</v>
      </c>
      <c r="H1073">
        <v>1.249344</v>
      </c>
      <c r="I1073">
        <v>1.241335</v>
      </c>
      <c r="J1073">
        <v>0.008009</v>
      </c>
      <c r="K1073" s="4">
        <f t="shared" si="48"/>
        <v>0.00645192474231372</v>
      </c>
      <c r="L1073" s="4">
        <f t="shared" si="49"/>
        <v>-0.0412056215455954</v>
      </c>
      <c r="M1073" s="18">
        <f t="shared" si="50"/>
        <v>-0.05148</v>
      </c>
    </row>
    <row r="1074" spans="1:13">
      <c r="A1074" t="s">
        <v>13</v>
      </c>
      <c r="B1074" t="s">
        <v>2158</v>
      </c>
      <c r="C1074" t="s">
        <v>2159</v>
      </c>
      <c r="D1074">
        <v>1868.2</v>
      </c>
      <c r="E1074">
        <v>1868.2</v>
      </c>
      <c r="F1074">
        <v>1.275</v>
      </c>
      <c r="G1074">
        <v>0</v>
      </c>
      <c r="H1074">
        <v>0.238195</v>
      </c>
      <c r="I1074">
        <v>0.238756</v>
      </c>
      <c r="J1074">
        <v>-0.000561</v>
      </c>
      <c r="K1074" s="4">
        <f t="shared" si="48"/>
        <v>-0.0023496791703664</v>
      </c>
      <c r="L1074" s="4">
        <f t="shared" si="49"/>
        <v>0</v>
      </c>
      <c r="M1074" s="18">
        <f t="shared" si="50"/>
        <v>0</v>
      </c>
    </row>
    <row r="1075" spans="1:13">
      <c r="A1075" t="s">
        <v>13</v>
      </c>
      <c r="B1075" t="s">
        <v>2160</v>
      </c>
      <c r="C1075" t="s">
        <v>2161</v>
      </c>
      <c r="D1075">
        <v>1299703.9</v>
      </c>
      <c r="E1075">
        <v>1326203.9</v>
      </c>
      <c r="F1075">
        <v>2.05</v>
      </c>
      <c r="G1075">
        <v>-26500</v>
      </c>
      <c r="H1075">
        <v>271.8718</v>
      </c>
      <c r="I1075">
        <v>274.163723</v>
      </c>
      <c r="J1075">
        <v>-2.291923</v>
      </c>
      <c r="K1075" s="4">
        <f t="shared" si="48"/>
        <v>-0.00835968732449698</v>
      </c>
      <c r="L1075" s="4">
        <f t="shared" si="49"/>
        <v>-0.0199818444207561</v>
      </c>
      <c r="M1075" s="18">
        <f t="shared" si="50"/>
        <v>-5.4325</v>
      </c>
    </row>
    <row r="1076" spans="1:13">
      <c r="A1076" t="s">
        <v>13</v>
      </c>
      <c r="B1076" t="s">
        <v>2162</v>
      </c>
      <c r="C1076" t="s">
        <v>2163</v>
      </c>
      <c r="D1076">
        <v>3272</v>
      </c>
      <c r="E1076">
        <v>3272</v>
      </c>
      <c r="F1076">
        <v>0.953</v>
      </c>
      <c r="G1076">
        <v>0</v>
      </c>
      <c r="H1076">
        <v>0.311822</v>
      </c>
      <c r="I1076">
        <v>0.325735</v>
      </c>
      <c r="J1076">
        <v>-0.013913</v>
      </c>
      <c r="K1076" s="4">
        <f t="shared" si="48"/>
        <v>-0.0427126345035075</v>
      </c>
      <c r="L1076" s="4">
        <f t="shared" si="49"/>
        <v>0</v>
      </c>
      <c r="M1076" s="18">
        <f t="shared" si="50"/>
        <v>0</v>
      </c>
    </row>
    <row r="1077" spans="1:13">
      <c r="A1077" t="s">
        <v>13</v>
      </c>
      <c r="B1077" t="s">
        <v>2164</v>
      </c>
      <c r="C1077" t="s">
        <v>2165</v>
      </c>
      <c r="D1077">
        <v>12186.7</v>
      </c>
      <c r="E1077">
        <v>12036.7</v>
      </c>
      <c r="G1077">
        <v>150</v>
      </c>
      <c r="H1077">
        <v>0.974973</v>
      </c>
      <c r="I1077">
        <v>0.962984</v>
      </c>
      <c r="J1077">
        <v>0.011989</v>
      </c>
      <c r="K1077" s="4">
        <f t="shared" si="48"/>
        <v>0.012449843403421</v>
      </c>
      <c r="L1077" s="4">
        <f t="shared" si="49"/>
        <v>0.0124618873943855</v>
      </c>
      <c r="M1077" s="18">
        <f t="shared" si="50"/>
        <v>0</v>
      </c>
    </row>
    <row r="1078" spans="1:13">
      <c r="A1078" t="s">
        <v>13</v>
      </c>
      <c r="B1078" t="s">
        <v>2166</v>
      </c>
      <c r="C1078" t="s">
        <v>2167</v>
      </c>
      <c r="D1078">
        <v>16082.3</v>
      </c>
      <c r="E1078">
        <v>16082.3</v>
      </c>
      <c r="F1078">
        <v>1.056</v>
      </c>
      <c r="G1078">
        <v>0</v>
      </c>
      <c r="H1078">
        <v>1.698291</v>
      </c>
      <c r="I1078">
        <v>1.725033</v>
      </c>
      <c r="J1078">
        <v>-0.026742</v>
      </c>
      <c r="K1078" s="4">
        <f t="shared" si="48"/>
        <v>-0.015502312129681</v>
      </c>
      <c r="L1078" s="4">
        <f t="shared" si="49"/>
        <v>0</v>
      </c>
      <c r="M1078" s="18">
        <f t="shared" si="50"/>
        <v>0</v>
      </c>
    </row>
    <row r="1079" spans="1:13">
      <c r="A1079" t="s">
        <v>13</v>
      </c>
      <c r="B1079" t="s">
        <v>2168</v>
      </c>
      <c r="C1079" t="s">
        <v>2169</v>
      </c>
      <c r="D1079">
        <v>824900.36</v>
      </c>
      <c r="E1079">
        <v>825100.36</v>
      </c>
      <c r="F1079">
        <v>2.481</v>
      </c>
      <c r="G1079">
        <v>-200</v>
      </c>
      <c r="H1079">
        <v>204.707399</v>
      </c>
      <c r="I1079">
        <v>199.386196</v>
      </c>
      <c r="J1079">
        <v>5.321203</v>
      </c>
      <c r="K1079" s="4">
        <f t="shared" si="48"/>
        <v>0.0266879207625788</v>
      </c>
      <c r="L1079" s="4">
        <f t="shared" si="49"/>
        <v>-0.000242394755469504</v>
      </c>
      <c r="M1079" s="18">
        <f t="shared" si="50"/>
        <v>-0.04962</v>
      </c>
    </row>
    <row r="1080" spans="1:13">
      <c r="A1080" t="s">
        <v>13</v>
      </c>
      <c r="B1080" t="s">
        <v>2170</v>
      </c>
      <c r="C1080" t="s">
        <v>2171</v>
      </c>
      <c r="D1080">
        <v>161200.88</v>
      </c>
      <c r="E1080">
        <v>162160.88</v>
      </c>
      <c r="F1080">
        <v>4.898</v>
      </c>
      <c r="G1080">
        <v>-960</v>
      </c>
      <c r="H1080">
        <v>79.426399</v>
      </c>
      <c r="I1080">
        <v>77.977659</v>
      </c>
      <c r="J1080">
        <v>1.44874</v>
      </c>
      <c r="K1080" s="4">
        <f t="shared" si="48"/>
        <v>0.0185789111724936</v>
      </c>
      <c r="L1080" s="4">
        <f t="shared" si="49"/>
        <v>-0.00592004680783676</v>
      </c>
      <c r="M1080" s="18">
        <f t="shared" si="50"/>
        <v>-0.470208</v>
      </c>
    </row>
    <row r="1081" spans="1:13">
      <c r="A1081" t="s">
        <v>13</v>
      </c>
      <c r="B1081" t="s">
        <v>2172</v>
      </c>
      <c r="C1081" t="s">
        <v>2173</v>
      </c>
      <c r="D1081">
        <v>41392.98</v>
      </c>
      <c r="E1081">
        <v>41542.98</v>
      </c>
      <c r="F1081">
        <v>2.57</v>
      </c>
      <c r="G1081">
        <v>-150</v>
      </c>
      <c r="H1081">
        <v>10.676546</v>
      </c>
      <c r="I1081">
        <v>10.623371</v>
      </c>
      <c r="J1081">
        <v>0.053175</v>
      </c>
      <c r="K1081" s="4">
        <f t="shared" si="48"/>
        <v>0.00500547330974321</v>
      </c>
      <c r="L1081" s="4">
        <f t="shared" si="49"/>
        <v>-0.00361071834519334</v>
      </c>
      <c r="M1081" s="18">
        <f t="shared" si="50"/>
        <v>-0.03855</v>
      </c>
    </row>
    <row r="1082" spans="1:13">
      <c r="A1082" t="s">
        <v>13</v>
      </c>
      <c r="B1082" t="s">
        <v>2174</v>
      </c>
      <c r="C1082" t="s">
        <v>2175</v>
      </c>
      <c r="D1082">
        <v>4205.64</v>
      </c>
      <c r="E1082">
        <v>4205.64</v>
      </c>
      <c r="F1082">
        <v>1.547</v>
      </c>
      <c r="G1082">
        <v>0</v>
      </c>
      <c r="H1082">
        <v>0.650612</v>
      </c>
      <c r="I1082">
        <v>0.64851</v>
      </c>
      <c r="J1082">
        <v>0.002102</v>
      </c>
      <c r="K1082" s="4">
        <f t="shared" si="48"/>
        <v>0.0032412761561117</v>
      </c>
      <c r="L1082" s="4">
        <f t="shared" si="49"/>
        <v>0</v>
      </c>
      <c r="M1082" s="18">
        <f t="shared" si="50"/>
        <v>0</v>
      </c>
    </row>
    <row r="1083" spans="1:13">
      <c r="A1083" t="s">
        <v>13</v>
      </c>
      <c r="B1083" t="s">
        <v>2176</v>
      </c>
      <c r="C1083" t="s">
        <v>2177</v>
      </c>
      <c r="D1083">
        <v>10550.2</v>
      </c>
      <c r="E1083">
        <v>10550.2</v>
      </c>
      <c r="F1083">
        <v>1.514</v>
      </c>
      <c r="G1083">
        <v>0</v>
      </c>
      <c r="H1083">
        <v>1.5973</v>
      </c>
      <c r="I1083">
        <v>1.626841</v>
      </c>
      <c r="J1083">
        <v>-0.029541</v>
      </c>
      <c r="K1083" s="4">
        <f t="shared" si="48"/>
        <v>-0.0181585047340213</v>
      </c>
      <c r="L1083" s="4">
        <f t="shared" si="49"/>
        <v>0</v>
      </c>
      <c r="M1083" s="18">
        <f t="shared" si="50"/>
        <v>0</v>
      </c>
    </row>
    <row r="1084" spans="1:13">
      <c r="A1084" t="s">
        <v>13</v>
      </c>
      <c r="B1084" t="s">
        <v>2178</v>
      </c>
      <c r="C1084" t="s">
        <v>2179</v>
      </c>
      <c r="D1084">
        <v>10990.6</v>
      </c>
      <c r="E1084">
        <v>11290.6</v>
      </c>
      <c r="F1084">
        <v>1.898</v>
      </c>
      <c r="G1084">
        <v>-300</v>
      </c>
      <c r="H1084">
        <v>2.142955</v>
      </c>
      <c r="I1084">
        <v>2.136181</v>
      </c>
      <c r="J1084">
        <v>0.006774</v>
      </c>
      <c r="K1084" s="4">
        <f t="shared" si="48"/>
        <v>0.00317107960420957</v>
      </c>
      <c r="L1084" s="4">
        <f t="shared" si="49"/>
        <v>-0.0265707756895116</v>
      </c>
      <c r="M1084" s="18">
        <f t="shared" si="50"/>
        <v>-0.05694</v>
      </c>
    </row>
    <row r="1085" spans="1:13">
      <c r="A1085" t="s">
        <v>13</v>
      </c>
      <c r="B1085" t="s">
        <v>2180</v>
      </c>
      <c r="C1085" t="s">
        <v>2181</v>
      </c>
      <c r="D1085">
        <v>81612.7</v>
      </c>
      <c r="E1085">
        <v>81912.7</v>
      </c>
      <c r="F1085">
        <v>0.806</v>
      </c>
      <c r="G1085">
        <v>-300</v>
      </c>
      <c r="H1085">
        <v>6.602164</v>
      </c>
      <c r="I1085">
        <v>6.569701</v>
      </c>
      <c r="J1085">
        <v>0.032463</v>
      </c>
      <c r="K1085" s="4">
        <f t="shared" si="48"/>
        <v>0.0049413207693927</v>
      </c>
      <c r="L1085" s="4">
        <f t="shared" si="49"/>
        <v>-0.00366243573951292</v>
      </c>
      <c r="M1085" s="18">
        <f t="shared" si="50"/>
        <v>-0.02418</v>
      </c>
    </row>
    <row r="1086" spans="1:13">
      <c r="A1086" t="s">
        <v>13</v>
      </c>
      <c r="B1086" t="s">
        <v>2182</v>
      </c>
      <c r="C1086" t="s">
        <v>2183</v>
      </c>
      <c r="D1086">
        <v>288980.61</v>
      </c>
      <c r="E1086">
        <v>288880.61</v>
      </c>
      <c r="F1086">
        <v>1.056</v>
      </c>
      <c r="G1086">
        <v>100</v>
      </c>
      <c r="H1086">
        <v>30.505792</v>
      </c>
      <c r="I1086">
        <v>31.520892</v>
      </c>
      <c r="J1086">
        <v>-1.0151</v>
      </c>
      <c r="K1086" s="4">
        <f t="shared" si="48"/>
        <v>-0.0322040378806539</v>
      </c>
      <c r="L1086" s="4">
        <f t="shared" si="49"/>
        <v>0.000346163766408552</v>
      </c>
      <c r="M1086" s="18">
        <f t="shared" si="50"/>
        <v>0.01056</v>
      </c>
    </row>
    <row r="1087" spans="1:13">
      <c r="A1087" t="s">
        <v>13</v>
      </c>
      <c r="B1087" t="s">
        <v>2184</v>
      </c>
      <c r="C1087" t="s">
        <v>2185</v>
      </c>
      <c r="D1087">
        <v>59307.17</v>
      </c>
      <c r="E1087">
        <v>59307.17</v>
      </c>
      <c r="F1087">
        <v>1.343</v>
      </c>
      <c r="G1087">
        <v>0</v>
      </c>
      <c r="H1087">
        <v>7.964952</v>
      </c>
      <c r="I1087">
        <v>8.071705</v>
      </c>
      <c r="J1087">
        <v>-0.106753</v>
      </c>
      <c r="K1087" s="4">
        <f t="shared" si="48"/>
        <v>-0.0132255824512913</v>
      </c>
      <c r="L1087" s="4">
        <f t="shared" si="49"/>
        <v>0</v>
      </c>
      <c r="M1087" s="18">
        <f t="shared" si="50"/>
        <v>0</v>
      </c>
    </row>
    <row r="1088" spans="1:13">
      <c r="A1088" t="s">
        <v>13</v>
      </c>
      <c r="B1088" t="s">
        <v>2186</v>
      </c>
      <c r="C1088" t="s">
        <v>2187</v>
      </c>
      <c r="D1088">
        <v>153615.61</v>
      </c>
      <c r="E1088">
        <v>153615.61</v>
      </c>
      <c r="F1088">
        <v>0.533</v>
      </c>
      <c r="G1088">
        <v>0</v>
      </c>
      <c r="H1088">
        <v>8.187712</v>
      </c>
      <c r="I1088">
        <v>8.334269</v>
      </c>
      <c r="J1088">
        <v>-0.146557</v>
      </c>
      <c r="K1088" s="4">
        <f t="shared" si="48"/>
        <v>-0.0175848655712937</v>
      </c>
      <c r="L1088" s="4">
        <f t="shared" si="49"/>
        <v>0</v>
      </c>
      <c r="M1088" s="18">
        <f t="shared" si="50"/>
        <v>0</v>
      </c>
    </row>
    <row r="1089" spans="1:13">
      <c r="A1089" t="s">
        <v>13</v>
      </c>
      <c r="B1089" t="s">
        <v>2188</v>
      </c>
      <c r="C1089" t="s">
        <v>2189</v>
      </c>
      <c r="D1089">
        <v>119066.6</v>
      </c>
      <c r="E1089">
        <v>119166.6</v>
      </c>
      <c r="F1089">
        <v>0.821</v>
      </c>
      <c r="G1089">
        <v>-100</v>
      </c>
      <c r="H1089">
        <v>9.783578</v>
      </c>
      <c r="I1089">
        <v>9.884928</v>
      </c>
      <c r="J1089">
        <v>-0.10135</v>
      </c>
      <c r="K1089" s="4">
        <f t="shared" si="48"/>
        <v>-0.0102529831274441</v>
      </c>
      <c r="L1089" s="4">
        <f t="shared" si="49"/>
        <v>-0.000839161308621711</v>
      </c>
      <c r="M1089" s="18">
        <f t="shared" si="50"/>
        <v>-0.00821</v>
      </c>
    </row>
    <row r="1090" spans="1:13">
      <c r="A1090" t="s">
        <v>13</v>
      </c>
      <c r="B1090" t="s">
        <v>2190</v>
      </c>
      <c r="C1090" t="s">
        <v>2191</v>
      </c>
      <c r="D1090">
        <v>158442.6</v>
      </c>
      <c r="E1090">
        <v>159842.6</v>
      </c>
      <c r="F1090">
        <v>1.383</v>
      </c>
      <c r="G1090">
        <v>-1400</v>
      </c>
      <c r="H1090">
        <v>22.106232</v>
      </c>
      <c r="I1090">
        <v>21.982315</v>
      </c>
      <c r="J1090">
        <v>0.123917</v>
      </c>
      <c r="K1090" s="4">
        <f t="shared" ref="K1090:K1153" si="51">IFERROR(J1090/I1090,"")</f>
        <v>0.00563712238679138</v>
      </c>
      <c r="L1090" s="4">
        <f t="shared" ref="L1090:L1153" si="52">IFERROR((D1090-E1090)/E1090,"")</f>
        <v>-0.00875861628877408</v>
      </c>
      <c r="M1090" s="18">
        <f t="shared" ref="M1090:M1153" si="53">IFERROR(F1090*G1090/10000,"")</f>
        <v>-0.19362</v>
      </c>
    </row>
    <row r="1091" spans="1:13">
      <c r="A1091" t="s">
        <v>13</v>
      </c>
      <c r="B1091" t="s">
        <v>2192</v>
      </c>
      <c r="C1091" t="s">
        <v>2193</v>
      </c>
      <c r="D1091">
        <v>2424.09</v>
      </c>
      <c r="E1091">
        <v>2424.09</v>
      </c>
      <c r="F1091">
        <v>2.212</v>
      </c>
      <c r="G1091">
        <v>0</v>
      </c>
      <c r="H1091">
        <v>0.536208</v>
      </c>
      <c r="I1091">
        <v>0.553177</v>
      </c>
      <c r="J1091">
        <v>-0.016969</v>
      </c>
      <c r="K1091" s="4">
        <f t="shared" si="51"/>
        <v>-0.030675534232262</v>
      </c>
      <c r="L1091" s="4">
        <f t="shared" si="52"/>
        <v>0</v>
      </c>
      <c r="M1091" s="18">
        <f t="shared" si="53"/>
        <v>0</v>
      </c>
    </row>
    <row r="1092" spans="1:13">
      <c r="A1092" t="s">
        <v>13</v>
      </c>
      <c r="B1092" t="s">
        <v>2194</v>
      </c>
      <c r="C1092" t="s">
        <v>2195</v>
      </c>
      <c r="D1092">
        <v>3094.16</v>
      </c>
      <c r="E1092">
        <v>3094.16</v>
      </c>
      <c r="F1092">
        <v>1.427</v>
      </c>
      <c r="G1092">
        <v>0</v>
      </c>
      <c r="H1092">
        <v>0.441537</v>
      </c>
      <c r="I1092">
        <v>0.439371</v>
      </c>
      <c r="J1092">
        <v>0.002166</v>
      </c>
      <c r="K1092" s="4">
        <f t="shared" si="51"/>
        <v>0.00492977460961238</v>
      </c>
      <c r="L1092" s="4">
        <f t="shared" si="52"/>
        <v>0</v>
      </c>
      <c r="M1092" s="18">
        <f t="shared" si="53"/>
        <v>0</v>
      </c>
    </row>
    <row r="1093" spans="1:13">
      <c r="A1093" t="s">
        <v>13</v>
      </c>
      <c r="B1093" t="s">
        <v>2196</v>
      </c>
      <c r="C1093" t="s">
        <v>2197</v>
      </c>
      <c r="D1093">
        <v>541708</v>
      </c>
      <c r="E1093">
        <v>549208</v>
      </c>
      <c r="F1093">
        <v>1.29</v>
      </c>
      <c r="G1093">
        <v>-7500</v>
      </c>
      <c r="H1093">
        <v>70.847832</v>
      </c>
      <c r="I1093">
        <v>71.682321</v>
      </c>
      <c r="J1093">
        <v>-0.834489</v>
      </c>
      <c r="K1093" s="4">
        <f t="shared" si="51"/>
        <v>-0.0116414896777687</v>
      </c>
      <c r="L1093" s="4">
        <f t="shared" si="52"/>
        <v>-0.0136560283171403</v>
      </c>
      <c r="M1093" s="18">
        <f t="shared" si="53"/>
        <v>-0.9675</v>
      </c>
    </row>
    <row r="1094" spans="1:13">
      <c r="A1094" t="s">
        <v>13</v>
      </c>
      <c r="B1094" t="s">
        <v>2198</v>
      </c>
      <c r="C1094" t="s">
        <v>2199</v>
      </c>
      <c r="D1094">
        <v>198065.26</v>
      </c>
      <c r="E1094">
        <v>197765.26</v>
      </c>
      <c r="F1094">
        <v>0.873</v>
      </c>
      <c r="G1094">
        <v>300</v>
      </c>
      <c r="H1094">
        <v>17.264907</v>
      </c>
      <c r="I1094">
        <v>17.210495</v>
      </c>
      <c r="J1094">
        <v>0.054412</v>
      </c>
      <c r="K1094" s="4">
        <f t="shared" si="51"/>
        <v>0.00316155926950387</v>
      </c>
      <c r="L1094" s="4">
        <f t="shared" si="52"/>
        <v>0.00151694994358463</v>
      </c>
      <c r="M1094" s="18">
        <f t="shared" si="53"/>
        <v>0.02619</v>
      </c>
    </row>
    <row r="1095" spans="1:13">
      <c r="A1095" t="s">
        <v>13</v>
      </c>
      <c r="B1095" t="s">
        <v>2200</v>
      </c>
      <c r="C1095" t="s">
        <v>2201</v>
      </c>
      <c r="D1095">
        <v>346733.01</v>
      </c>
      <c r="E1095">
        <v>347053.01</v>
      </c>
      <c r="G1095">
        <v>-320</v>
      </c>
      <c r="H1095">
        <v>45.810998</v>
      </c>
      <c r="I1095">
        <v>45.783763</v>
      </c>
      <c r="J1095">
        <v>0.027235</v>
      </c>
      <c r="K1095" s="4">
        <f t="shared" si="51"/>
        <v>0.000594861545129001</v>
      </c>
      <c r="L1095" s="4">
        <f t="shared" si="52"/>
        <v>-0.000922049343412985</v>
      </c>
      <c r="M1095" s="18">
        <f t="shared" si="53"/>
        <v>0</v>
      </c>
    </row>
    <row r="1096" spans="1:13">
      <c r="A1096" t="s">
        <v>13</v>
      </c>
      <c r="B1096" t="s">
        <v>2202</v>
      </c>
      <c r="C1096" t="s">
        <v>2203</v>
      </c>
      <c r="D1096">
        <v>3433075.02</v>
      </c>
      <c r="E1096">
        <v>3454675.02</v>
      </c>
      <c r="F1096">
        <v>0.404</v>
      </c>
      <c r="G1096">
        <v>-21600</v>
      </c>
      <c r="H1096">
        <v>139.568871</v>
      </c>
      <c r="I1096">
        <v>142.685512</v>
      </c>
      <c r="J1096">
        <v>-3.116641</v>
      </c>
      <c r="K1096" s="4">
        <f t="shared" si="51"/>
        <v>-0.0218427292043498</v>
      </c>
      <c r="L1096" s="4">
        <f t="shared" si="52"/>
        <v>-0.00625239707785886</v>
      </c>
      <c r="M1096" s="18">
        <f t="shared" si="53"/>
        <v>-0.87264</v>
      </c>
    </row>
    <row r="1097" spans="1:13">
      <c r="A1097" t="s">
        <v>13</v>
      </c>
      <c r="B1097" t="s">
        <v>2204</v>
      </c>
      <c r="C1097" t="s">
        <v>2205</v>
      </c>
      <c r="D1097">
        <v>79308.1</v>
      </c>
      <c r="E1097">
        <v>79308.1</v>
      </c>
      <c r="F1097">
        <v>1.411</v>
      </c>
      <c r="G1097">
        <v>0</v>
      </c>
      <c r="H1097">
        <v>11.190373</v>
      </c>
      <c r="I1097">
        <v>11.258281</v>
      </c>
      <c r="J1097">
        <v>-0.067908</v>
      </c>
      <c r="K1097" s="4">
        <f t="shared" si="51"/>
        <v>-0.00603182670604864</v>
      </c>
      <c r="L1097" s="4">
        <f t="shared" si="52"/>
        <v>0</v>
      </c>
      <c r="M1097" s="18">
        <f t="shared" si="53"/>
        <v>0</v>
      </c>
    </row>
    <row r="1098" spans="1:13">
      <c r="A1098" t="s">
        <v>13</v>
      </c>
      <c r="B1098" t="s">
        <v>2206</v>
      </c>
      <c r="C1098" t="s">
        <v>2207</v>
      </c>
      <c r="D1098">
        <v>1138065.84</v>
      </c>
      <c r="E1098">
        <v>1153465.84</v>
      </c>
      <c r="F1098">
        <v>0.681</v>
      </c>
      <c r="G1098">
        <v>-15400</v>
      </c>
      <c r="H1098">
        <v>78.551024</v>
      </c>
      <c r="I1098">
        <v>78.252117</v>
      </c>
      <c r="J1098">
        <v>0.298907</v>
      </c>
      <c r="K1098" s="4">
        <f t="shared" si="51"/>
        <v>0.00381979442166402</v>
      </c>
      <c r="L1098" s="4">
        <f t="shared" si="52"/>
        <v>-0.0133510672496378</v>
      </c>
      <c r="M1098" s="18">
        <f t="shared" si="53"/>
        <v>-1.04874</v>
      </c>
    </row>
    <row r="1099" spans="1:13">
      <c r="A1099" t="s">
        <v>13</v>
      </c>
      <c r="B1099" t="s">
        <v>2208</v>
      </c>
      <c r="C1099" t="s">
        <v>2209</v>
      </c>
      <c r="D1099">
        <v>40145.34</v>
      </c>
      <c r="E1099">
        <v>40245.34</v>
      </c>
      <c r="F1099">
        <v>1.219</v>
      </c>
      <c r="G1099">
        <v>-100</v>
      </c>
      <c r="H1099">
        <v>4.905908</v>
      </c>
      <c r="I1099">
        <v>4.853441</v>
      </c>
      <c r="J1099">
        <v>0.052467</v>
      </c>
      <c r="K1099" s="4">
        <f t="shared" si="51"/>
        <v>0.0108102684260507</v>
      </c>
      <c r="L1099" s="4">
        <f t="shared" si="52"/>
        <v>-0.00248475972621923</v>
      </c>
      <c r="M1099" s="18">
        <f t="shared" si="53"/>
        <v>-0.01219</v>
      </c>
    </row>
    <row r="1100" spans="1:13">
      <c r="A1100" t="s">
        <v>13</v>
      </c>
      <c r="B1100" t="s">
        <v>2210</v>
      </c>
      <c r="C1100" t="s">
        <v>2211</v>
      </c>
      <c r="D1100">
        <v>6958.39</v>
      </c>
      <c r="E1100">
        <v>6908.39</v>
      </c>
      <c r="F1100">
        <v>1.574</v>
      </c>
      <c r="G1100">
        <v>50</v>
      </c>
      <c r="H1100">
        <v>1.08738</v>
      </c>
      <c r="I1100">
        <v>1.11225</v>
      </c>
      <c r="J1100">
        <v>-0.02487</v>
      </c>
      <c r="K1100" s="4">
        <f t="shared" si="51"/>
        <v>-0.02236008091706</v>
      </c>
      <c r="L1100" s="4">
        <f t="shared" si="52"/>
        <v>0.00723757633833643</v>
      </c>
      <c r="M1100" s="18">
        <f t="shared" si="53"/>
        <v>0.00787</v>
      </c>
    </row>
    <row r="1101" spans="1:13">
      <c r="A1101" t="s">
        <v>13</v>
      </c>
      <c r="B1101" t="s">
        <v>2212</v>
      </c>
      <c r="C1101" t="s">
        <v>2213</v>
      </c>
      <c r="D1101">
        <v>4835.49</v>
      </c>
      <c r="E1101">
        <v>4835.49</v>
      </c>
      <c r="F1101">
        <v>1.346</v>
      </c>
      <c r="G1101">
        <v>0</v>
      </c>
      <c r="H1101">
        <v>0.650857</v>
      </c>
      <c r="I1101">
        <v>0.668265</v>
      </c>
      <c r="J1101">
        <v>-0.017408</v>
      </c>
      <c r="K1101" s="4">
        <f t="shared" si="51"/>
        <v>-0.0260495462129544</v>
      </c>
      <c r="L1101" s="4">
        <f t="shared" si="52"/>
        <v>0</v>
      </c>
      <c r="M1101" s="18">
        <f t="shared" si="53"/>
        <v>0</v>
      </c>
    </row>
    <row r="1102" spans="1:13">
      <c r="A1102" t="s">
        <v>13</v>
      </c>
      <c r="B1102" t="s">
        <v>2214</v>
      </c>
      <c r="C1102" t="s">
        <v>2215</v>
      </c>
      <c r="D1102">
        <v>827344.55</v>
      </c>
      <c r="E1102">
        <v>843844.55</v>
      </c>
      <c r="F1102">
        <v>1.317</v>
      </c>
      <c r="G1102">
        <v>-16500</v>
      </c>
      <c r="H1102">
        <v>111.134328</v>
      </c>
      <c r="I1102">
        <v>108.565108</v>
      </c>
      <c r="J1102">
        <v>2.56922</v>
      </c>
      <c r="K1102" s="4">
        <f t="shared" si="51"/>
        <v>0.0236652461120381</v>
      </c>
      <c r="L1102" s="4">
        <f t="shared" si="52"/>
        <v>-0.0195533644200226</v>
      </c>
      <c r="M1102" s="18">
        <f t="shared" si="53"/>
        <v>-2.17305</v>
      </c>
    </row>
    <row r="1103" spans="1:13">
      <c r="A1103" t="s">
        <v>13</v>
      </c>
      <c r="B1103" t="s">
        <v>2216</v>
      </c>
      <c r="C1103" t="s">
        <v>2217</v>
      </c>
      <c r="D1103">
        <v>9826.78</v>
      </c>
      <c r="E1103">
        <v>9826.78</v>
      </c>
      <c r="G1103">
        <v>0</v>
      </c>
      <c r="H1103">
        <v>3.066938</v>
      </c>
      <c r="I1103">
        <v>2.972601</v>
      </c>
      <c r="J1103">
        <v>0.094337</v>
      </c>
      <c r="K1103" s="4">
        <f t="shared" si="51"/>
        <v>0.0317355070525779</v>
      </c>
      <c r="L1103" s="4">
        <f t="shared" si="52"/>
        <v>0</v>
      </c>
      <c r="M1103" s="18">
        <f t="shared" si="53"/>
        <v>0</v>
      </c>
    </row>
    <row r="1104" spans="1:13">
      <c r="A1104" t="s">
        <v>13</v>
      </c>
      <c r="B1104" t="s">
        <v>2218</v>
      </c>
      <c r="C1104" t="s">
        <v>2219</v>
      </c>
      <c r="D1104">
        <v>1537167.99</v>
      </c>
      <c r="E1104">
        <v>1595847.99</v>
      </c>
      <c r="F1104">
        <v>0.766</v>
      </c>
      <c r="G1104">
        <v>-58680</v>
      </c>
      <c r="H1104">
        <v>122.241956</v>
      </c>
      <c r="I1104">
        <v>125.015017</v>
      </c>
      <c r="J1104">
        <v>-2.773061</v>
      </c>
      <c r="K1104" s="4">
        <f t="shared" si="51"/>
        <v>-0.0221818231644923</v>
      </c>
      <c r="L1104" s="4">
        <f t="shared" si="52"/>
        <v>-0.0367704194683355</v>
      </c>
      <c r="M1104" s="18">
        <f t="shared" si="53"/>
        <v>-4.494888</v>
      </c>
    </row>
    <row r="1105" spans="1:13">
      <c r="A1105" t="s">
        <v>13</v>
      </c>
      <c r="B1105" t="s">
        <v>2220</v>
      </c>
      <c r="C1105" t="s">
        <v>2221</v>
      </c>
      <c r="D1105">
        <v>96158.35</v>
      </c>
      <c r="E1105">
        <v>96758.35</v>
      </c>
      <c r="F1105">
        <v>0.751</v>
      </c>
      <c r="G1105">
        <v>-600</v>
      </c>
      <c r="H1105">
        <v>7.266552</v>
      </c>
      <c r="I1105">
        <v>6.725832</v>
      </c>
      <c r="J1105">
        <v>0.54072</v>
      </c>
      <c r="K1105" s="4">
        <f t="shared" si="51"/>
        <v>0.0803945147604044</v>
      </c>
      <c r="L1105" s="4">
        <f t="shared" si="52"/>
        <v>-0.00620101520954005</v>
      </c>
      <c r="M1105" s="18">
        <f t="shared" si="53"/>
        <v>-0.04506</v>
      </c>
    </row>
    <row r="1106" spans="1:13">
      <c r="A1106" t="s">
        <v>13</v>
      </c>
      <c r="B1106" t="s">
        <v>2222</v>
      </c>
      <c r="C1106" t="s">
        <v>2223</v>
      </c>
      <c r="D1106">
        <v>44110.19</v>
      </c>
      <c r="E1106">
        <v>43870.19</v>
      </c>
      <c r="F1106">
        <v>1.344</v>
      </c>
      <c r="G1106">
        <v>240</v>
      </c>
      <c r="H1106">
        <v>5.896153</v>
      </c>
      <c r="I1106">
        <v>6.061848</v>
      </c>
      <c r="J1106">
        <v>-0.165695</v>
      </c>
      <c r="K1106" s="4">
        <f t="shared" si="51"/>
        <v>-0.0273340737016171</v>
      </c>
      <c r="L1106" s="4">
        <f t="shared" si="52"/>
        <v>0.00547068521927988</v>
      </c>
      <c r="M1106" s="18">
        <f t="shared" si="53"/>
        <v>0.032256</v>
      </c>
    </row>
    <row r="1107" spans="1:13">
      <c r="A1107" t="s">
        <v>13</v>
      </c>
      <c r="B1107" t="s">
        <v>2224</v>
      </c>
      <c r="C1107" t="s">
        <v>2225</v>
      </c>
      <c r="D1107">
        <v>2341.06</v>
      </c>
      <c r="E1107">
        <v>2341.06</v>
      </c>
      <c r="F1107">
        <v>1.605</v>
      </c>
      <c r="G1107">
        <v>0</v>
      </c>
      <c r="H1107">
        <v>0.375741</v>
      </c>
      <c r="I1107">
        <v>0.368952</v>
      </c>
      <c r="J1107">
        <v>0.006789</v>
      </c>
      <c r="K1107" s="4">
        <f t="shared" si="51"/>
        <v>0.0184007675795225</v>
      </c>
      <c r="L1107" s="4">
        <f t="shared" si="52"/>
        <v>0</v>
      </c>
      <c r="M1107" s="18">
        <f t="shared" si="53"/>
        <v>0</v>
      </c>
    </row>
    <row r="1108" spans="1:13">
      <c r="A1108" t="s">
        <v>13</v>
      </c>
      <c r="B1108" t="s">
        <v>2226</v>
      </c>
      <c r="C1108" t="s">
        <v>2227</v>
      </c>
      <c r="D1108">
        <v>5234729.15</v>
      </c>
      <c r="E1108">
        <v>5229229.15</v>
      </c>
      <c r="F1108">
        <v>1.05</v>
      </c>
      <c r="G1108">
        <v>5500</v>
      </c>
      <c r="H1108">
        <v>549.069061</v>
      </c>
      <c r="I1108">
        <v>568.230801</v>
      </c>
      <c r="J1108">
        <v>-19.16174</v>
      </c>
      <c r="K1108" s="4">
        <f t="shared" si="51"/>
        <v>-0.0337217552555726</v>
      </c>
      <c r="L1108" s="4">
        <f t="shared" si="52"/>
        <v>0.00105178026095873</v>
      </c>
      <c r="M1108" s="18">
        <f t="shared" si="53"/>
        <v>0.5775</v>
      </c>
    </row>
    <row r="1109" spans="1:13">
      <c r="A1109" t="s">
        <v>13</v>
      </c>
      <c r="B1109" t="s">
        <v>2228</v>
      </c>
      <c r="C1109" t="s">
        <v>2229</v>
      </c>
      <c r="D1109">
        <v>2916111.08</v>
      </c>
      <c r="E1109">
        <v>2901011.08</v>
      </c>
      <c r="F1109">
        <v>1.115</v>
      </c>
      <c r="G1109">
        <v>15100</v>
      </c>
      <c r="H1109">
        <v>323.462735</v>
      </c>
      <c r="I1109">
        <v>328.275663</v>
      </c>
      <c r="J1109">
        <v>-4.812928</v>
      </c>
      <c r="K1109" s="4">
        <f t="shared" si="51"/>
        <v>-0.0146612391427871</v>
      </c>
      <c r="L1109" s="4">
        <f t="shared" si="52"/>
        <v>0.00520508180892573</v>
      </c>
      <c r="M1109" s="18">
        <f t="shared" si="53"/>
        <v>1.68365</v>
      </c>
    </row>
    <row r="1110" spans="1:13">
      <c r="A1110" t="s">
        <v>13</v>
      </c>
      <c r="B1110" t="s">
        <v>2230</v>
      </c>
      <c r="C1110" t="s">
        <v>2231</v>
      </c>
      <c r="D1110">
        <v>678190.6</v>
      </c>
      <c r="E1110">
        <v>678590.6</v>
      </c>
      <c r="F1110">
        <v>1.039</v>
      </c>
      <c r="G1110">
        <v>-400</v>
      </c>
      <c r="H1110">
        <v>70.505563</v>
      </c>
      <c r="I1110">
        <v>73.09187</v>
      </c>
      <c r="J1110">
        <v>-2.586307</v>
      </c>
      <c r="K1110" s="4">
        <f t="shared" si="51"/>
        <v>-0.0353843320741418</v>
      </c>
      <c r="L1110" s="4">
        <f t="shared" si="52"/>
        <v>-0.000589457030498212</v>
      </c>
      <c r="M1110" s="18">
        <f t="shared" si="53"/>
        <v>-0.04156</v>
      </c>
    </row>
    <row r="1111" spans="1:13">
      <c r="A1111" t="s">
        <v>13</v>
      </c>
      <c r="B1111" t="s">
        <v>2232</v>
      </c>
      <c r="C1111" t="s">
        <v>2233</v>
      </c>
      <c r="D1111">
        <v>13412.88</v>
      </c>
      <c r="E1111">
        <v>13712.88</v>
      </c>
      <c r="F1111">
        <v>1.396</v>
      </c>
      <c r="G1111">
        <v>-300</v>
      </c>
      <c r="H1111">
        <v>1.914318</v>
      </c>
      <c r="I1111">
        <v>1.899233</v>
      </c>
      <c r="J1111">
        <v>0.015085</v>
      </c>
      <c r="K1111" s="4">
        <f t="shared" si="51"/>
        <v>0.00794268001872335</v>
      </c>
      <c r="L1111" s="4">
        <f t="shared" si="52"/>
        <v>-0.0218772424173478</v>
      </c>
      <c r="M1111" s="18">
        <f t="shared" si="53"/>
        <v>-0.04188</v>
      </c>
    </row>
    <row r="1112" spans="1:13">
      <c r="A1112" t="s">
        <v>13</v>
      </c>
      <c r="B1112" t="s">
        <v>2234</v>
      </c>
      <c r="C1112" t="s">
        <v>2235</v>
      </c>
      <c r="D1112">
        <v>416052.13</v>
      </c>
      <c r="E1112">
        <v>426052.13</v>
      </c>
      <c r="F1112">
        <v>0.75</v>
      </c>
      <c r="G1112">
        <v>-10000</v>
      </c>
      <c r="H1112">
        <v>31.95391</v>
      </c>
      <c r="I1112">
        <v>30.620042</v>
      </c>
      <c r="J1112">
        <v>1.333868</v>
      </c>
      <c r="K1112" s="4">
        <f t="shared" si="51"/>
        <v>0.0435619258784818</v>
      </c>
      <c r="L1112" s="4">
        <f t="shared" si="52"/>
        <v>-0.0234713061990794</v>
      </c>
      <c r="M1112" s="18">
        <f t="shared" si="53"/>
        <v>-0.75</v>
      </c>
    </row>
    <row r="1113" spans="1:13">
      <c r="A1113" t="s">
        <v>13</v>
      </c>
      <c r="B1113" t="s">
        <v>2236</v>
      </c>
      <c r="C1113" t="s">
        <v>2237</v>
      </c>
      <c r="D1113">
        <v>211770.5</v>
      </c>
      <c r="E1113">
        <v>211570.5</v>
      </c>
      <c r="F1113">
        <v>0.903</v>
      </c>
      <c r="G1113">
        <v>200</v>
      </c>
      <c r="H1113">
        <v>19.104816</v>
      </c>
      <c r="I1113">
        <v>19.059666</v>
      </c>
      <c r="J1113">
        <v>0.04515</v>
      </c>
      <c r="K1113" s="4">
        <f t="shared" si="51"/>
        <v>0.0023688767683547</v>
      </c>
      <c r="L1113" s="4">
        <f t="shared" si="52"/>
        <v>0.000945311373750121</v>
      </c>
      <c r="M1113" s="18">
        <f t="shared" si="53"/>
        <v>0.01806</v>
      </c>
    </row>
    <row r="1114" spans="1:13">
      <c r="A1114" t="s">
        <v>13</v>
      </c>
      <c r="B1114" t="s">
        <v>2238</v>
      </c>
      <c r="C1114" t="s">
        <v>2239</v>
      </c>
      <c r="D1114">
        <v>406155.1</v>
      </c>
      <c r="E1114">
        <v>406155.1</v>
      </c>
      <c r="F1114">
        <v>1.573</v>
      </c>
      <c r="G1114">
        <v>0</v>
      </c>
      <c r="H1114">
        <v>63.888197</v>
      </c>
      <c r="I1114">
        <v>63.888197</v>
      </c>
      <c r="J1114">
        <v>0</v>
      </c>
      <c r="K1114" s="4">
        <f t="shared" si="51"/>
        <v>0</v>
      </c>
      <c r="L1114" s="4">
        <f t="shared" si="52"/>
        <v>0</v>
      </c>
      <c r="M1114" s="18">
        <f t="shared" si="53"/>
        <v>0</v>
      </c>
    </row>
    <row r="1115" spans="1:13">
      <c r="A1115" t="s">
        <v>13</v>
      </c>
      <c r="B1115" t="s">
        <v>2240</v>
      </c>
      <c r="C1115" t="s">
        <v>2241</v>
      </c>
      <c r="D1115">
        <v>388905.73</v>
      </c>
      <c r="E1115">
        <v>389025.73</v>
      </c>
      <c r="F1115">
        <v>1.52</v>
      </c>
      <c r="G1115">
        <v>-120</v>
      </c>
      <c r="H1115">
        <v>59.131911</v>
      </c>
      <c r="I1115">
        <v>59.209716</v>
      </c>
      <c r="J1115">
        <v>-0.077805</v>
      </c>
      <c r="K1115" s="4">
        <f t="shared" si="51"/>
        <v>-0.00131405798332152</v>
      </c>
      <c r="L1115" s="4">
        <f t="shared" si="52"/>
        <v>-0.000308462887531886</v>
      </c>
      <c r="M1115" s="18">
        <f t="shared" si="53"/>
        <v>-0.01824</v>
      </c>
    </row>
    <row r="1116" spans="1:13">
      <c r="A1116" t="s">
        <v>13</v>
      </c>
      <c r="B1116" t="s">
        <v>2242</v>
      </c>
      <c r="C1116" t="s">
        <v>2243</v>
      </c>
      <c r="D1116">
        <v>998.76</v>
      </c>
      <c r="E1116">
        <v>998.76</v>
      </c>
      <c r="F1116">
        <v>1.748</v>
      </c>
      <c r="G1116">
        <v>0</v>
      </c>
      <c r="H1116">
        <v>0.174584</v>
      </c>
      <c r="I1116">
        <v>0.174784</v>
      </c>
      <c r="J1116">
        <v>-0.0002</v>
      </c>
      <c r="K1116" s="4">
        <f t="shared" si="51"/>
        <v>-0.00114426949835225</v>
      </c>
      <c r="L1116" s="4">
        <f t="shared" si="52"/>
        <v>0</v>
      </c>
      <c r="M1116" s="18">
        <f t="shared" si="53"/>
        <v>0</v>
      </c>
    </row>
    <row r="1117" spans="1:13">
      <c r="A1117" t="s">
        <v>13</v>
      </c>
      <c r="B1117" t="s">
        <v>2244</v>
      </c>
      <c r="C1117" t="s">
        <v>2245</v>
      </c>
      <c r="D1117">
        <v>450442.44</v>
      </c>
      <c r="E1117">
        <v>455842.44</v>
      </c>
      <c r="F1117">
        <v>0.827</v>
      </c>
      <c r="G1117">
        <v>-5400</v>
      </c>
      <c r="H1117">
        <v>37.69817</v>
      </c>
      <c r="I1117">
        <v>38.518299</v>
      </c>
      <c r="J1117">
        <v>-0.820129</v>
      </c>
      <c r="K1117" s="4">
        <f t="shared" si="51"/>
        <v>-0.021291931920462</v>
      </c>
      <c r="L1117" s="4">
        <f t="shared" si="52"/>
        <v>-0.0118461984364598</v>
      </c>
      <c r="M1117" s="18">
        <f t="shared" si="53"/>
        <v>-0.44658</v>
      </c>
    </row>
    <row r="1118" spans="1:13">
      <c r="A1118" t="s">
        <v>13</v>
      </c>
      <c r="B1118" t="s">
        <v>2246</v>
      </c>
      <c r="C1118" t="s">
        <v>2247</v>
      </c>
      <c r="D1118">
        <v>10101.54</v>
      </c>
      <c r="E1118">
        <v>10501.54</v>
      </c>
      <c r="F1118">
        <v>2.144</v>
      </c>
      <c r="G1118">
        <v>-400</v>
      </c>
      <c r="H1118">
        <v>2.251531</v>
      </c>
      <c r="I1118">
        <v>2.243129</v>
      </c>
      <c r="J1118">
        <v>0.008402</v>
      </c>
      <c r="K1118" s="4">
        <f t="shared" si="51"/>
        <v>0.00374566063743993</v>
      </c>
      <c r="L1118" s="4">
        <f t="shared" si="52"/>
        <v>-0.0380896516130015</v>
      </c>
      <c r="M1118" s="18">
        <f t="shared" si="53"/>
        <v>-0.08576</v>
      </c>
    </row>
    <row r="1119" spans="1:13">
      <c r="A1119" t="s">
        <v>13</v>
      </c>
      <c r="B1119" t="s">
        <v>2248</v>
      </c>
      <c r="C1119" t="s">
        <v>2249</v>
      </c>
      <c r="D1119">
        <v>97791.14</v>
      </c>
      <c r="E1119">
        <v>97741.14</v>
      </c>
      <c r="F1119">
        <v>2.523</v>
      </c>
      <c r="G1119">
        <v>50</v>
      </c>
      <c r="H1119">
        <v>24.660089</v>
      </c>
      <c r="I1119">
        <v>24.022251</v>
      </c>
      <c r="J1119">
        <v>0.637838</v>
      </c>
      <c r="K1119" s="4">
        <f t="shared" si="51"/>
        <v>0.0265519663415389</v>
      </c>
      <c r="L1119" s="4">
        <f t="shared" si="52"/>
        <v>0.000511555318466717</v>
      </c>
      <c r="M1119" s="18">
        <f t="shared" si="53"/>
        <v>0.012615</v>
      </c>
    </row>
    <row r="1120" spans="1:13">
      <c r="A1120" t="s">
        <v>13</v>
      </c>
      <c r="B1120" t="s">
        <v>2250</v>
      </c>
      <c r="C1120" t="s">
        <v>2251</v>
      </c>
      <c r="D1120">
        <v>4668230.7</v>
      </c>
      <c r="E1120">
        <v>4668230.7</v>
      </c>
      <c r="F1120">
        <v>0.598</v>
      </c>
      <c r="G1120">
        <v>0</v>
      </c>
      <c r="H1120">
        <v>279.160196</v>
      </c>
      <c r="I1120">
        <v>284.29525</v>
      </c>
      <c r="J1120">
        <v>-5.135054</v>
      </c>
      <c r="K1120" s="4">
        <f t="shared" si="51"/>
        <v>-0.0180623981582527</v>
      </c>
      <c r="L1120" s="4">
        <f t="shared" si="52"/>
        <v>0</v>
      </c>
      <c r="M1120" s="18">
        <f t="shared" si="53"/>
        <v>0</v>
      </c>
    </row>
    <row r="1121" spans="1:13">
      <c r="A1121" t="s">
        <v>13</v>
      </c>
      <c r="B1121" t="s">
        <v>2252</v>
      </c>
      <c r="C1121" t="s">
        <v>2253</v>
      </c>
      <c r="D1121">
        <v>313714.54</v>
      </c>
      <c r="E1121">
        <v>320714.54</v>
      </c>
      <c r="G1121">
        <v>-7000</v>
      </c>
      <c r="H1121">
        <v>29.249166</v>
      </c>
      <c r="I1121">
        <v>30.346367</v>
      </c>
      <c r="J1121">
        <v>-1.097201</v>
      </c>
      <c r="K1121" s="4">
        <f t="shared" si="51"/>
        <v>-0.0361559260124944</v>
      </c>
      <c r="L1121" s="4">
        <f t="shared" si="52"/>
        <v>-0.021826263318152</v>
      </c>
      <c r="M1121" s="18">
        <f t="shared" si="53"/>
        <v>0</v>
      </c>
    </row>
    <row r="1122" spans="1:13">
      <c r="A1122" t="s">
        <v>13</v>
      </c>
      <c r="B1122" t="s">
        <v>2254</v>
      </c>
      <c r="C1122" t="s">
        <v>2255</v>
      </c>
      <c r="D1122">
        <v>101927.9</v>
      </c>
      <c r="E1122">
        <v>101827.9</v>
      </c>
      <c r="F1122">
        <v>1.784</v>
      </c>
      <c r="G1122">
        <v>100</v>
      </c>
      <c r="H1122">
        <v>18.166097</v>
      </c>
      <c r="I1122">
        <v>18.188949</v>
      </c>
      <c r="J1122">
        <v>-0.022852</v>
      </c>
      <c r="K1122" s="4">
        <f t="shared" si="51"/>
        <v>-0.00125636725904284</v>
      </c>
      <c r="L1122" s="4">
        <f t="shared" si="52"/>
        <v>0.000982049124061284</v>
      </c>
      <c r="M1122" s="18">
        <f t="shared" si="53"/>
        <v>0.01784</v>
      </c>
    </row>
    <row r="1123" spans="1:13">
      <c r="A1123" t="s">
        <v>13</v>
      </c>
      <c r="B1123" t="s">
        <v>2256</v>
      </c>
      <c r="C1123" t="s">
        <v>2257</v>
      </c>
      <c r="D1123">
        <v>644784.13</v>
      </c>
      <c r="E1123">
        <v>645234.13</v>
      </c>
      <c r="F1123">
        <v>0.915</v>
      </c>
      <c r="G1123">
        <v>-450</v>
      </c>
      <c r="H1123">
        <v>59.038923</v>
      </c>
      <c r="I1123">
        <v>61.412872</v>
      </c>
      <c r="J1123">
        <v>-2.373949</v>
      </c>
      <c r="K1123" s="4">
        <f t="shared" si="51"/>
        <v>-0.0386555606778983</v>
      </c>
      <c r="L1123" s="4">
        <f t="shared" si="52"/>
        <v>-0.000697421260093603</v>
      </c>
      <c r="M1123" s="18">
        <f t="shared" si="53"/>
        <v>-0.041175</v>
      </c>
    </row>
    <row r="1124" spans="1:13">
      <c r="A1124" t="s">
        <v>13</v>
      </c>
      <c r="B1124" t="s">
        <v>2258</v>
      </c>
      <c r="C1124" t="s">
        <v>2259</v>
      </c>
      <c r="D1124">
        <v>3311443.27</v>
      </c>
      <c r="E1124">
        <v>3311443.27</v>
      </c>
      <c r="F1124">
        <v>1.031</v>
      </c>
      <c r="G1124">
        <v>0</v>
      </c>
      <c r="H1124">
        <v>341.409801</v>
      </c>
      <c r="I1124">
        <v>349.68841</v>
      </c>
      <c r="J1124">
        <v>-8.278609</v>
      </c>
      <c r="K1124" s="4">
        <f t="shared" si="51"/>
        <v>-0.0236742447369074</v>
      </c>
      <c r="L1124" s="4">
        <f t="shared" si="52"/>
        <v>0</v>
      </c>
      <c r="M1124" s="18">
        <f t="shared" si="53"/>
        <v>0</v>
      </c>
    </row>
    <row r="1125" spans="1:13">
      <c r="A1125" t="s">
        <v>13</v>
      </c>
      <c r="B1125" t="s">
        <v>2260</v>
      </c>
      <c r="C1125" t="s">
        <v>2261</v>
      </c>
      <c r="D1125">
        <v>1158039.33</v>
      </c>
      <c r="E1125">
        <v>1158039.33</v>
      </c>
      <c r="F1125">
        <v>0.464</v>
      </c>
      <c r="G1125">
        <v>0</v>
      </c>
      <c r="H1125">
        <v>53.733025</v>
      </c>
      <c r="I1125">
        <v>53.385613</v>
      </c>
      <c r="J1125">
        <v>0.347412</v>
      </c>
      <c r="K1125" s="4">
        <f t="shared" si="51"/>
        <v>0.00650759596972315</v>
      </c>
      <c r="L1125" s="4">
        <f t="shared" si="52"/>
        <v>0</v>
      </c>
      <c r="M1125" s="18">
        <f t="shared" si="53"/>
        <v>0</v>
      </c>
    </row>
    <row r="1126" spans="1:13">
      <c r="A1126" t="s">
        <v>13</v>
      </c>
      <c r="B1126" t="s">
        <v>2262</v>
      </c>
      <c r="C1126" t="s">
        <v>2263</v>
      </c>
      <c r="D1126">
        <v>140976.08</v>
      </c>
      <c r="E1126">
        <v>143176.08</v>
      </c>
      <c r="F1126">
        <v>1.07</v>
      </c>
      <c r="G1126">
        <v>-2200</v>
      </c>
      <c r="H1126">
        <v>15.319841</v>
      </c>
      <c r="I1126">
        <v>15.749369</v>
      </c>
      <c r="J1126">
        <v>-0.429528</v>
      </c>
      <c r="K1126" s="4">
        <f t="shared" si="51"/>
        <v>-0.0272727116876873</v>
      </c>
      <c r="L1126" s="4">
        <f t="shared" si="52"/>
        <v>-0.0153656951636055</v>
      </c>
      <c r="M1126" s="18">
        <f t="shared" si="53"/>
        <v>-0.2354</v>
      </c>
    </row>
    <row r="1127" spans="1:13">
      <c r="A1127" t="s">
        <v>13</v>
      </c>
      <c r="B1127" t="s">
        <v>2264</v>
      </c>
      <c r="C1127" t="s">
        <v>2265</v>
      </c>
      <c r="D1127">
        <v>63141.6</v>
      </c>
      <c r="E1127">
        <v>63091.6</v>
      </c>
      <c r="F1127">
        <v>1.784</v>
      </c>
      <c r="G1127">
        <v>50</v>
      </c>
      <c r="H1127">
        <v>11.255541</v>
      </c>
      <c r="I1127">
        <v>11.33488</v>
      </c>
      <c r="J1127">
        <v>-0.079339</v>
      </c>
      <c r="K1127" s="4">
        <f t="shared" si="51"/>
        <v>-0.00699954476800813</v>
      </c>
      <c r="L1127" s="4">
        <f t="shared" si="52"/>
        <v>0.000792498525952742</v>
      </c>
      <c r="M1127" s="18">
        <f t="shared" si="53"/>
        <v>0.00892</v>
      </c>
    </row>
    <row r="1128" spans="1:13">
      <c r="A1128" t="s">
        <v>13</v>
      </c>
      <c r="B1128" t="s">
        <v>2266</v>
      </c>
      <c r="C1128" t="s">
        <v>2267</v>
      </c>
      <c r="D1128">
        <v>1059948.8</v>
      </c>
      <c r="E1128">
        <v>1059998.8</v>
      </c>
      <c r="F1128">
        <v>1.776</v>
      </c>
      <c r="G1128">
        <v>-50</v>
      </c>
      <c r="H1128">
        <v>188.255787</v>
      </c>
      <c r="I1128">
        <v>196.145455</v>
      </c>
      <c r="J1128">
        <v>-7.889668</v>
      </c>
      <c r="K1128" s="4">
        <f t="shared" si="51"/>
        <v>-0.0402235575634419</v>
      </c>
      <c r="L1128" s="4">
        <f t="shared" si="52"/>
        <v>-4.71698647206016e-5</v>
      </c>
      <c r="M1128" s="18">
        <f t="shared" si="53"/>
        <v>-0.00888</v>
      </c>
    </row>
    <row r="1129" spans="1:13">
      <c r="A1129" t="s">
        <v>13</v>
      </c>
      <c r="B1129" t="s">
        <v>2268</v>
      </c>
      <c r="C1129" t="s">
        <v>2269</v>
      </c>
      <c r="D1129">
        <v>946611.06</v>
      </c>
      <c r="E1129">
        <v>946611.06</v>
      </c>
      <c r="F1129">
        <v>2.266</v>
      </c>
      <c r="G1129">
        <v>0</v>
      </c>
      <c r="H1129">
        <v>214.502066</v>
      </c>
      <c r="I1129">
        <v>215.732661</v>
      </c>
      <c r="J1129">
        <v>-1.230595</v>
      </c>
      <c r="K1129" s="4">
        <f t="shared" si="51"/>
        <v>-0.00570425912467654</v>
      </c>
      <c r="L1129" s="4">
        <f t="shared" si="52"/>
        <v>0</v>
      </c>
      <c r="M1129" s="18">
        <f t="shared" si="53"/>
        <v>0</v>
      </c>
    </row>
    <row r="1130" spans="1:13">
      <c r="A1130" t="s">
        <v>13</v>
      </c>
      <c r="B1130" t="s">
        <v>2270</v>
      </c>
      <c r="C1130" t="s">
        <v>2271</v>
      </c>
      <c r="D1130">
        <v>215143.5</v>
      </c>
      <c r="E1130">
        <v>215043.5</v>
      </c>
      <c r="F1130">
        <v>2.531</v>
      </c>
      <c r="G1130">
        <v>100</v>
      </c>
      <c r="H1130">
        <v>54.42751</v>
      </c>
      <c r="I1130">
        <v>54.681626</v>
      </c>
      <c r="J1130">
        <v>-0.254116</v>
      </c>
      <c r="K1130" s="4">
        <f t="shared" si="51"/>
        <v>-0.0046471917276198</v>
      </c>
      <c r="L1130" s="4">
        <f t="shared" si="52"/>
        <v>0.00046502219318417</v>
      </c>
      <c r="M1130" s="18">
        <f t="shared" si="53"/>
        <v>0.02531</v>
      </c>
    </row>
    <row r="1131" spans="1:13">
      <c r="A1131" t="s">
        <v>13</v>
      </c>
      <c r="B1131" t="s">
        <v>2272</v>
      </c>
      <c r="C1131" t="s">
        <v>2273</v>
      </c>
      <c r="D1131">
        <v>2203713.54</v>
      </c>
      <c r="E1131">
        <v>2202013.54</v>
      </c>
      <c r="F1131">
        <v>0.993</v>
      </c>
      <c r="G1131">
        <v>1700</v>
      </c>
      <c r="H1131">
        <v>218.659945</v>
      </c>
      <c r="I1131">
        <v>214.476119</v>
      </c>
      <c r="J1131">
        <v>4.183826</v>
      </c>
      <c r="K1131" s="4">
        <f t="shared" si="51"/>
        <v>0.0195071881172934</v>
      </c>
      <c r="L1131" s="4">
        <f t="shared" si="52"/>
        <v>0.000772020684305147</v>
      </c>
      <c r="M1131" s="18">
        <f t="shared" si="53"/>
        <v>0.16881</v>
      </c>
    </row>
    <row r="1132" spans="1:13">
      <c r="A1132" t="s">
        <v>13</v>
      </c>
      <c r="B1132" t="s">
        <v>2274</v>
      </c>
      <c r="C1132" t="s">
        <v>2275</v>
      </c>
      <c r="D1132">
        <v>6779434.7</v>
      </c>
      <c r="E1132">
        <v>6791434.7</v>
      </c>
      <c r="F1132">
        <v>0.572</v>
      </c>
      <c r="G1132">
        <v>-12000</v>
      </c>
      <c r="H1132">
        <v>388.470065</v>
      </c>
      <c r="I1132">
        <v>394.582356</v>
      </c>
      <c r="J1132">
        <v>-6.112291</v>
      </c>
      <c r="K1132" s="4">
        <f t="shared" si="51"/>
        <v>-0.015490532982676</v>
      </c>
      <c r="L1132" s="4">
        <f t="shared" si="52"/>
        <v>-0.00176693151448544</v>
      </c>
      <c r="M1132" s="18">
        <f t="shared" si="53"/>
        <v>-0.6864</v>
      </c>
    </row>
    <row r="1133" spans="1:13">
      <c r="A1133" t="s">
        <v>13</v>
      </c>
      <c r="B1133" t="s">
        <v>2276</v>
      </c>
      <c r="C1133" t="s">
        <v>2277</v>
      </c>
      <c r="D1133">
        <v>8386.8</v>
      </c>
      <c r="E1133">
        <v>8386.8</v>
      </c>
      <c r="F1133">
        <v>1.599</v>
      </c>
      <c r="G1133">
        <v>0</v>
      </c>
      <c r="H1133">
        <v>1.341049</v>
      </c>
      <c r="I1133">
        <v>1.371242</v>
      </c>
      <c r="J1133">
        <v>-0.030193</v>
      </c>
      <c r="K1133" s="4">
        <f t="shared" si="51"/>
        <v>-0.0220187246306633</v>
      </c>
      <c r="L1133" s="4">
        <f t="shared" si="52"/>
        <v>0</v>
      </c>
      <c r="M1133" s="18">
        <f t="shared" si="53"/>
        <v>0</v>
      </c>
    </row>
    <row r="1134" spans="1:13">
      <c r="A1134" t="s">
        <v>13</v>
      </c>
      <c r="B1134" t="s">
        <v>2278</v>
      </c>
      <c r="C1134" t="s">
        <v>2279</v>
      </c>
      <c r="D1134">
        <v>11805.98</v>
      </c>
      <c r="E1134">
        <v>11805.98</v>
      </c>
      <c r="F1134">
        <v>0.927</v>
      </c>
      <c r="G1134">
        <v>0</v>
      </c>
      <c r="H1134">
        <v>1.094414</v>
      </c>
      <c r="I1134">
        <v>1.110943</v>
      </c>
      <c r="J1134">
        <v>-0.016529</v>
      </c>
      <c r="K1134" s="4">
        <f t="shared" si="51"/>
        <v>-0.0148783510945206</v>
      </c>
      <c r="L1134" s="4">
        <f t="shared" si="52"/>
        <v>0</v>
      </c>
      <c r="M1134" s="18">
        <f t="shared" si="53"/>
        <v>0</v>
      </c>
    </row>
    <row r="1135" spans="1:13">
      <c r="A1135" t="s">
        <v>13</v>
      </c>
      <c r="B1135" t="s">
        <v>2280</v>
      </c>
      <c r="C1135" t="s">
        <v>2281</v>
      </c>
      <c r="D1135">
        <v>386418.93</v>
      </c>
      <c r="E1135">
        <v>386718.93</v>
      </c>
      <c r="F1135">
        <v>0.96</v>
      </c>
      <c r="G1135">
        <v>-300</v>
      </c>
      <c r="H1135">
        <v>37.125017</v>
      </c>
      <c r="I1135">
        <v>38.349231</v>
      </c>
      <c r="J1135">
        <v>-1.224214</v>
      </c>
      <c r="K1135" s="4">
        <f t="shared" si="51"/>
        <v>-0.0319227783211611</v>
      </c>
      <c r="L1135" s="4">
        <f t="shared" si="52"/>
        <v>-0.000775757214677854</v>
      </c>
      <c r="M1135" s="18">
        <f t="shared" si="53"/>
        <v>-0.0288</v>
      </c>
    </row>
    <row r="1136" spans="1:13">
      <c r="A1136" t="s">
        <v>13</v>
      </c>
      <c r="B1136" t="s">
        <v>2282</v>
      </c>
      <c r="C1136" t="s">
        <v>2283</v>
      </c>
      <c r="D1136">
        <v>20957.3</v>
      </c>
      <c r="E1136">
        <v>20957.3</v>
      </c>
      <c r="F1136">
        <v>1.525</v>
      </c>
      <c r="G1136">
        <v>0</v>
      </c>
      <c r="H1136">
        <v>3.195988</v>
      </c>
      <c r="I1136">
        <v>3.284009</v>
      </c>
      <c r="J1136">
        <v>-0.088021</v>
      </c>
      <c r="K1136" s="4">
        <f t="shared" si="51"/>
        <v>-0.0268029107106588</v>
      </c>
      <c r="L1136" s="4">
        <f t="shared" si="52"/>
        <v>0</v>
      </c>
      <c r="M1136" s="18">
        <f t="shared" si="53"/>
        <v>0</v>
      </c>
    </row>
    <row r="1137" spans="1:13">
      <c r="A1137" t="s">
        <v>13</v>
      </c>
      <c r="B1137" t="s">
        <v>2284</v>
      </c>
      <c r="C1137" t="s">
        <v>2285</v>
      </c>
      <c r="D1137">
        <v>7553475.95</v>
      </c>
      <c r="E1137">
        <v>7553475.95</v>
      </c>
      <c r="F1137">
        <v>0.58</v>
      </c>
      <c r="G1137">
        <v>0</v>
      </c>
      <c r="H1137">
        <v>438.101605</v>
      </c>
      <c r="I1137">
        <v>446.410429</v>
      </c>
      <c r="J1137">
        <v>-8.308824</v>
      </c>
      <c r="K1137" s="4">
        <f t="shared" si="51"/>
        <v>-0.0186125221550324</v>
      </c>
      <c r="L1137" s="4">
        <f t="shared" si="52"/>
        <v>0</v>
      </c>
      <c r="M1137" s="18">
        <f t="shared" si="53"/>
        <v>0</v>
      </c>
    </row>
    <row r="1138" spans="1:13">
      <c r="A1138" t="s">
        <v>13</v>
      </c>
      <c r="B1138" t="s">
        <v>2286</v>
      </c>
      <c r="C1138" t="s">
        <v>2287</v>
      </c>
      <c r="D1138">
        <v>118893.6</v>
      </c>
      <c r="E1138">
        <v>120793.6</v>
      </c>
      <c r="F1138">
        <v>1.695</v>
      </c>
      <c r="G1138">
        <v>-1900</v>
      </c>
      <c r="H1138">
        <v>20.474515</v>
      </c>
      <c r="I1138">
        <v>21.20888</v>
      </c>
      <c r="J1138">
        <v>-0.734365</v>
      </c>
      <c r="K1138" s="4">
        <f t="shared" si="51"/>
        <v>-0.0346253550399644</v>
      </c>
      <c r="L1138" s="4">
        <f t="shared" si="52"/>
        <v>-0.0157293101621278</v>
      </c>
      <c r="M1138" s="18">
        <f t="shared" si="53"/>
        <v>-0.32205</v>
      </c>
    </row>
    <row r="1139" spans="1:13">
      <c r="A1139" t="s">
        <v>13</v>
      </c>
      <c r="B1139" t="s">
        <v>2288</v>
      </c>
      <c r="C1139" t="s">
        <v>2289</v>
      </c>
      <c r="D1139">
        <v>110728.21</v>
      </c>
      <c r="E1139">
        <v>110728.21</v>
      </c>
      <c r="F1139">
        <v>0.843</v>
      </c>
      <c r="G1139">
        <v>0</v>
      </c>
      <c r="H1139">
        <v>9.334388</v>
      </c>
      <c r="I1139">
        <v>9.28197</v>
      </c>
      <c r="J1139">
        <v>0.052418</v>
      </c>
      <c r="K1139" s="4">
        <f t="shared" si="51"/>
        <v>0.00564729254673308</v>
      </c>
      <c r="L1139" s="4">
        <f t="shared" si="52"/>
        <v>0</v>
      </c>
      <c r="M1139" s="18">
        <f t="shared" si="53"/>
        <v>0</v>
      </c>
    </row>
    <row r="1140" spans="1:13">
      <c r="A1140" t="s">
        <v>13</v>
      </c>
      <c r="B1140" t="s">
        <v>2290</v>
      </c>
      <c r="C1140" t="s">
        <v>2291</v>
      </c>
      <c r="D1140">
        <v>4094.2</v>
      </c>
      <c r="E1140">
        <v>3894.2</v>
      </c>
      <c r="F1140">
        <v>1.42</v>
      </c>
      <c r="G1140">
        <v>200</v>
      </c>
      <c r="H1140">
        <v>0.552976</v>
      </c>
      <c r="I1140">
        <v>0.564659</v>
      </c>
      <c r="J1140">
        <v>-0.011683</v>
      </c>
      <c r="K1140" s="4">
        <f t="shared" si="51"/>
        <v>-0.0206903635645584</v>
      </c>
      <c r="L1140" s="4">
        <f t="shared" si="52"/>
        <v>0.0513584304863643</v>
      </c>
      <c r="M1140" s="18">
        <f t="shared" si="53"/>
        <v>0.0284</v>
      </c>
    </row>
    <row r="1141" spans="1:13">
      <c r="A1141" t="s">
        <v>13</v>
      </c>
      <c r="B1141" t="s">
        <v>2292</v>
      </c>
      <c r="C1141" t="s">
        <v>2293</v>
      </c>
      <c r="D1141">
        <v>57510.94</v>
      </c>
      <c r="E1141">
        <v>57510.94</v>
      </c>
      <c r="F1141">
        <v>0.902</v>
      </c>
      <c r="G1141">
        <v>0</v>
      </c>
      <c r="H1141">
        <v>5.187487</v>
      </c>
      <c r="I1141">
        <v>5.302509</v>
      </c>
      <c r="J1141">
        <v>-0.115022</v>
      </c>
      <c r="K1141" s="4">
        <f t="shared" si="51"/>
        <v>-0.0216919952422523</v>
      </c>
      <c r="L1141" s="4">
        <f t="shared" si="52"/>
        <v>0</v>
      </c>
      <c r="M1141" s="18">
        <f t="shared" si="53"/>
        <v>0</v>
      </c>
    </row>
    <row r="1142" spans="1:13">
      <c r="A1142" t="s">
        <v>13</v>
      </c>
      <c r="B1142" t="s">
        <v>2294</v>
      </c>
      <c r="C1142" t="s">
        <v>2295</v>
      </c>
      <c r="D1142">
        <v>33442.27</v>
      </c>
      <c r="E1142">
        <v>33442.27</v>
      </c>
      <c r="F1142">
        <v>0.848</v>
      </c>
      <c r="G1142">
        <v>0</v>
      </c>
      <c r="H1142">
        <v>2.835904</v>
      </c>
      <c r="I1142">
        <v>2.906133</v>
      </c>
      <c r="J1142">
        <v>-0.070229</v>
      </c>
      <c r="K1142" s="4">
        <f t="shared" si="51"/>
        <v>-0.0241657900722369</v>
      </c>
      <c r="L1142" s="4">
        <f t="shared" si="52"/>
        <v>0</v>
      </c>
      <c r="M1142" s="18">
        <f t="shared" si="53"/>
        <v>0</v>
      </c>
    </row>
    <row r="1143" spans="1:13">
      <c r="A1143" t="s">
        <v>13</v>
      </c>
      <c r="B1143" t="s">
        <v>2296</v>
      </c>
      <c r="C1143" t="s">
        <v>2297</v>
      </c>
      <c r="D1143">
        <v>8249.6</v>
      </c>
      <c r="E1143">
        <v>8249.6</v>
      </c>
      <c r="F1143">
        <v>1.161</v>
      </c>
      <c r="G1143">
        <v>0</v>
      </c>
      <c r="H1143">
        <v>0.957779</v>
      </c>
      <c r="I1143">
        <v>0.959428</v>
      </c>
      <c r="J1143">
        <v>-0.001649</v>
      </c>
      <c r="K1143" s="4">
        <f t="shared" si="51"/>
        <v>-0.00171873241139512</v>
      </c>
      <c r="L1143" s="4">
        <f t="shared" si="52"/>
        <v>0</v>
      </c>
      <c r="M1143" s="18">
        <f t="shared" si="53"/>
        <v>0</v>
      </c>
    </row>
    <row r="1144" spans="1:13">
      <c r="A1144" t="s">
        <v>13</v>
      </c>
      <c r="B1144" t="s">
        <v>2298</v>
      </c>
      <c r="C1144" t="s">
        <v>2299</v>
      </c>
      <c r="D1144">
        <v>556924.3</v>
      </c>
      <c r="E1144">
        <v>556924.3</v>
      </c>
      <c r="G1144">
        <v>0</v>
      </c>
      <c r="H1144">
        <v>62.097059</v>
      </c>
      <c r="I1144">
        <v>63.155215</v>
      </c>
      <c r="J1144">
        <v>-1.058156</v>
      </c>
      <c r="K1144" s="4">
        <f t="shared" si="51"/>
        <v>-0.0167548475608863</v>
      </c>
      <c r="L1144" s="4">
        <f t="shared" si="52"/>
        <v>0</v>
      </c>
      <c r="M1144" s="18">
        <f t="shared" si="53"/>
        <v>0</v>
      </c>
    </row>
    <row r="1145" spans="1:13">
      <c r="A1145" t="s">
        <v>13</v>
      </c>
      <c r="B1145" t="s">
        <v>2300</v>
      </c>
      <c r="C1145" t="s">
        <v>2301</v>
      </c>
      <c r="D1145">
        <v>42311.45</v>
      </c>
      <c r="E1145">
        <v>42311.45</v>
      </c>
      <c r="F1145">
        <v>0.874</v>
      </c>
      <c r="G1145">
        <v>0</v>
      </c>
      <c r="H1145">
        <v>3.69802</v>
      </c>
      <c r="I1145">
        <v>3.647247</v>
      </c>
      <c r="J1145">
        <v>0.050773</v>
      </c>
      <c r="K1145" s="4">
        <f t="shared" si="51"/>
        <v>0.0139209107581691</v>
      </c>
      <c r="L1145" s="4">
        <f t="shared" si="52"/>
        <v>0</v>
      </c>
      <c r="M1145" s="18">
        <f t="shared" si="53"/>
        <v>0</v>
      </c>
    </row>
    <row r="1146" spans="1:13">
      <c r="A1146" t="s">
        <v>13</v>
      </c>
      <c r="B1146" t="s">
        <v>2302</v>
      </c>
      <c r="C1146" t="s">
        <v>2303</v>
      </c>
      <c r="D1146">
        <v>91157.21</v>
      </c>
      <c r="E1146">
        <v>92357.21</v>
      </c>
      <c r="F1146">
        <v>1.476</v>
      </c>
      <c r="G1146">
        <v>-1200</v>
      </c>
      <c r="H1146">
        <v>13.631924</v>
      </c>
      <c r="I1146">
        <v>13.415541</v>
      </c>
      <c r="J1146">
        <v>0.216383</v>
      </c>
      <c r="K1146" s="4">
        <f t="shared" si="51"/>
        <v>0.0161292787223415</v>
      </c>
      <c r="L1146" s="4">
        <f t="shared" si="52"/>
        <v>-0.0129930299973332</v>
      </c>
      <c r="M1146" s="18">
        <f t="shared" si="53"/>
        <v>-0.17712</v>
      </c>
    </row>
    <row r="1147" spans="1:13">
      <c r="A1147" t="s">
        <v>13</v>
      </c>
      <c r="B1147" t="s">
        <v>2304</v>
      </c>
      <c r="C1147" t="s">
        <v>2305</v>
      </c>
      <c r="D1147">
        <v>518767.1</v>
      </c>
      <c r="E1147">
        <v>518692.1</v>
      </c>
      <c r="F1147">
        <v>2.752</v>
      </c>
      <c r="G1147">
        <v>75</v>
      </c>
      <c r="H1147">
        <v>142.744066</v>
      </c>
      <c r="I1147">
        <v>143.190181</v>
      </c>
      <c r="J1147">
        <v>-0.446115</v>
      </c>
      <c r="K1147" s="4">
        <f t="shared" si="51"/>
        <v>-0.00311554184012101</v>
      </c>
      <c r="L1147" s="4">
        <f t="shared" si="52"/>
        <v>0.000144594452084387</v>
      </c>
      <c r="M1147" s="18">
        <f t="shared" si="53"/>
        <v>0.02064</v>
      </c>
    </row>
    <row r="1148" spans="1:13">
      <c r="A1148" t="s">
        <v>13</v>
      </c>
      <c r="B1148" t="s">
        <v>2306</v>
      </c>
      <c r="C1148" t="s">
        <v>2307</v>
      </c>
      <c r="D1148">
        <v>227742.7</v>
      </c>
      <c r="E1148">
        <v>227442.7</v>
      </c>
      <c r="F1148">
        <v>6.355</v>
      </c>
      <c r="G1148">
        <v>300</v>
      </c>
      <c r="H1148">
        <v>144.539836</v>
      </c>
      <c r="I1148">
        <v>140.48776</v>
      </c>
      <c r="J1148">
        <v>4.052076</v>
      </c>
      <c r="K1148" s="4">
        <f t="shared" si="51"/>
        <v>0.0288429112970411</v>
      </c>
      <c r="L1148" s="4">
        <f t="shared" si="52"/>
        <v>0.00131901353615658</v>
      </c>
      <c r="M1148" s="18">
        <f t="shared" si="53"/>
        <v>0.19065</v>
      </c>
    </row>
    <row r="1149" spans="1:13">
      <c r="A1149" t="s">
        <v>13</v>
      </c>
      <c r="B1149" t="s">
        <v>2308</v>
      </c>
      <c r="C1149" t="s">
        <v>2309</v>
      </c>
      <c r="D1149">
        <v>11101.06</v>
      </c>
      <c r="E1149">
        <v>11201.06</v>
      </c>
      <c r="F1149">
        <v>1.008</v>
      </c>
      <c r="G1149">
        <v>-100</v>
      </c>
      <c r="H1149">
        <v>1.129067</v>
      </c>
      <c r="I1149">
        <v>1.152589</v>
      </c>
      <c r="J1149">
        <v>-0.023522</v>
      </c>
      <c r="K1149" s="4">
        <f t="shared" si="51"/>
        <v>-0.0204079684952746</v>
      </c>
      <c r="L1149" s="4">
        <f t="shared" si="52"/>
        <v>-0.00892772648302929</v>
      </c>
      <c r="M1149" s="18">
        <f t="shared" si="53"/>
        <v>-0.01008</v>
      </c>
    </row>
    <row r="1150" spans="1:13">
      <c r="A1150" t="s">
        <v>13</v>
      </c>
      <c r="B1150" t="s">
        <v>2310</v>
      </c>
      <c r="C1150" t="s">
        <v>2311</v>
      </c>
      <c r="D1150">
        <v>7326948</v>
      </c>
      <c r="E1150">
        <v>7326948</v>
      </c>
      <c r="F1150">
        <v>0.368</v>
      </c>
      <c r="G1150">
        <v>0</v>
      </c>
      <c r="H1150">
        <v>269.631686</v>
      </c>
      <c r="I1150">
        <v>276.22594</v>
      </c>
      <c r="J1150">
        <v>-6.594254</v>
      </c>
      <c r="K1150" s="4">
        <f t="shared" si="51"/>
        <v>-0.0238726819067029</v>
      </c>
      <c r="L1150" s="4">
        <f t="shared" si="52"/>
        <v>0</v>
      </c>
      <c r="M1150" s="18">
        <f t="shared" si="53"/>
        <v>0</v>
      </c>
    </row>
    <row r="1151" spans="1:13">
      <c r="A1151" t="s">
        <v>13</v>
      </c>
      <c r="B1151" t="s">
        <v>2312</v>
      </c>
      <c r="C1151" t="s">
        <v>2313</v>
      </c>
      <c r="D1151">
        <v>86774.6</v>
      </c>
      <c r="E1151">
        <v>86674.6</v>
      </c>
      <c r="F1151">
        <v>1.089</v>
      </c>
      <c r="G1151">
        <v>100</v>
      </c>
      <c r="H1151">
        <v>9.438864</v>
      </c>
      <c r="I1151">
        <v>9.531863</v>
      </c>
      <c r="J1151">
        <v>-0.092999</v>
      </c>
      <c r="K1151" s="4">
        <f t="shared" si="51"/>
        <v>-0.00975664463494702</v>
      </c>
      <c r="L1151" s="4">
        <f t="shared" si="52"/>
        <v>0.00115374054221191</v>
      </c>
      <c r="M1151" s="18">
        <f t="shared" si="53"/>
        <v>0.01089</v>
      </c>
    </row>
    <row r="1152" spans="1:13">
      <c r="A1152" t="s">
        <v>13</v>
      </c>
      <c r="B1152" t="s">
        <v>2314</v>
      </c>
      <c r="C1152" t="s">
        <v>2315</v>
      </c>
      <c r="D1152">
        <v>65521.39</v>
      </c>
      <c r="E1152">
        <v>65521.39</v>
      </c>
      <c r="F1152">
        <v>0.43</v>
      </c>
      <c r="G1152">
        <v>0</v>
      </c>
      <c r="H1152">
        <v>2.81742</v>
      </c>
      <c r="I1152">
        <v>2.804433</v>
      </c>
      <c r="J1152">
        <v>0.012987</v>
      </c>
      <c r="K1152" s="4">
        <f t="shared" si="51"/>
        <v>0.00463088260621666</v>
      </c>
      <c r="L1152" s="4">
        <f t="shared" si="52"/>
        <v>0</v>
      </c>
      <c r="M1152" s="18">
        <f t="shared" si="53"/>
        <v>0</v>
      </c>
    </row>
    <row r="1153" spans="1:13">
      <c r="A1153" t="s">
        <v>13</v>
      </c>
      <c r="B1153" t="s">
        <v>2316</v>
      </c>
      <c r="C1153" t="s">
        <v>2317</v>
      </c>
      <c r="D1153">
        <v>1983778.49</v>
      </c>
      <c r="E1153">
        <v>1983778.49</v>
      </c>
      <c r="F1153">
        <v>0.525</v>
      </c>
      <c r="G1153">
        <v>0</v>
      </c>
      <c r="H1153">
        <v>104.148371</v>
      </c>
      <c r="I1153">
        <v>106.148199</v>
      </c>
      <c r="J1153">
        <v>-1.999828</v>
      </c>
      <c r="K1153" s="4">
        <f t="shared" si="51"/>
        <v>-0.018839961665294</v>
      </c>
      <c r="L1153" s="4">
        <f t="shared" si="52"/>
        <v>0</v>
      </c>
      <c r="M1153" s="18">
        <f t="shared" si="53"/>
        <v>0</v>
      </c>
    </row>
    <row r="1154" spans="1:13">
      <c r="A1154" t="s">
        <v>13</v>
      </c>
      <c r="B1154" t="s">
        <v>2318</v>
      </c>
      <c r="C1154" t="s">
        <v>2319</v>
      </c>
      <c r="D1154">
        <v>184237.91</v>
      </c>
      <c r="E1154">
        <v>184237.91</v>
      </c>
      <c r="F1154">
        <v>2.5</v>
      </c>
      <c r="G1154">
        <v>0</v>
      </c>
      <c r="H1154">
        <v>46.059478</v>
      </c>
      <c r="I1154">
        <v>46.225292</v>
      </c>
      <c r="J1154">
        <v>-0.165814</v>
      </c>
      <c r="K1154" s="4">
        <f t="shared" ref="K1154:K1217" si="54">IFERROR(J1154/I1154,"")</f>
        <v>-0.003587083884727</v>
      </c>
      <c r="L1154" s="4">
        <f t="shared" ref="L1154:L1217" si="55">IFERROR((D1154-E1154)/E1154,"")</f>
        <v>0</v>
      </c>
      <c r="M1154" s="18">
        <f t="shared" ref="M1154:M1217" si="56">IFERROR(F1154*G1154/10000,"")</f>
        <v>0</v>
      </c>
    </row>
    <row r="1155" spans="1:13">
      <c r="A1155" t="s">
        <v>13</v>
      </c>
      <c r="B1155" t="s">
        <v>2320</v>
      </c>
      <c r="C1155" t="s">
        <v>2321</v>
      </c>
      <c r="D1155">
        <v>223706.2</v>
      </c>
      <c r="E1155">
        <v>223206.2</v>
      </c>
      <c r="F1155">
        <v>1.306</v>
      </c>
      <c r="G1155">
        <v>500</v>
      </c>
      <c r="H1155">
        <v>29.15073</v>
      </c>
      <c r="I1155">
        <v>28.862724</v>
      </c>
      <c r="J1155">
        <v>0.288006</v>
      </c>
      <c r="K1155" s="4">
        <f t="shared" si="54"/>
        <v>0.00997847604404906</v>
      </c>
      <c r="L1155" s="4">
        <f t="shared" si="55"/>
        <v>0.00224008114469939</v>
      </c>
      <c r="M1155" s="18">
        <f t="shared" si="56"/>
        <v>0.0653</v>
      </c>
    </row>
    <row r="1156" spans="1:13">
      <c r="A1156" t="s">
        <v>13</v>
      </c>
      <c r="B1156" t="s">
        <v>2322</v>
      </c>
      <c r="C1156" t="s">
        <v>2323</v>
      </c>
      <c r="D1156">
        <v>993163.86</v>
      </c>
      <c r="E1156">
        <v>993163.86</v>
      </c>
      <c r="F1156">
        <v>2.564</v>
      </c>
      <c r="G1156">
        <v>0</v>
      </c>
      <c r="H1156">
        <v>254.647213</v>
      </c>
      <c r="I1156">
        <v>256.037642</v>
      </c>
      <c r="J1156">
        <v>-1.390429</v>
      </c>
      <c r="K1156" s="4">
        <f t="shared" si="54"/>
        <v>-0.00543056477609648</v>
      </c>
      <c r="L1156" s="4">
        <f t="shared" si="55"/>
        <v>0</v>
      </c>
      <c r="M1156" s="18">
        <f t="shared" si="56"/>
        <v>0</v>
      </c>
    </row>
    <row r="1157" spans="1:13">
      <c r="A1157" t="s">
        <v>13</v>
      </c>
      <c r="B1157" t="s">
        <v>2324</v>
      </c>
      <c r="C1157" t="s">
        <v>2325</v>
      </c>
      <c r="D1157">
        <v>105238.72</v>
      </c>
      <c r="E1157">
        <v>105188.72</v>
      </c>
      <c r="F1157">
        <v>2.528</v>
      </c>
      <c r="G1157">
        <v>50</v>
      </c>
      <c r="H1157">
        <v>26.591708</v>
      </c>
      <c r="I1157">
        <v>25.853611</v>
      </c>
      <c r="J1157">
        <v>0.738097</v>
      </c>
      <c r="K1157" s="4">
        <f t="shared" si="54"/>
        <v>0.0285490873982748</v>
      </c>
      <c r="L1157" s="4">
        <f t="shared" si="55"/>
        <v>0.000475336138703846</v>
      </c>
      <c r="M1157" s="18">
        <f t="shared" si="56"/>
        <v>0.01264</v>
      </c>
    </row>
    <row r="1158" spans="1:13">
      <c r="A1158" t="s">
        <v>13</v>
      </c>
      <c r="B1158" t="s">
        <v>2326</v>
      </c>
      <c r="C1158" t="s">
        <v>2327</v>
      </c>
      <c r="D1158">
        <v>257743.87</v>
      </c>
      <c r="E1158">
        <v>252743.87</v>
      </c>
      <c r="F1158">
        <v>1.521</v>
      </c>
      <c r="G1158">
        <v>5000</v>
      </c>
      <c r="H1158">
        <v>38.442343</v>
      </c>
      <c r="I1158">
        <v>39.29781</v>
      </c>
      <c r="J1158">
        <v>-0.855467</v>
      </c>
      <c r="K1158" s="4">
        <f t="shared" si="54"/>
        <v>-0.0217688212142102</v>
      </c>
      <c r="L1158" s="4">
        <f t="shared" si="55"/>
        <v>0.0197828734679104</v>
      </c>
      <c r="M1158" s="18">
        <f t="shared" si="56"/>
        <v>0.7605</v>
      </c>
    </row>
    <row r="1159" spans="1:13">
      <c r="A1159" t="s">
        <v>13</v>
      </c>
      <c r="B1159" t="s">
        <v>2328</v>
      </c>
      <c r="C1159" t="s">
        <v>2329</v>
      </c>
      <c r="D1159">
        <v>180199.2</v>
      </c>
      <c r="E1159">
        <v>180399.2</v>
      </c>
      <c r="F1159">
        <v>1.055</v>
      </c>
      <c r="G1159">
        <v>-200</v>
      </c>
      <c r="H1159">
        <v>19.032116</v>
      </c>
      <c r="I1159">
        <v>19.747664</v>
      </c>
      <c r="J1159">
        <v>-0.715548</v>
      </c>
      <c r="K1159" s="4">
        <f t="shared" si="54"/>
        <v>-0.0362345642502323</v>
      </c>
      <c r="L1159" s="4">
        <f t="shared" si="55"/>
        <v>-0.00110865236652934</v>
      </c>
      <c r="M1159" s="18">
        <f t="shared" si="56"/>
        <v>-0.0211</v>
      </c>
    </row>
    <row r="1160" spans="1:13">
      <c r="A1160" t="s">
        <v>13</v>
      </c>
      <c r="B1160" t="s">
        <v>2330</v>
      </c>
      <c r="C1160" t="s">
        <v>2331</v>
      </c>
      <c r="D1160">
        <v>58138.6</v>
      </c>
      <c r="E1160">
        <v>58138.6</v>
      </c>
      <c r="F1160">
        <v>1.089</v>
      </c>
      <c r="G1160">
        <v>0</v>
      </c>
      <c r="H1160">
        <v>6.331294</v>
      </c>
      <c r="I1160">
        <v>6.430129</v>
      </c>
      <c r="J1160">
        <v>-0.098835</v>
      </c>
      <c r="K1160" s="4">
        <f t="shared" si="54"/>
        <v>-0.0153706092055074</v>
      </c>
      <c r="L1160" s="4">
        <f t="shared" si="55"/>
        <v>0</v>
      </c>
      <c r="M1160" s="18">
        <f t="shared" si="56"/>
        <v>0</v>
      </c>
    </row>
    <row r="1161" spans="1:13">
      <c r="A1161" t="s">
        <v>13</v>
      </c>
      <c r="B1161" t="s">
        <v>2332</v>
      </c>
      <c r="C1161" t="s">
        <v>2333</v>
      </c>
      <c r="D1161">
        <v>711811.8</v>
      </c>
      <c r="E1161">
        <v>711811.8</v>
      </c>
      <c r="F1161">
        <v>0.576</v>
      </c>
      <c r="G1161">
        <v>0</v>
      </c>
      <c r="H1161">
        <v>41.00036</v>
      </c>
      <c r="I1161">
        <v>41.783353</v>
      </c>
      <c r="J1161">
        <v>-0.782993</v>
      </c>
      <c r="K1161" s="4">
        <f t="shared" si="54"/>
        <v>-0.0187393529667186</v>
      </c>
      <c r="L1161" s="4">
        <f t="shared" si="55"/>
        <v>0</v>
      </c>
      <c r="M1161" s="18">
        <f t="shared" si="56"/>
        <v>0</v>
      </c>
    </row>
    <row r="1162" spans="1:13">
      <c r="A1162" t="s">
        <v>13</v>
      </c>
      <c r="B1162" t="s">
        <v>2334</v>
      </c>
      <c r="C1162" t="s">
        <v>2335</v>
      </c>
      <c r="D1162">
        <v>14131.89</v>
      </c>
      <c r="E1162">
        <v>14161.89</v>
      </c>
      <c r="F1162">
        <v>0.752</v>
      </c>
      <c r="G1162">
        <v>-30</v>
      </c>
      <c r="H1162">
        <v>1.064974</v>
      </c>
      <c r="I1162">
        <v>1.094714</v>
      </c>
      <c r="J1162">
        <v>-0.02974</v>
      </c>
      <c r="K1162" s="4">
        <f t="shared" si="54"/>
        <v>-0.0271669130019348</v>
      </c>
      <c r="L1162" s="4">
        <f t="shared" si="55"/>
        <v>-0.00211836132041698</v>
      </c>
      <c r="M1162" s="18">
        <f t="shared" si="56"/>
        <v>-0.002256</v>
      </c>
    </row>
    <row r="1163" spans="1:13">
      <c r="A1163" t="s">
        <v>13</v>
      </c>
      <c r="B1163" t="s">
        <v>2336</v>
      </c>
      <c r="C1163" t="s">
        <v>2337</v>
      </c>
      <c r="D1163">
        <v>64882.95</v>
      </c>
      <c r="E1163">
        <v>64882.95</v>
      </c>
      <c r="G1163">
        <v>0</v>
      </c>
      <c r="H1163">
        <v>16.850102</v>
      </c>
      <c r="I1163">
        <v>17.194489</v>
      </c>
      <c r="J1163">
        <v>-0.344387</v>
      </c>
      <c r="K1163" s="4">
        <f t="shared" si="54"/>
        <v>-0.0200289174048732</v>
      </c>
      <c r="L1163" s="4">
        <f t="shared" si="55"/>
        <v>0</v>
      </c>
      <c r="M1163" s="18">
        <f t="shared" si="56"/>
        <v>0</v>
      </c>
    </row>
    <row r="1164" spans="1:13">
      <c r="A1164" t="s">
        <v>13</v>
      </c>
      <c r="B1164" t="s">
        <v>2338</v>
      </c>
      <c r="C1164" t="s">
        <v>2339</v>
      </c>
      <c r="D1164">
        <v>17721.6</v>
      </c>
      <c r="E1164">
        <v>17821.6</v>
      </c>
      <c r="F1164">
        <v>0.835</v>
      </c>
      <c r="G1164">
        <v>-100</v>
      </c>
      <c r="H1164">
        <v>1.488104</v>
      </c>
      <c r="I1164">
        <v>1.489285</v>
      </c>
      <c r="J1164">
        <v>-0.001181</v>
      </c>
      <c r="K1164" s="4">
        <f t="shared" si="54"/>
        <v>-0.000792997982253229</v>
      </c>
      <c r="L1164" s="4">
        <f t="shared" si="55"/>
        <v>-0.00561116846972214</v>
      </c>
      <c r="M1164" s="18">
        <f t="shared" si="56"/>
        <v>-0.00835</v>
      </c>
    </row>
    <row r="1165" spans="1:13">
      <c r="A1165" t="s">
        <v>13</v>
      </c>
      <c r="B1165" t="s">
        <v>2340</v>
      </c>
      <c r="C1165" t="s">
        <v>2341</v>
      </c>
      <c r="D1165">
        <v>848635.9</v>
      </c>
      <c r="E1165">
        <v>868635.9</v>
      </c>
      <c r="F1165">
        <v>1.509</v>
      </c>
      <c r="G1165">
        <v>-20000</v>
      </c>
      <c r="H1165">
        <v>131.077157</v>
      </c>
      <c r="I1165">
        <v>137.174503</v>
      </c>
      <c r="J1165">
        <v>-6.097346</v>
      </c>
      <c r="K1165" s="4">
        <f t="shared" si="54"/>
        <v>-0.044449557801569</v>
      </c>
      <c r="L1165" s="4">
        <f t="shared" si="55"/>
        <v>-0.0230246067425949</v>
      </c>
      <c r="M1165" s="18">
        <f t="shared" si="56"/>
        <v>-3.018</v>
      </c>
    </row>
    <row r="1166" spans="1:13">
      <c r="A1166" t="s">
        <v>13</v>
      </c>
      <c r="B1166" t="s">
        <v>2342</v>
      </c>
      <c r="C1166" t="s">
        <v>2343</v>
      </c>
      <c r="D1166">
        <v>411173.4</v>
      </c>
      <c r="E1166">
        <v>410173.4</v>
      </c>
      <c r="F1166">
        <v>1.908</v>
      </c>
      <c r="G1166">
        <v>1000</v>
      </c>
      <c r="H1166">
        <v>78.261085</v>
      </c>
      <c r="I1166">
        <v>78.520375</v>
      </c>
      <c r="J1166">
        <v>-0.25929</v>
      </c>
      <c r="K1166" s="4">
        <f t="shared" si="54"/>
        <v>-0.00330220022510081</v>
      </c>
      <c r="L1166" s="4">
        <f t="shared" si="55"/>
        <v>0.00243799329746883</v>
      </c>
      <c r="M1166" s="18">
        <f t="shared" si="56"/>
        <v>0.1908</v>
      </c>
    </row>
    <row r="1167" spans="1:13">
      <c r="A1167" t="s">
        <v>13</v>
      </c>
      <c r="B1167" t="s">
        <v>2344</v>
      </c>
      <c r="C1167" t="s">
        <v>1265</v>
      </c>
      <c r="D1167">
        <v>239600.02</v>
      </c>
      <c r="E1167">
        <v>239600.02</v>
      </c>
      <c r="F1167">
        <v>1.406</v>
      </c>
      <c r="G1167">
        <v>0</v>
      </c>
      <c r="H1167">
        <v>33.687763</v>
      </c>
      <c r="I1167">
        <v>34.640903</v>
      </c>
      <c r="J1167">
        <v>-0.95314</v>
      </c>
      <c r="K1167" s="4">
        <f t="shared" si="54"/>
        <v>-0.0275148716533169</v>
      </c>
      <c r="L1167" s="4">
        <f t="shared" si="55"/>
        <v>0</v>
      </c>
      <c r="M1167" s="18">
        <f t="shared" si="56"/>
        <v>0</v>
      </c>
    </row>
    <row r="1168" spans="1:13">
      <c r="A1168" t="s">
        <v>13</v>
      </c>
      <c r="B1168" t="s">
        <v>2345</v>
      </c>
      <c r="C1168" t="s">
        <v>2346</v>
      </c>
      <c r="D1168">
        <v>389097.99</v>
      </c>
      <c r="E1168">
        <v>396597.99</v>
      </c>
      <c r="F1168">
        <v>1.065</v>
      </c>
      <c r="G1168">
        <v>-7500</v>
      </c>
      <c r="H1168">
        <v>42.237685</v>
      </c>
      <c r="I1168">
        <v>44.04668</v>
      </c>
      <c r="J1168">
        <v>-1.808995</v>
      </c>
      <c r="K1168" s="4">
        <f t="shared" si="54"/>
        <v>-0.0410699512426362</v>
      </c>
      <c r="L1168" s="4">
        <f t="shared" si="55"/>
        <v>-0.0189108371426693</v>
      </c>
      <c r="M1168" s="18">
        <f t="shared" si="56"/>
        <v>-0.79875</v>
      </c>
    </row>
    <row r="1169" spans="1:13">
      <c r="A1169" t="s">
        <v>13</v>
      </c>
      <c r="B1169" t="s">
        <v>2347</v>
      </c>
      <c r="C1169" t="s">
        <v>2348</v>
      </c>
      <c r="D1169">
        <v>97884.6</v>
      </c>
      <c r="E1169">
        <v>97984.6</v>
      </c>
      <c r="F1169">
        <v>0.505</v>
      </c>
      <c r="G1169">
        <v>-100</v>
      </c>
      <c r="H1169">
        <v>4.948222</v>
      </c>
      <c r="I1169">
        <v>4.89923</v>
      </c>
      <c r="J1169">
        <v>0.048992</v>
      </c>
      <c r="K1169" s="4">
        <f t="shared" si="54"/>
        <v>0.0099999387658877</v>
      </c>
      <c r="L1169" s="4">
        <f t="shared" si="55"/>
        <v>-0.00102056853832133</v>
      </c>
      <c r="M1169" s="18">
        <f t="shared" si="56"/>
        <v>-0.00505</v>
      </c>
    </row>
    <row r="1170" spans="1:13">
      <c r="A1170" t="s">
        <v>13</v>
      </c>
      <c r="B1170" t="s">
        <v>2349</v>
      </c>
      <c r="C1170" t="s">
        <v>2350</v>
      </c>
      <c r="D1170">
        <v>24985.9</v>
      </c>
      <c r="E1170">
        <v>24985.9</v>
      </c>
      <c r="F1170">
        <v>0.641</v>
      </c>
      <c r="G1170">
        <v>0</v>
      </c>
      <c r="H1170">
        <v>1.601596</v>
      </c>
      <c r="I1170">
        <v>1.649069</v>
      </c>
      <c r="J1170">
        <v>-0.047473</v>
      </c>
      <c r="K1170" s="4">
        <f t="shared" si="54"/>
        <v>-0.028787758426118</v>
      </c>
      <c r="L1170" s="4">
        <f t="shared" si="55"/>
        <v>0</v>
      </c>
      <c r="M1170" s="18">
        <f t="shared" si="56"/>
        <v>0</v>
      </c>
    </row>
    <row r="1171" spans="1:13">
      <c r="A1171" t="s">
        <v>13</v>
      </c>
      <c r="B1171" t="s">
        <v>2351</v>
      </c>
      <c r="C1171" t="s">
        <v>2352</v>
      </c>
      <c r="D1171">
        <v>89135.5</v>
      </c>
      <c r="E1171">
        <v>89335.5</v>
      </c>
      <c r="F1171">
        <v>1.182</v>
      </c>
      <c r="G1171">
        <v>-200</v>
      </c>
      <c r="H1171">
        <v>10.559456</v>
      </c>
      <c r="I1171">
        <v>10.586257</v>
      </c>
      <c r="J1171">
        <v>-0.026801</v>
      </c>
      <c r="K1171" s="4">
        <f t="shared" si="54"/>
        <v>-0.00253167857156689</v>
      </c>
      <c r="L1171" s="4">
        <f t="shared" si="55"/>
        <v>-0.00223875167206766</v>
      </c>
      <c r="M1171" s="18">
        <f t="shared" si="56"/>
        <v>-0.02364</v>
      </c>
    </row>
    <row r="1172" spans="1:13">
      <c r="A1172" t="s">
        <v>13</v>
      </c>
      <c r="B1172" t="s">
        <v>2353</v>
      </c>
      <c r="C1172" t="s">
        <v>2354</v>
      </c>
      <c r="D1172">
        <v>1078183.8</v>
      </c>
      <c r="E1172">
        <v>1082133.8</v>
      </c>
      <c r="F1172">
        <v>1.457</v>
      </c>
      <c r="G1172">
        <v>-3950</v>
      </c>
      <c r="H1172">
        <v>157.666895</v>
      </c>
      <c r="I1172">
        <v>165.864744</v>
      </c>
      <c r="J1172">
        <v>-8.197849</v>
      </c>
      <c r="K1172" s="4">
        <f t="shared" si="54"/>
        <v>-0.0494249037034658</v>
      </c>
      <c r="L1172" s="4">
        <f t="shared" si="55"/>
        <v>-0.00365019556731339</v>
      </c>
      <c r="M1172" s="18">
        <f t="shared" si="56"/>
        <v>-0.575515</v>
      </c>
    </row>
    <row r="1173" spans="1:13">
      <c r="A1173" t="s">
        <v>13</v>
      </c>
      <c r="B1173" t="s">
        <v>2355</v>
      </c>
      <c r="C1173" t="s">
        <v>2356</v>
      </c>
      <c r="D1173">
        <v>1565413.79</v>
      </c>
      <c r="E1173">
        <v>1586913.79</v>
      </c>
      <c r="F1173">
        <v>0.346</v>
      </c>
      <c r="G1173">
        <v>-21500</v>
      </c>
      <c r="H1173">
        <v>54.907217</v>
      </c>
      <c r="I1173">
        <v>57.844189</v>
      </c>
      <c r="J1173">
        <v>-2.936972</v>
      </c>
      <c r="K1173" s="4">
        <f t="shared" si="54"/>
        <v>-0.0507738469632619</v>
      </c>
      <c r="L1173" s="4">
        <f t="shared" si="55"/>
        <v>-0.0135483100187818</v>
      </c>
      <c r="M1173" s="18">
        <f t="shared" si="56"/>
        <v>-0.7439</v>
      </c>
    </row>
    <row r="1174" spans="1:13">
      <c r="A1174" t="s">
        <v>13</v>
      </c>
      <c r="B1174" t="s">
        <v>2357</v>
      </c>
      <c r="C1174" t="s">
        <v>2358</v>
      </c>
      <c r="D1174">
        <v>178965.7</v>
      </c>
      <c r="E1174">
        <v>179165.7</v>
      </c>
      <c r="F1174">
        <v>1.275</v>
      </c>
      <c r="G1174">
        <v>-200</v>
      </c>
      <c r="H1174">
        <v>22.843627</v>
      </c>
      <c r="I1174">
        <v>22.449462</v>
      </c>
      <c r="J1174">
        <v>0.394165</v>
      </c>
      <c r="K1174" s="4">
        <f t="shared" si="54"/>
        <v>0.0175578817879912</v>
      </c>
      <c r="L1174" s="4">
        <f t="shared" si="55"/>
        <v>-0.00111628509251492</v>
      </c>
      <c r="M1174" s="18">
        <f t="shared" si="56"/>
        <v>-0.0255</v>
      </c>
    </row>
    <row r="1175" spans="1:13">
      <c r="A1175" t="s">
        <v>13</v>
      </c>
      <c r="B1175" t="s">
        <v>2359</v>
      </c>
      <c r="C1175" t="s">
        <v>2360</v>
      </c>
      <c r="D1175">
        <v>105584.44</v>
      </c>
      <c r="E1175">
        <v>105344.44</v>
      </c>
      <c r="F1175">
        <v>1.86</v>
      </c>
      <c r="G1175">
        <v>240</v>
      </c>
      <c r="H1175">
        <v>19.594066</v>
      </c>
      <c r="I1175">
        <v>19.330705</v>
      </c>
      <c r="J1175">
        <v>0.263361</v>
      </c>
      <c r="K1175" s="4">
        <f t="shared" si="54"/>
        <v>0.0136239728452739</v>
      </c>
      <c r="L1175" s="4">
        <f t="shared" si="55"/>
        <v>0.0022782407880283</v>
      </c>
      <c r="M1175" s="18">
        <f t="shared" si="56"/>
        <v>0.04464</v>
      </c>
    </row>
    <row r="1176" spans="1:13">
      <c r="A1176" t="s">
        <v>13</v>
      </c>
      <c r="B1176" t="s">
        <v>2361</v>
      </c>
      <c r="C1176" t="s">
        <v>2362</v>
      </c>
      <c r="D1176">
        <v>3699.2</v>
      </c>
      <c r="E1176">
        <v>3699.2</v>
      </c>
      <c r="F1176">
        <v>1.67</v>
      </c>
      <c r="G1176">
        <v>0</v>
      </c>
      <c r="H1176">
        <v>0.617766</v>
      </c>
      <c r="I1176">
        <v>0.631453</v>
      </c>
      <c r="J1176">
        <v>-0.013687</v>
      </c>
      <c r="K1176" s="4">
        <f t="shared" si="54"/>
        <v>-0.0216754057705007</v>
      </c>
      <c r="L1176" s="4">
        <f t="shared" si="55"/>
        <v>0</v>
      </c>
      <c r="M1176" s="18">
        <f t="shared" si="56"/>
        <v>0</v>
      </c>
    </row>
    <row r="1177" spans="1:13">
      <c r="A1177" t="s">
        <v>13</v>
      </c>
      <c r="B1177" t="s">
        <v>2363</v>
      </c>
      <c r="C1177" t="s">
        <v>2364</v>
      </c>
      <c r="D1177">
        <v>189716.9</v>
      </c>
      <c r="E1177">
        <v>189816.9</v>
      </c>
      <c r="F1177">
        <v>1.181</v>
      </c>
      <c r="G1177">
        <v>-100</v>
      </c>
      <c r="H1177">
        <v>22.417376</v>
      </c>
      <c r="I1177">
        <v>22.985995</v>
      </c>
      <c r="J1177">
        <v>-0.568619</v>
      </c>
      <c r="K1177" s="4">
        <f t="shared" si="54"/>
        <v>-0.0247376282819169</v>
      </c>
      <c r="L1177" s="4">
        <f t="shared" si="55"/>
        <v>-0.000526823480944005</v>
      </c>
      <c r="M1177" s="18">
        <f t="shared" si="56"/>
        <v>-0.01181</v>
      </c>
    </row>
    <row r="1178" spans="1:13">
      <c r="A1178" t="s">
        <v>13</v>
      </c>
      <c r="B1178" t="s">
        <v>2365</v>
      </c>
      <c r="C1178" t="s">
        <v>2366</v>
      </c>
      <c r="D1178">
        <v>5781.1</v>
      </c>
      <c r="E1178">
        <v>5781.1</v>
      </c>
      <c r="F1178">
        <v>1.131</v>
      </c>
      <c r="G1178">
        <v>0</v>
      </c>
      <c r="H1178">
        <v>0.653842</v>
      </c>
      <c r="I1178">
        <v>0.671764</v>
      </c>
      <c r="J1178">
        <v>-0.017922</v>
      </c>
      <c r="K1178" s="4">
        <f t="shared" si="54"/>
        <v>-0.026679012272167</v>
      </c>
      <c r="L1178" s="4">
        <f t="shared" si="55"/>
        <v>0</v>
      </c>
      <c r="M1178" s="18">
        <f t="shared" si="56"/>
        <v>0</v>
      </c>
    </row>
    <row r="1179" spans="1:13">
      <c r="A1179" t="s">
        <v>13</v>
      </c>
      <c r="B1179" t="s">
        <v>2367</v>
      </c>
      <c r="C1179" t="s">
        <v>2368</v>
      </c>
      <c r="D1179">
        <v>119389.26</v>
      </c>
      <c r="E1179">
        <v>119289.26</v>
      </c>
      <c r="F1179">
        <v>1.763</v>
      </c>
      <c r="G1179">
        <v>100</v>
      </c>
      <c r="H1179">
        <v>21.030697</v>
      </c>
      <c r="I1179">
        <v>21.239526</v>
      </c>
      <c r="J1179">
        <v>-0.208829</v>
      </c>
      <c r="K1179" s="4">
        <f t="shared" si="54"/>
        <v>-0.00983209323974556</v>
      </c>
      <c r="L1179" s="4">
        <f t="shared" si="55"/>
        <v>0.000838298435248907</v>
      </c>
      <c r="M1179" s="18">
        <f t="shared" si="56"/>
        <v>0.01763</v>
      </c>
    </row>
    <row r="1180" spans="1:13">
      <c r="A1180" t="s">
        <v>13</v>
      </c>
      <c r="B1180" t="s">
        <v>2369</v>
      </c>
      <c r="C1180" t="s">
        <v>2370</v>
      </c>
      <c r="D1180">
        <v>446747.06</v>
      </c>
      <c r="E1180">
        <v>450247.06</v>
      </c>
      <c r="F1180">
        <v>0.585</v>
      </c>
      <c r="G1180">
        <v>-3500</v>
      </c>
      <c r="H1180">
        <v>26.339453</v>
      </c>
      <c r="I1180">
        <v>26.952575</v>
      </c>
      <c r="J1180">
        <v>-0.613122</v>
      </c>
      <c r="K1180" s="4">
        <f t="shared" si="54"/>
        <v>-0.0227481789773333</v>
      </c>
      <c r="L1180" s="4">
        <f t="shared" si="55"/>
        <v>-0.00777350994807162</v>
      </c>
      <c r="M1180" s="18">
        <f t="shared" si="56"/>
        <v>-0.20475</v>
      </c>
    </row>
    <row r="1181" spans="1:13">
      <c r="A1181" t="s">
        <v>13</v>
      </c>
      <c r="B1181" t="s">
        <v>2371</v>
      </c>
      <c r="C1181" t="s">
        <v>2372</v>
      </c>
      <c r="D1181">
        <v>123367.1</v>
      </c>
      <c r="E1181">
        <v>123267.1</v>
      </c>
      <c r="F1181">
        <v>2.122</v>
      </c>
      <c r="G1181">
        <v>100</v>
      </c>
      <c r="H1181">
        <v>26.157279</v>
      </c>
      <c r="I1181">
        <v>26.280546</v>
      </c>
      <c r="J1181">
        <v>-0.123267</v>
      </c>
      <c r="K1181" s="4">
        <f t="shared" si="54"/>
        <v>-0.00469042766463071</v>
      </c>
      <c r="L1181" s="4">
        <f t="shared" si="55"/>
        <v>0.000811246472091904</v>
      </c>
      <c r="M1181" s="18">
        <f t="shared" si="56"/>
        <v>0.02122</v>
      </c>
    </row>
    <row r="1182" spans="1:13">
      <c r="A1182" t="s">
        <v>13</v>
      </c>
      <c r="B1182" t="s">
        <v>2373</v>
      </c>
      <c r="C1182" t="s">
        <v>2374</v>
      </c>
      <c r="D1182">
        <v>126947</v>
      </c>
      <c r="E1182">
        <v>126897</v>
      </c>
      <c r="F1182">
        <v>2.33</v>
      </c>
      <c r="G1182">
        <v>50</v>
      </c>
      <c r="H1182">
        <v>29.567001</v>
      </c>
      <c r="I1182">
        <v>28.794269</v>
      </c>
      <c r="J1182">
        <v>0.772732</v>
      </c>
      <c r="K1182" s="4">
        <f t="shared" si="54"/>
        <v>0.0268363124620389</v>
      </c>
      <c r="L1182" s="4">
        <f t="shared" si="55"/>
        <v>0.00039402034721073</v>
      </c>
      <c r="M1182" s="18">
        <f t="shared" si="56"/>
        <v>0.01165</v>
      </c>
    </row>
    <row r="1183" spans="1:13">
      <c r="A1183" t="s">
        <v>13</v>
      </c>
      <c r="B1183" t="s">
        <v>2375</v>
      </c>
      <c r="C1183" t="s">
        <v>2376</v>
      </c>
      <c r="D1183">
        <v>97312.8</v>
      </c>
      <c r="E1183">
        <v>97412.8</v>
      </c>
      <c r="F1183">
        <v>0.888</v>
      </c>
      <c r="G1183">
        <v>-100</v>
      </c>
      <c r="H1183">
        <v>8.650257</v>
      </c>
      <c r="I1183">
        <v>8.786635</v>
      </c>
      <c r="J1183">
        <v>-0.136378</v>
      </c>
      <c r="K1183" s="4">
        <f t="shared" si="54"/>
        <v>-0.0155210726290554</v>
      </c>
      <c r="L1183" s="4">
        <f t="shared" si="55"/>
        <v>-0.00102655913801882</v>
      </c>
      <c r="M1183" s="18">
        <f t="shared" si="56"/>
        <v>-0.00888</v>
      </c>
    </row>
    <row r="1184" spans="1:13">
      <c r="A1184" t="s">
        <v>13</v>
      </c>
      <c r="B1184" t="s">
        <v>2377</v>
      </c>
      <c r="C1184" t="s">
        <v>2378</v>
      </c>
      <c r="D1184">
        <v>12897.8</v>
      </c>
      <c r="E1184">
        <v>12997.8</v>
      </c>
      <c r="F1184">
        <v>0.928</v>
      </c>
      <c r="G1184">
        <v>-100</v>
      </c>
      <c r="H1184">
        <v>1.206196</v>
      </c>
      <c r="I1184">
        <v>1.239052</v>
      </c>
      <c r="J1184">
        <v>-0.032856</v>
      </c>
      <c r="K1184" s="4">
        <f t="shared" si="54"/>
        <v>-0.0265170469036005</v>
      </c>
      <c r="L1184" s="4">
        <f t="shared" si="55"/>
        <v>-0.00769360968779332</v>
      </c>
      <c r="M1184" s="18">
        <f t="shared" si="56"/>
        <v>-0.00928</v>
      </c>
    </row>
    <row r="1185" spans="1:13">
      <c r="A1185" t="s">
        <v>13</v>
      </c>
      <c r="B1185" t="s">
        <v>2379</v>
      </c>
      <c r="C1185" t="s">
        <v>2380</v>
      </c>
      <c r="D1185">
        <v>222327.6</v>
      </c>
      <c r="E1185">
        <v>229627.6</v>
      </c>
      <c r="F1185">
        <v>1.488</v>
      </c>
      <c r="G1185">
        <v>-7300</v>
      </c>
      <c r="H1185">
        <v>34.168587</v>
      </c>
      <c r="I1185">
        <v>35.109945</v>
      </c>
      <c r="J1185">
        <v>-0.941358</v>
      </c>
      <c r="K1185" s="4">
        <f t="shared" si="54"/>
        <v>-0.0268117195854337</v>
      </c>
      <c r="L1185" s="4">
        <f t="shared" si="55"/>
        <v>-0.0317906035685606</v>
      </c>
      <c r="M1185" s="18">
        <f t="shared" si="56"/>
        <v>-1.08624</v>
      </c>
    </row>
    <row r="1186" spans="1:13">
      <c r="A1186" t="s">
        <v>13</v>
      </c>
      <c r="B1186" t="s">
        <v>2381</v>
      </c>
      <c r="C1186" t="s">
        <v>2382</v>
      </c>
      <c r="D1186">
        <v>279873.1</v>
      </c>
      <c r="E1186">
        <v>287923.1</v>
      </c>
      <c r="F1186">
        <v>1.505</v>
      </c>
      <c r="G1186">
        <v>-8050</v>
      </c>
      <c r="H1186">
        <v>43.332427</v>
      </c>
      <c r="I1186">
        <v>46.509265</v>
      </c>
      <c r="J1186">
        <v>-3.176838</v>
      </c>
      <c r="K1186" s="4">
        <f t="shared" si="54"/>
        <v>-0.0683054870895079</v>
      </c>
      <c r="L1186" s="4">
        <f t="shared" si="55"/>
        <v>-0.0279588542913021</v>
      </c>
      <c r="M1186" s="18">
        <f t="shared" si="56"/>
        <v>-1.211525</v>
      </c>
    </row>
    <row r="1187" spans="1:13">
      <c r="A1187" t="s">
        <v>13</v>
      </c>
      <c r="B1187" t="s">
        <v>2383</v>
      </c>
      <c r="C1187" t="s">
        <v>2384</v>
      </c>
      <c r="D1187">
        <v>7590.8</v>
      </c>
      <c r="E1187">
        <v>7590.8</v>
      </c>
      <c r="G1187">
        <v>0</v>
      </c>
      <c r="H1187">
        <v>0.621687</v>
      </c>
      <c r="I1187">
        <v>0.611059</v>
      </c>
      <c r="J1187">
        <v>0.010628</v>
      </c>
      <c r="K1187" s="4">
        <f t="shared" si="54"/>
        <v>0.0173927558549993</v>
      </c>
      <c r="L1187" s="4">
        <f t="shared" si="55"/>
        <v>0</v>
      </c>
      <c r="M1187" s="18">
        <f t="shared" si="56"/>
        <v>0</v>
      </c>
    </row>
    <row r="1188" spans="1:13">
      <c r="A1188" t="s">
        <v>13</v>
      </c>
      <c r="B1188" t="s">
        <v>2385</v>
      </c>
      <c r="C1188" t="s">
        <v>2386</v>
      </c>
      <c r="D1188">
        <v>209461.9</v>
      </c>
      <c r="E1188">
        <v>209611.9</v>
      </c>
      <c r="G1188">
        <v>-150</v>
      </c>
      <c r="H1188">
        <v>26.159565</v>
      </c>
      <c r="I1188">
        <v>26.997628</v>
      </c>
      <c r="J1188">
        <v>-0.838063</v>
      </c>
      <c r="K1188" s="4">
        <f t="shared" si="54"/>
        <v>-0.031042097476119</v>
      </c>
      <c r="L1188" s="4">
        <f t="shared" si="55"/>
        <v>-0.000715608226441342</v>
      </c>
      <c r="M1188" s="18">
        <f t="shared" si="56"/>
        <v>0</v>
      </c>
    </row>
    <row r="1189" spans="1:13">
      <c r="A1189" t="s">
        <v>13</v>
      </c>
      <c r="B1189" t="s">
        <v>2387</v>
      </c>
      <c r="C1189" t="s">
        <v>2388</v>
      </c>
      <c r="D1189">
        <v>158804.1</v>
      </c>
      <c r="E1189">
        <v>159204.1</v>
      </c>
      <c r="F1189">
        <v>0.796</v>
      </c>
      <c r="G1189">
        <v>-400</v>
      </c>
      <c r="I1189">
        <v>13.015884</v>
      </c>
      <c r="K1189" s="4">
        <f t="shared" si="54"/>
        <v>0</v>
      </c>
      <c r="L1189" s="4">
        <f t="shared" si="55"/>
        <v>-0.00251249810777486</v>
      </c>
      <c r="M1189" s="18">
        <f t="shared" si="56"/>
        <v>-0.03184</v>
      </c>
    </row>
    <row r="1190" spans="1:13">
      <c r="A1190" t="s">
        <v>13</v>
      </c>
      <c r="B1190" t="s">
        <v>2389</v>
      </c>
      <c r="C1190" t="s">
        <v>2390</v>
      </c>
      <c r="D1190">
        <v>2481420.4</v>
      </c>
      <c r="E1190">
        <v>2501420.4</v>
      </c>
      <c r="F1190">
        <v>0.583</v>
      </c>
      <c r="G1190">
        <v>-20000</v>
      </c>
      <c r="H1190">
        <v>145.832809</v>
      </c>
      <c r="I1190">
        <v>149.772372</v>
      </c>
      <c r="J1190">
        <v>-3.939563</v>
      </c>
      <c r="K1190" s="4">
        <f t="shared" si="54"/>
        <v>-0.0263036696781433</v>
      </c>
      <c r="L1190" s="4">
        <f t="shared" si="55"/>
        <v>-0.00799545730097988</v>
      </c>
      <c r="M1190" s="18">
        <f t="shared" si="56"/>
        <v>-1.166</v>
      </c>
    </row>
    <row r="1191" spans="1:13">
      <c r="A1191" t="s">
        <v>13</v>
      </c>
      <c r="B1191" t="s">
        <v>2391</v>
      </c>
      <c r="C1191" t="s">
        <v>2392</v>
      </c>
      <c r="D1191">
        <v>6700</v>
      </c>
      <c r="E1191">
        <v>6700</v>
      </c>
      <c r="F1191">
        <v>1.052</v>
      </c>
      <c r="G1191">
        <v>0</v>
      </c>
      <c r="H1191">
        <v>0.70484</v>
      </c>
      <c r="I1191">
        <v>0.71958</v>
      </c>
      <c r="J1191">
        <v>-0.01474</v>
      </c>
      <c r="K1191" s="4">
        <f t="shared" si="54"/>
        <v>-0.0204841713221601</v>
      </c>
      <c r="L1191" s="4">
        <f t="shared" si="55"/>
        <v>0</v>
      </c>
      <c r="M1191" s="18">
        <f t="shared" si="56"/>
        <v>0</v>
      </c>
    </row>
    <row r="1192" spans="1:13">
      <c r="A1192" t="s">
        <v>13</v>
      </c>
      <c r="B1192" t="s">
        <v>2393</v>
      </c>
      <c r="C1192" t="s">
        <v>2394</v>
      </c>
      <c r="D1192">
        <v>222857.93</v>
      </c>
      <c r="E1192">
        <v>218457.93</v>
      </c>
      <c r="F1192">
        <v>1.552</v>
      </c>
      <c r="G1192">
        <v>4400</v>
      </c>
      <c r="H1192">
        <v>33.904671</v>
      </c>
      <c r="I1192">
        <v>32.984527</v>
      </c>
      <c r="J1192">
        <v>0.920144</v>
      </c>
      <c r="K1192" s="4">
        <f t="shared" si="54"/>
        <v>0.0278962314663478</v>
      </c>
      <c r="L1192" s="4">
        <f t="shared" si="55"/>
        <v>0.0201411777544537</v>
      </c>
      <c r="M1192" s="18">
        <f t="shared" si="56"/>
        <v>0.68288</v>
      </c>
    </row>
    <row r="1193" spans="1:13">
      <c r="A1193" t="s">
        <v>13</v>
      </c>
      <c r="B1193" t="s">
        <v>2395</v>
      </c>
      <c r="C1193" t="s">
        <v>2396</v>
      </c>
      <c r="D1193">
        <v>168027.16</v>
      </c>
      <c r="E1193">
        <v>161527.16</v>
      </c>
      <c r="F1193">
        <v>1.21</v>
      </c>
      <c r="G1193">
        <v>6500</v>
      </c>
      <c r="H1193">
        <v>19.544786</v>
      </c>
      <c r="I1193">
        <v>19.942056</v>
      </c>
      <c r="J1193">
        <v>-0.39727</v>
      </c>
      <c r="K1193" s="4">
        <f t="shared" si="54"/>
        <v>-0.0199212157462601</v>
      </c>
      <c r="L1193" s="4">
        <f t="shared" si="55"/>
        <v>0.040240910568848</v>
      </c>
      <c r="M1193" s="18">
        <f t="shared" si="56"/>
        <v>0.7865</v>
      </c>
    </row>
    <row r="1194" spans="1:13">
      <c r="A1194" t="s">
        <v>13</v>
      </c>
      <c r="B1194" t="s">
        <v>2397</v>
      </c>
      <c r="C1194" t="s">
        <v>2398</v>
      </c>
      <c r="D1194">
        <v>41234.53</v>
      </c>
      <c r="E1194">
        <v>41384.53</v>
      </c>
      <c r="F1194">
        <v>1.637</v>
      </c>
      <c r="G1194">
        <v>-150</v>
      </c>
      <c r="H1194">
        <v>6.774648</v>
      </c>
      <c r="I1194">
        <v>6.969568</v>
      </c>
      <c r="J1194">
        <v>-0.19492</v>
      </c>
      <c r="K1194" s="4">
        <f t="shared" si="54"/>
        <v>-0.0279673001253449</v>
      </c>
      <c r="L1194" s="4">
        <f t="shared" si="55"/>
        <v>-0.00362454279413104</v>
      </c>
      <c r="M1194" s="18">
        <f t="shared" si="56"/>
        <v>-0.024555</v>
      </c>
    </row>
    <row r="1195" spans="1:13">
      <c r="A1195" t="s">
        <v>13</v>
      </c>
      <c r="B1195" t="s">
        <v>2399</v>
      </c>
      <c r="C1195" t="s">
        <v>2400</v>
      </c>
      <c r="D1195">
        <v>170338.4</v>
      </c>
      <c r="E1195">
        <v>170238.4</v>
      </c>
      <c r="F1195">
        <v>1.925</v>
      </c>
      <c r="G1195">
        <v>100</v>
      </c>
      <c r="H1195">
        <v>32.770892</v>
      </c>
      <c r="I1195">
        <v>33.174471</v>
      </c>
      <c r="J1195">
        <v>-0.403579</v>
      </c>
      <c r="K1195" s="4">
        <f t="shared" si="54"/>
        <v>-0.0121653484693094</v>
      </c>
      <c r="L1195" s="4">
        <f t="shared" si="55"/>
        <v>0.000587411535822705</v>
      </c>
      <c r="M1195" s="18">
        <f t="shared" si="56"/>
        <v>0.01925</v>
      </c>
    </row>
    <row r="1196" spans="1:13">
      <c r="A1196" t="s">
        <v>13</v>
      </c>
      <c r="B1196" t="s">
        <v>2401</v>
      </c>
      <c r="C1196" t="s">
        <v>2402</v>
      </c>
      <c r="D1196">
        <v>1505320.54</v>
      </c>
      <c r="E1196">
        <v>1475520.54</v>
      </c>
      <c r="F1196">
        <v>1.383</v>
      </c>
      <c r="G1196">
        <v>29800</v>
      </c>
      <c r="H1196">
        <v>204.064491</v>
      </c>
      <c r="I1196">
        <v>194.980648</v>
      </c>
      <c r="J1196">
        <v>9.083843</v>
      </c>
      <c r="K1196" s="4">
        <f t="shared" si="54"/>
        <v>0.0465884337403577</v>
      </c>
      <c r="L1196" s="4">
        <f t="shared" si="55"/>
        <v>0.0201962623983533</v>
      </c>
      <c r="M1196" s="18">
        <f t="shared" si="56"/>
        <v>4.12134</v>
      </c>
    </row>
    <row r="1197" spans="1:13">
      <c r="A1197" t="s">
        <v>13</v>
      </c>
      <c r="B1197" t="s">
        <v>2403</v>
      </c>
      <c r="C1197" t="s">
        <v>2404</v>
      </c>
      <c r="D1197">
        <v>92647.81</v>
      </c>
      <c r="E1197">
        <v>90147.81</v>
      </c>
      <c r="F1197">
        <v>0.598</v>
      </c>
      <c r="G1197">
        <v>2500</v>
      </c>
      <c r="H1197">
        <v>5.390839</v>
      </c>
      <c r="I1197">
        <v>5.460033</v>
      </c>
      <c r="J1197">
        <v>-0.069194</v>
      </c>
      <c r="K1197" s="4">
        <f t="shared" si="54"/>
        <v>-0.0126728171789438</v>
      </c>
      <c r="L1197" s="4">
        <f t="shared" si="55"/>
        <v>0.0277322322084142</v>
      </c>
      <c r="M1197" s="18">
        <f t="shared" si="56"/>
        <v>0.1495</v>
      </c>
    </row>
    <row r="1198" spans="1:13">
      <c r="A1198" t="s">
        <v>13</v>
      </c>
      <c r="B1198" t="s">
        <v>2405</v>
      </c>
      <c r="C1198" t="s">
        <v>2406</v>
      </c>
      <c r="D1198">
        <v>368297.02</v>
      </c>
      <c r="E1198">
        <v>374597.02</v>
      </c>
      <c r="F1198">
        <v>2.667</v>
      </c>
      <c r="G1198">
        <v>-6300</v>
      </c>
      <c r="H1198">
        <v>99.905025</v>
      </c>
      <c r="I1198">
        <v>96.099862</v>
      </c>
      <c r="J1198">
        <v>3.805163</v>
      </c>
      <c r="K1198" s="4">
        <f t="shared" si="54"/>
        <v>0.0395959257464907</v>
      </c>
      <c r="L1198" s="4">
        <f t="shared" si="55"/>
        <v>-0.0168180729254066</v>
      </c>
      <c r="M1198" s="18">
        <f t="shared" si="56"/>
        <v>-1.68021</v>
      </c>
    </row>
    <row r="1199" spans="1:13">
      <c r="A1199" t="s">
        <v>13</v>
      </c>
      <c r="B1199" t="s">
        <v>2407</v>
      </c>
      <c r="C1199" t="s">
        <v>2408</v>
      </c>
      <c r="D1199">
        <v>758114.89</v>
      </c>
      <c r="E1199">
        <v>743814.89</v>
      </c>
      <c r="F1199">
        <v>1.488</v>
      </c>
      <c r="G1199">
        <v>14300</v>
      </c>
      <c r="H1199">
        <v>110.679655</v>
      </c>
      <c r="I1199">
        <v>111.065908</v>
      </c>
      <c r="J1199">
        <v>-0.386253</v>
      </c>
      <c r="K1199" s="4">
        <f t="shared" si="54"/>
        <v>-0.00347769182240873</v>
      </c>
      <c r="L1199" s="4">
        <f t="shared" si="55"/>
        <v>0.019225213412977</v>
      </c>
      <c r="M1199" s="18">
        <f t="shared" si="56"/>
        <v>2.12784</v>
      </c>
    </row>
    <row r="1200" spans="1:13">
      <c r="A1200" t="s">
        <v>13</v>
      </c>
      <c r="B1200" t="s">
        <v>2409</v>
      </c>
      <c r="C1200" t="s">
        <v>2410</v>
      </c>
      <c r="D1200">
        <v>380.17</v>
      </c>
      <c r="E1200">
        <v>380.17</v>
      </c>
      <c r="F1200">
        <v>1.437</v>
      </c>
      <c r="G1200">
        <v>0</v>
      </c>
      <c r="H1200">
        <v>0.05463</v>
      </c>
      <c r="I1200">
        <v>0.054212</v>
      </c>
      <c r="J1200">
        <v>0.000418</v>
      </c>
      <c r="K1200" s="4">
        <f t="shared" si="54"/>
        <v>0.0077104700066406</v>
      </c>
      <c r="L1200" s="4">
        <f t="shared" si="55"/>
        <v>0</v>
      </c>
      <c r="M1200" s="18">
        <f t="shared" si="56"/>
        <v>0</v>
      </c>
    </row>
    <row r="1201" spans="1:13">
      <c r="A1201" t="s">
        <v>13</v>
      </c>
      <c r="B1201" t="s">
        <v>2411</v>
      </c>
      <c r="C1201" t="s">
        <v>2412</v>
      </c>
      <c r="D1201">
        <v>425444.15</v>
      </c>
      <c r="E1201">
        <v>428094.15</v>
      </c>
      <c r="F1201">
        <v>1.358</v>
      </c>
      <c r="G1201">
        <v>-2650</v>
      </c>
      <c r="H1201">
        <v>58.135186</v>
      </c>
      <c r="I1201">
        <v>58.999709</v>
      </c>
      <c r="J1201">
        <v>-0.864523</v>
      </c>
      <c r="K1201" s="4">
        <f t="shared" si="54"/>
        <v>-0.0146530044749882</v>
      </c>
      <c r="L1201" s="4">
        <f t="shared" si="55"/>
        <v>-0.00619022707972066</v>
      </c>
      <c r="M1201" s="18">
        <f t="shared" si="56"/>
        <v>-0.35987</v>
      </c>
    </row>
    <row r="1202" spans="1:13">
      <c r="A1202" t="s">
        <v>13</v>
      </c>
      <c r="B1202" t="s">
        <v>2413</v>
      </c>
      <c r="C1202" t="s">
        <v>2414</v>
      </c>
      <c r="D1202">
        <v>22329.5</v>
      </c>
      <c r="E1202">
        <v>22329.5</v>
      </c>
      <c r="F1202">
        <v>1.653</v>
      </c>
      <c r="G1202">
        <v>0</v>
      </c>
      <c r="H1202">
        <v>3.691066</v>
      </c>
      <c r="I1202">
        <v>3.74689</v>
      </c>
      <c r="J1202">
        <v>-0.055824</v>
      </c>
      <c r="K1202" s="4">
        <f t="shared" si="54"/>
        <v>-0.014898756035005</v>
      </c>
      <c r="L1202" s="4">
        <f t="shared" si="55"/>
        <v>0</v>
      </c>
      <c r="M1202" s="18">
        <f t="shared" si="56"/>
        <v>0</v>
      </c>
    </row>
    <row r="1203" spans="1:13">
      <c r="A1203" t="s">
        <v>13</v>
      </c>
      <c r="B1203" t="s">
        <v>2415</v>
      </c>
      <c r="C1203" t="s">
        <v>2416</v>
      </c>
      <c r="D1203">
        <v>1632899.36</v>
      </c>
      <c r="E1203">
        <v>1656299.36</v>
      </c>
      <c r="F1203">
        <v>0.551</v>
      </c>
      <c r="G1203">
        <v>-23400</v>
      </c>
      <c r="H1203">
        <v>91.262095</v>
      </c>
      <c r="I1203">
        <v>88.708316</v>
      </c>
      <c r="J1203">
        <v>2.553779</v>
      </c>
      <c r="K1203" s="4">
        <f t="shared" si="54"/>
        <v>0.0287884959962491</v>
      </c>
      <c r="L1203" s="4">
        <f t="shared" si="55"/>
        <v>-0.0141278808439556</v>
      </c>
      <c r="M1203" s="18">
        <f t="shared" si="56"/>
        <v>-1.28934</v>
      </c>
    </row>
    <row r="1204" spans="1:13">
      <c r="A1204" t="s">
        <v>13</v>
      </c>
      <c r="B1204" t="s">
        <v>2417</v>
      </c>
      <c r="C1204" t="s">
        <v>2418</v>
      </c>
      <c r="D1204">
        <v>8246.32</v>
      </c>
      <c r="E1204">
        <v>8246.32</v>
      </c>
      <c r="F1204">
        <v>1.638</v>
      </c>
      <c r="G1204">
        <v>0</v>
      </c>
      <c r="H1204">
        <v>1.350747</v>
      </c>
      <c r="I1204">
        <v>1.344974</v>
      </c>
      <c r="J1204">
        <v>0.005773</v>
      </c>
      <c r="K1204" s="4">
        <f t="shared" si="54"/>
        <v>0.00429227628192069</v>
      </c>
      <c r="L1204" s="4">
        <f t="shared" si="55"/>
        <v>0</v>
      </c>
      <c r="M1204" s="18">
        <f t="shared" si="56"/>
        <v>0</v>
      </c>
    </row>
    <row r="1205" spans="1:13">
      <c r="A1205" t="s">
        <v>13</v>
      </c>
      <c r="B1205" t="s">
        <v>2419</v>
      </c>
      <c r="C1205" t="s">
        <v>2420</v>
      </c>
      <c r="D1205">
        <v>40070.32</v>
      </c>
      <c r="E1205">
        <v>40070.32</v>
      </c>
      <c r="F1205">
        <v>1.576</v>
      </c>
      <c r="G1205">
        <v>0</v>
      </c>
      <c r="I1205">
        <v>6.391216</v>
      </c>
      <c r="K1205" s="4">
        <f t="shared" si="54"/>
        <v>0</v>
      </c>
      <c r="L1205" s="4">
        <f t="shared" si="55"/>
        <v>0</v>
      </c>
      <c r="M1205" s="18">
        <f t="shared" si="56"/>
        <v>0</v>
      </c>
    </row>
    <row r="1206" spans="1:13">
      <c r="A1206" t="s">
        <v>13</v>
      </c>
      <c r="B1206" t="s">
        <v>2421</v>
      </c>
      <c r="C1206" t="s">
        <v>2422</v>
      </c>
      <c r="D1206">
        <v>24795.51</v>
      </c>
      <c r="E1206">
        <v>24995.51</v>
      </c>
      <c r="F1206">
        <v>1.711</v>
      </c>
      <c r="G1206">
        <v>-200</v>
      </c>
      <c r="H1206">
        <v>4.276731</v>
      </c>
      <c r="I1206">
        <v>4.269232</v>
      </c>
      <c r="J1206">
        <v>0.007499</v>
      </c>
      <c r="K1206" s="4">
        <f t="shared" si="54"/>
        <v>0.0017565220161378</v>
      </c>
      <c r="L1206" s="4">
        <f t="shared" si="55"/>
        <v>-0.00800143705809563</v>
      </c>
      <c r="M1206" s="18">
        <f t="shared" si="56"/>
        <v>-0.03422</v>
      </c>
    </row>
    <row r="1207" spans="1:13">
      <c r="A1207" t="s">
        <v>13</v>
      </c>
      <c r="B1207" t="s">
        <v>2423</v>
      </c>
      <c r="C1207" t="s">
        <v>2424</v>
      </c>
      <c r="D1207">
        <v>914575.79</v>
      </c>
      <c r="E1207">
        <v>913075.79</v>
      </c>
      <c r="G1207">
        <v>1500</v>
      </c>
      <c r="H1207">
        <v>40.540565</v>
      </c>
      <c r="I1207">
        <v>41.298146</v>
      </c>
      <c r="J1207">
        <v>-0.757581</v>
      </c>
      <c r="K1207" s="4">
        <f t="shared" si="54"/>
        <v>-0.0183441891071817</v>
      </c>
      <c r="L1207" s="4">
        <f t="shared" si="55"/>
        <v>0.0016427990057649</v>
      </c>
      <c r="M1207" s="18">
        <f t="shared" si="56"/>
        <v>0</v>
      </c>
    </row>
    <row r="1208" spans="1:13">
      <c r="A1208" t="s">
        <v>13</v>
      </c>
      <c r="B1208" t="s">
        <v>2425</v>
      </c>
      <c r="C1208" t="s">
        <v>2426</v>
      </c>
      <c r="D1208">
        <v>1157763.7</v>
      </c>
      <c r="E1208">
        <v>1148663.7</v>
      </c>
      <c r="F1208">
        <v>1.346</v>
      </c>
      <c r="G1208">
        <v>9100</v>
      </c>
      <c r="H1208">
        <v>154.610134</v>
      </c>
      <c r="I1208">
        <v>157.111623</v>
      </c>
      <c r="J1208">
        <v>-2.501489</v>
      </c>
      <c r="K1208" s="4">
        <f t="shared" si="54"/>
        <v>-0.0159217310103149</v>
      </c>
      <c r="L1208" s="4">
        <f t="shared" si="55"/>
        <v>0.00792224913175197</v>
      </c>
      <c r="M1208" s="18">
        <f t="shared" si="56"/>
        <v>1.22486</v>
      </c>
    </row>
    <row r="1209" spans="1:13">
      <c r="A1209" t="s">
        <v>13</v>
      </c>
      <c r="B1209" t="s">
        <v>2427</v>
      </c>
      <c r="C1209" t="s">
        <v>2428</v>
      </c>
      <c r="D1209">
        <v>31346.61</v>
      </c>
      <c r="E1209">
        <v>31346.61</v>
      </c>
      <c r="F1209">
        <v>1.814</v>
      </c>
      <c r="G1209">
        <v>0</v>
      </c>
      <c r="H1209">
        <v>5.686275</v>
      </c>
      <c r="I1209">
        <v>5.727088</v>
      </c>
      <c r="J1209">
        <v>-0.040813</v>
      </c>
      <c r="K1209" s="4">
        <f t="shared" si="54"/>
        <v>-0.00712630921683061</v>
      </c>
      <c r="L1209" s="4">
        <f t="shared" si="55"/>
        <v>0</v>
      </c>
      <c r="M1209" s="18">
        <f t="shared" si="56"/>
        <v>0</v>
      </c>
    </row>
    <row r="1210" spans="1:13">
      <c r="A1210" t="s">
        <v>13</v>
      </c>
      <c r="B1210" t="s">
        <v>2429</v>
      </c>
      <c r="C1210" t="s">
        <v>2430</v>
      </c>
      <c r="D1210">
        <v>4194.32</v>
      </c>
      <c r="E1210">
        <v>4294.32</v>
      </c>
      <c r="F1210">
        <v>2.848</v>
      </c>
      <c r="G1210">
        <v>-100</v>
      </c>
      <c r="H1210">
        <v>1.223023</v>
      </c>
      <c r="I1210">
        <v>1.176215</v>
      </c>
      <c r="J1210">
        <v>0.046808</v>
      </c>
      <c r="K1210" s="4">
        <f t="shared" si="54"/>
        <v>0.039795445560548</v>
      </c>
      <c r="L1210" s="4">
        <f t="shared" si="55"/>
        <v>-0.0232865738929563</v>
      </c>
      <c r="M1210" s="18">
        <f t="shared" si="56"/>
        <v>-0.02848</v>
      </c>
    </row>
    <row r="1211" spans="1:13">
      <c r="A1211" t="s">
        <v>13</v>
      </c>
      <c r="B1211" t="s">
        <v>2431</v>
      </c>
      <c r="C1211" t="s">
        <v>2432</v>
      </c>
      <c r="D1211">
        <v>103622.61</v>
      </c>
      <c r="E1211">
        <v>100622.61</v>
      </c>
      <c r="F1211">
        <v>1.219</v>
      </c>
      <c r="G1211">
        <v>3000</v>
      </c>
      <c r="H1211">
        <v>12.265896</v>
      </c>
      <c r="I1211">
        <v>12.814446</v>
      </c>
      <c r="J1211">
        <v>-0.54855</v>
      </c>
      <c r="K1211" s="4">
        <f t="shared" si="54"/>
        <v>-0.0428071568603122</v>
      </c>
      <c r="L1211" s="4">
        <f t="shared" si="55"/>
        <v>0.0298143727339213</v>
      </c>
      <c r="M1211" s="18">
        <f t="shared" si="56"/>
        <v>0.3657</v>
      </c>
    </row>
    <row r="1212" spans="1:13">
      <c r="A1212" t="s">
        <v>13</v>
      </c>
      <c r="B1212" t="s">
        <v>2433</v>
      </c>
      <c r="C1212" t="s">
        <v>2434</v>
      </c>
      <c r="D1212">
        <v>1085767.69</v>
      </c>
      <c r="E1212">
        <v>1098667.69</v>
      </c>
      <c r="F1212">
        <v>1.156</v>
      </c>
      <c r="G1212">
        <v>-12900</v>
      </c>
      <c r="H1212">
        <v>127.005985</v>
      </c>
      <c r="I1212">
        <v>130.998014</v>
      </c>
      <c r="J1212">
        <v>-3.992029</v>
      </c>
      <c r="K1212" s="4">
        <f t="shared" si="54"/>
        <v>-0.0304739658114206</v>
      </c>
      <c r="L1212" s="4">
        <f t="shared" si="55"/>
        <v>-0.0117414939179653</v>
      </c>
      <c r="M1212" s="18">
        <f t="shared" si="56"/>
        <v>-1.49124</v>
      </c>
    </row>
    <row r="1213" spans="1:13">
      <c r="A1213" t="s">
        <v>13</v>
      </c>
      <c r="B1213" t="s">
        <v>2435</v>
      </c>
      <c r="C1213" t="s">
        <v>2436</v>
      </c>
      <c r="D1213">
        <v>692569.09</v>
      </c>
      <c r="E1213">
        <v>695269.09</v>
      </c>
      <c r="F1213">
        <v>0.724</v>
      </c>
      <c r="G1213">
        <v>-2700</v>
      </c>
      <c r="H1213">
        <v>50.337482</v>
      </c>
      <c r="I1213">
        <v>50.073064</v>
      </c>
      <c r="J1213">
        <v>0.264418</v>
      </c>
      <c r="K1213" s="4">
        <f t="shared" si="54"/>
        <v>0.00528064350126447</v>
      </c>
      <c r="L1213" s="4">
        <f t="shared" si="55"/>
        <v>-0.00388338851652387</v>
      </c>
      <c r="M1213" s="18">
        <f t="shared" si="56"/>
        <v>-0.19548</v>
      </c>
    </row>
    <row r="1214" spans="1:13">
      <c r="A1214" t="s">
        <v>13</v>
      </c>
      <c r="B1214" t="s">
        <v>2437</v>
      </c>
      <c r="C1214" t="s">
        <v>2438</v>
      </c>
      <c r="D1214">
        <v>38194.45</v>
      </c>
      <c r="E1214">
        <v>38294.45</v>
      </c>
      <c r="F1214">
        <v>1.075</v>
      </c>
      <c r="G1214">
        <v>-100</v>
      </c>
      <c r="H1214">
        <v>4.116653</v>
      </c>
      <c r="I1214">
        <v>4.077491</v>
      </c>
      <c r="J1214">
        <v>0.039162</v>
      </c>
      <c r="K1214" s="4">
        <f t="shared" si="54"/>
        <v>0.00960443566889541</v>
      </c>
      <c r="L1214" s="4">
        <f t="shared" si="55"/>
        <v>-0.00261134446375389</v>
      </c>
      <c r="M1214" s="18">
        <f t="shared" si="56"/>
        <v>-0.01075</v>
      </c>
    </row>
    <row r="1215" spans="1:13">
      <c r="A1215" t="s">
        <v>13</v>
      </c>
      <c r="B1215" t="s">
        <v>2439</v>
      </c>
      <c r="C1215" t="s">
        <v>2440</v>
      </c>
      <c r="D1215">
        <v>82056.84</v>
      </c>
      <c r="E1215">
        <v>79056.84</v>
      </c>
      <c r="F1215">
        <v>1.046</v>
      </c>
      <c r="G1215">
        <v>3000</v>
      </c>
      <c r="H1215">
        <v>8.269346</v>
      </c>
      <c r="I1215">
        <v>8.037375</v>
      </c>
      <c r="J1215">
        <v>0.231971</v>
      </c>
      <c r="K1215" s="4">
        <f t="shared" si="54"/>
        <v>0.0288615375044713</v>
      </c>
      <c r="L1215" s="4">
        <f t="shared" si="55"/>
        <v>0.0379473806441037</v>
      </c>
      <c r="M1215" s="18">
        <f t="shared" si="56"/>
        <v>0.3138</v>
      </c>
    </row>
    <row r="1216" spans="1:13">
      <c r="A1216" t="s">
        <v>13</v>
      </c>
      <c r="B1216" t="s">
        <v>2441</v>
      </c>
      <c r="C1216" t="s">
        <v>2442</v>
      </c>
      <c r="D1216">
        <v>282917.29</v>
      </c>
      <c r="E1216">
        <v>284267.29</v>
      </c>
      <c r="G1216">
        <v>-1350</v>
      </c>
      <c r="H1216">
        <v>39.11518</v>
      </c>
      <c r="I1216">
        <v>40.57741</v>
      </c>
      <c r="J1216">
        <v>-1.46223</v>
      </c>
      <c r="K1216" s="4">
        <f t="shared" si="54"/>
        <v>-0.0360355675731891</v>
      </c>
      <c r="L1216" s="4">
        <f t="shared" si="55"/>
        <v>-0.00474905150008642</v>
      </c>
      <c r="M1216" s="18">
        <f t="shared" si="56"/>
        <v>0</v>
      </c>
    </row>
    <row r="1217" spans="1:13">
      <c r="A1217" t="s">
        <v>13</v>
      </c>
      <c r="B1217" t="s">
        <v>2443</v>
      </c>
      <c r="C1217" t="s">
        <v>2444</v>
      </c>
      <c r="D1217">
        <v>393267.52</v>
      </c>
      <c r="E1217">
        <v>401667.52</v>
      </c>
      <c r="F1217">
        <v>1.228</v>
      </c>
      <c r="G1217">
        <v>-8400</v>
      </c>
      <c r="H1217">
        <v>49.324771</v>
      </c>
      <c r="I1217">
        <v>50.32894</v>
      </c>
      <c r="J1217">
        <v>-1.004169</v>
      </c>
      <c r="K1217" s="4">
        <f t="shared" si="54"/>
        <v>-0.0199521189995259</v>
      </c>
      <c r="L1217" s="4">
        <f t="shared" si="55"/>
        <v>-0.0209128186416467</v>
      </c>
      <c r="M1217" s="18">
        <f t="shared" si="56"/>
        <v>-1.03152</v>
      </c>
    </row>
    <row r="1218" spans="1:13">
      <c r="A1218" t="s">
        <v>13</v>
      </c>
      <c r="B1218" t="s">
        <v>2445</v>
      </c>
      <c r="C1218" t="s">
        <v>2446</v>
      </c>
      <c r="D1218">
        <v>23061.12</v>
      </c>
      <c r="E1218">
        <v>23411.12</v>
      </c>
      <c r="F1218">
        <v>1.48</v>
      </c>
      <c r="G1218">
        <v>-350</v>
      </c>
      <c r="H1218">
        <v>3.464846</v>
      </c>
      <c r="I1218">
        <v>3.502389</v>
      </c>
      <c r="J1218">
        <v>-0.037543</v>
      </c>
      <c r="K1218" s="4">
        <f t="shared" ref="K1218:K1281" si="57">IFERROR(J1218/I1218,"")</f>
        <v>-0.0107192547715288</v>
      </c>
      <c r="L1218" s="4">
        <f t="shared" ref="L1218:L1281" si="58">IFERROR((D1218-E1218)/E1218,"")</f>
        <v>-0.0149501604365789</v>
      </c>
      <c r="M1218" s="18">
        <f t="shared" ref="M1218:M1281" si="59">IFERROR(F1218*G1218/10000,"")</f>
        <v>-0.0518</v>
      </c>
    </row>
    <row r="1219" spans="1:13">
      <c r="A1219" t="s">
        <v>13</v>
      </c>
      <c r="B1219" t="s">
        <v>2447</v>
      </c>
      <c r="C1219" t="s">
        <v>2448</v>
      </c>
      <c r="D1219">
        <v>7230.9</v>
      </c>
      <c r="E1219">
        <v>7530.9</v>
      </c>
      <c r="F1219">
        <v>1.882</v>
      </c>
      <c r="G1219">
        <v>-300</v>
      </c>
      <c r="H1219">
        <v>1.417315</v>
      </c>
      <c r="I1219">
        <v>1.35391</v>
      </c>
      <c r="J1219">
        <v>0.063405</v>
      </c>
      <c r="K1219" s="4">
        <f t="shared" si="57"/>
        <v>0.0468310301275565</v>
      </c>
      <c r="L1219" s="4">
        <f t="shared" si="58"/>
        <v>-0.0398358761900968</v>
      </c>
      <c r="M1219" s="18">
        <f t="shared" si="59"/>
        <v>-0.05646</v>
      </c>
    </row>
    <row r="1220" spans="1:13">
      <c r="A1220" t="s">
        <v>13</v>
      </c>
      <c r="B1220" t="s">
        <v>2449</v>
      </c>
      <c r="C1220" t="s">
        <v>2450</v>
      </c>
      <c r="D1220">
        <v>548370.95</v>
      </c>
      <c r="E1220">
        <v>548370.95</v>
      </c>
      <c r="F1220">
        <v>1.429</v>
      </c>
      <c r="G1220">
        <v>0</v>
      </c>
      <c r="H1220">
        <v>78.362209</v>
      </c>
      <c r="I1220">
        <v>78.545466</v>
      </c>
      <c r="J1220">
        <v>-0.183257</v>
      </c>
      <c r="K1220" s="4">
        <f t="shared" si="57"/>
        <v>-0.00233313276160332</v>
      </c>
      <c r="L1220" s="4">
        <f t="shared" si="58"/>
        <v>0</v>
      </c>
      <c r="M1220" s="18">
        <f t="shared" si="59"/>
        <v>0</v>
      </c>
    </row>
    <row r="1221" spans="1:13">
      <c r="A1221" t="s">
        <v>13</v>
      </c>
      <c r="B1221" t="s">
        <v>2451</v>
      </c>
      <c r="C1221" t="s">
        <v>2452</v>
      </c>
      <c r="D1221">
        <v>1079.92</v>
      </c>
      <c r="E1221">
        <v>1079.92</v>
      </c>
      <c r="F1221">
        <v>6.651</v>
      </c>
      <c r="G1221">
        <v>0</v>
      </c>
      <c r="H1221">
        <v>0.718254</v>
      </c>
      <c r="I1221">
        <v>0.715338</v>
      </c>
      <c r="J1221">
        <v>0.002916</v>
      </c>
      <c r="K1221" s="4">
        <f t="shared" si="57"/>
        <v>0.00407639465539367</v>
      </c>
      <c r="L1221" s="4">
        <f t="shared" si="58"/>
        <v>0</v>
      </c>
      <c r="M1221" s="18">
        <f t="shared" si="59"/>
        <v>0</v>
      </c>
    </row>
    <row r="1222" spans="1:13">
      <c r="A1222" t="s">
        <v>13</v>
      </c>
      <c r="B1222" t="s">
        <v>2453</v>
      </c>
      <c r="C1222" t="s">
        <v>2454</v>
      </c>
      <c r="D1222">
        <v>3727.93</v>
      </c>
      <c r="E1222">
        <v>3727.93</v>
      </c>
      <c r="F1222">
        <v>7.112</v>
      </c>
      <c r="G1222">
        <v>0</v>
      </c>
      <c r="H1222">
        <v>2.651307</v>
      </c>
      <c r="I1222">
        <v>2.640869</v>
      </c>
      <c r="J1222">
        <v>0.010438</v>
      </c>
      <c r="K1222" s="4">
        <f t="shared" si="57"/>
        <v>0.00395248685186581</v>
      </c>
      <c r="L1222" s="4">
        <f t="shared" si="58"/>
        <v>0</v>
      </c>
      <c r="M1222" s="18">
        <f t="shared" si="59"/>
        <v>0</v>
      </c>
    </row>
    <row r="1223" spans="1:13">
      <c r="A1223" t="s">
        <v>13</v>
      </c>
      <c r="B1223" t="s">
        <v>2455</v>
      </c>
      <c r="C1223" t="s">
        <v>2456</v>
      </c>
      <c r="D1223">
        <v>100771.3</v>
      </c>
      <c r="E1223">
        <v>101171.3</v>
      </c>
      <c r="G1223">
        <v>-400</v>
      </c>
      <c r="H1223">
        <v>9.793382</v>
      </c>
      <c r="I1223">
        <v>9.96341</v>
      </c>
      <c r="J1223">
        <v>-0.170028</v>
      </c>
      <c r="K1223" s="4">
        <f t="shared" si="57"/>
        <v>-0.0170652417194515</v>
      </c>
      <c r="L1223" s="4">
        <f t="shared" si="58"/>
        <v>-0.00395369042406295</v>
      </c>
      <c r="M1223" s="18">
        <f t="shared" si="59"/>
        <v>0</v>
      </c>
    </row>
    <row r="1224" spans="1:13">
      <c r="A1224" t="s">
        <v>13</v>
      </c>
      <c r="B1224" t="s">
        <v>2457</v>
      </c>
      <c r="C1224" t="s">
        <v>2458</v>
      </c>
      <c r="D1224">
        <v>63999.98</v>
      </c>
      <c r="E1224">
        <v>63999.98</v>
      </c>
      <c r="G1224">
        <v>0</v>
      </c>
      <c r="H1224">
        <v>36.857589</v>
      </c>
      <c r="I1224">
        <v>36.678389</v>
      </c>
      <c r="J1224">
        <v>0.1792</v>
      </c>
      <c r="K1224" s="4">
        <f t="shared" si="57"/>
        <v>0.00488571076554098</v>
      </c>
      <c r="L1224" s="4">
        <f t="shared" si="58"/>
        <v>0</v>
      </c>
      <c r="M1224" s="18">
        <f t="shared" si="59"/>
        <v>0</v>
      </c>
    </row>
    <row r="1225" spans="1:13">
      <c r="A1225" t="s">
        <v>13</v>
      </c>
      <c r="B1225" t="s">
        <v>2459</v>
      </c>
      <c r="C1225" t="s">
        <v>2460</v>
      </c>
      <c r="D1225">
        <v>105868.3</v>
      </c>
      <c r="E1225">
        <v>107468.3</v>
      </c>
      <c r="F1225">
        <v>1.445</v>
      </c>
      <c r="G1225">
        <v>-1600</v>
      </c>
      <c r="H1225">
        <v>15.52917</v>
      </c>
      <c r="I1225">
        <v>14.936262</v>
      </c>
      <c r="J1225">
        <v>0.592908</v>
      </c>
      <c r="K1225" s="4">
        <f t="shared" si="57"/>
        <v>0.0396958757150886</v>
      </c>
      <c r="L1225" s="4">
        <f t="shared" si="58"/>
        <v>-0.0148881111918584</v>
      </c>
      <c r="M1225" s="18">
        <f t="shared" si="59"/>
        <v>-0.2312</v>
      </c>
    </row>
    <row r="1226" spans="1:13">
      <c r="A1226" t="s">
        <v>13</v>
      </c>
      <c r="B1226" t="s">
        <v>2461</v>
      </c>
      <c r="C1226" t="s">
        <v>2462</v>
      </c>
      <c r="D1226">
        <v>138363.14</v>
      </c>
      <c r="E1226">
        <v>138963.14</v>
      </c>
      <c r="F1226">
        <v>0.892</v>
      </c>
      <c r="G1226">
        <v>-600</v>
      </c>
      <c r="H1226">
        <v>12.395512</v>
      </c>
      <c r="I1226">
        <v>12.105292</v>
      </c>
      <c r="J1226">
        <v>0.29022</v>
      </c>
      <c r="K1226" s="4">
        <f t="shared" si="57"/>
        <v>0.0239746385299917</v>
      </c>
      <c r="L1226" s="4">
        <f t="shared" si="58"/>
        <v>-0.00431769172746096</v>
      </c>
      <c r="M1226" s="18">
        <f t="shared" si="59"/>
        <v>-0.05352</v>
      </c>
    </row>
    <row r="1227" spans="1:13">
      <c r="A1227" t="s">
        <v>13</v>
      </c>
      <c r="B1227" t="s">
        <v>2463</v>
      </c>
      <c r="C1227" t="s">
        <v>2464</v>
      </c>
      <c r="D1227">
        <v>1366033.5</v>
      </c>
      <c r="E1227">
        <v>1353833.5</v>
      </c>
      <c r="F1227">
        <v>1.361</v>
      </c>
      <c r="G1227">
        <v>12200</v>
      </c>
      <c r="H1227">
        <v>184.256739</v>
      </c>
      <c r="I1227">
        <v>185.158353</v>
      </c>
      <c r="J1227">
        <v>-0.901614</v>
      </c>
      <c r="K1227" s="4">
        <f t="shared" si="57"/>
        <v>-0.00486942114893407</v>
      </c>
      <c r="L1227" s="4">
        <f t="shared" si="58"/>
        <v>0.00901144786268031</v>
      </c>
      <c r="M1227" s="18">
        <f t="shared" si="59"/>
        <v>1.66042</v>
      </c>
    </row>
    <row r="1228" spans="1:13">
      <c r="A1228" t="s">
        <v>13</v>
      </c>
      <c r="B1228" t="s">
        <v>2465</v>
      </c>
      <c r="C1228" t="s">
        <v>2466</v>
      </c>
      <c r="D1228">
        <v>31409.1</v>
      </c>
      <c r="E1228">
        <v>31109.1</v>
      </c>
      <c r="F1228">
        <v>0.855</v>
      </c>
      <c r="G1228">
        <v>300</v>
      </c>
      <c r="H1228">
        <v>2.659828</v>
      </c>
      <c r="I1228">
        <v>2.694048</v>
      </c>
      <c r="J1228">
        <v>-0.03422</v>
      </c>
      <c r="K1228" s="4">
        <f t="shared" si="57"/>
        <v>-0.0127020750929456</v>
      </c>
      <c r="L1228" s="4">
        <f t="shared" si="58"/>
        <v>0.00964348052499108</v>
      </c>
      <c r="M1228" s="18">
        <f t="shared" si="59"/>
        <v>0.02565</v>
      </c>
    </row>
    <row r="1229" spans="1:13">
      <c r="A1229" t="s">
        <v>13</v>
      </c>
      <c r="B1229" t="s">
        <v>2467</v>
      </c>
      <c r="C1229" t="s">
        <v>2468</v>
      </c>
      <c r="D1229">
        <v>1224.27</v>
      </c>
      <c r="E1229">
        <v>1224.27</v>
      </c>
      <c r="F1229">
        <v>4.755</v>
      </c>
      <c r="G1229">
        <v>0</v>
      </c>
      <c r="H1229">
        <v>0.582139</v>
      </c>
      <c r="I1229">
        <v>0.578466</v>
      </c>
      <c r="J1229">
        <v>0.003673</v>
      </c>
      <c r="K1229" s="4">
        <f t="shared" si="57"/>
        <v>0.00634955209122057</v>
      </c>
      <c r="L1229" s="4">
        <f t="shared" si="58"/>
        <v>0</v>
      </c>
      <c r="M1229" s="18">
        <f t="shared" si="59"/>
        <v>0</v>
      </c>
    </row>
    <row r="1230" spans="1:13">
      <c r="A1230" t="s">
        <v>13</v>
      </c>
      <c r="B1230" t="s">
        <v>2469</v>
      </c>
      <c r="C1230" t="s">
        <v>2470</v>
      </c>
      <c r="D1230">
        <v>1934.57</v>
      </c>
      <c r="E1230">
        <v>1934.57</v>
      </c>
      <c r="F1230">
        <v>1.923</v>
      </c>
      <c r="G1230">
        <v>0</v>
      </c>
      <c r="H1230">
        <v>0.372018</v>
      </c>
      <c r="I1230">
        <v>0.37047</v>
      </c>
      <c r="J1230">
        <v>0.001548</v>
      </c>
      <c r="K1230" s="4">
        <f t="shared" si="57"/>
        <v>0.0041784759899587</v>
      </c>
      <c r="L1230" s="4">
        <f t="shared" si="58"/>
        <v>0</v>
      </c>
      <c r="M1230" s="18">
        <f t="shared" si="59"/>
        <v>0</v>
      </c>
    </row>
    <row r="1231" spans="1:13">
      <c r="A1231" t="s">
        <v>13</v>
      </c>
      <c r="B1231" t="s">
        <v>2471</v>
      </c>
      <c r="C1231" t="s">
        <v>2472</v>
      </c>
      <c r="D1231">
        <v>19688.33</v>
      </c>
      <c r="E1231">
        <v>19688.33</v>
      </c>
      <c r="F1231">
        <v>0.964</v>
      </c>
      <c r="G1231">
        <v>0</v>
      </c>
      <c r="H1231">
        <v>1.897955</v>
      </c>
      <c r="I1231">
        <v>1.953082</v>
      </c>
      <c r="J1231">
        <v>-0.055127</v>
      </c>
      <c r="K1231" s="4">
        <f t="shared" si="57"/>
        <v>-0.0282256454158095</v>
      </c>
      <c r="L1231" s="4">
        <f t="shared" si="58"/>
        <v>0</v>
      </c>
      <c r="M1231" s="18">
        <f t="shared" si="59"/>
        <v>0</v>
      </c>
    </row>
    <row r="1232" spans="1:13">
      <c r="A1232" t="s">
        <v>13</v>
      </c>
      <c r="B1232" t="s">
        <v>2473</v>
      </c>
      <c r="C1232" t="s">
        <v>2474</v>
      </c>
      <c r="D1232">
        <v>31603.14</v>
      </c>
      <c r="E1232">
        <v>31803.14</v>
      </c>
      <c r="F1232">
        <v>1.485</v>
      </c>
      <c r="G1232">
        <v>-200</v>
      </c>
      <c r="H1232">
        <v>4.722767</v>
      </c>
      <c r="I1232">
        <v>4.688461</v>
      </c>
      <c r="J1232">
        <v>0.034306</v>
      </c>
      <c r="K1232" s="4">
        <f t="shared" si="57"/>
        <v>0.00731711322756017</v>
      </c>
      <c r="L1232" s="4">
        <f t="shared" si="58"/>
        <v>-0.00628868721767725</v>
      </c>
      <c r="M1232" s="18">
        <f t="shared" si="59"/>
        <v>-0.0297</v>
      </c>
    </row>
    <row r="1233" spans="1:13">
      <c r="A1233" t="s">
        <v>13</v>
      </c>
      <c r="B1233" t="s">
        <v>2475</v>
      </c>
      <c r="C1233" t="s">
        <v>2476</v>
      </c>
      <c r="D1233">
        <v>3411.37</v>
      </c>
      <c r="E1233">
        <v>3411.37</v>
      </c>
      <c r="F1233">
        <v>2.034</v>
      </c>
      <c r="G1233">
        <v>0</v>
      </c>
      <c r="H1233">
        <v>0.693872</v>
      </c>
      <c r="I1233">
        <v>0.733107</v>
      </c>
      <c r="J1233">
        <v>-0.039235</v>
      </c>
      <c r="K1233" s="4">
        <f t="shared" si="57"/>
        <v>-0.0535187905721811</v>
      </c>
      <c r="L1233" s="4">
        <f t="shared" si="58"/>
        <v>0</v>
      </c>
      <c r="M1233" s="18">
        <f t="shared" si="59"/>
        <v>0</v>
      </c>
    </row>
    <row r="1234" spans="1:13">
      <c r="A1234" t="s">
        <v>13</v>
      </c>
      <c r="B1234" t="s">
        <v>2477</v>
      </c>
      <c r="C1234" t="s">
        <v>2478</v>
      </c>
      <c r="D1234">
        <v>103879.74</v>
      </c>
      <c r="E1234">
        <v>103879.74</v>
      </c>
      <c r="F1234">
        <v>1.73</v>
      </c>
      <c r="G1234">
        <v>0</v>
      </c>
      <c r="H1234">
        <v>17.971195</v>
      </c>
      <c r="I1234">
        <v>18.147791</v>
      </c>
      <c r="J1234">
        <v>-0.176596</v>
      </c>
      <c r="K1234" s="4">
        <f t="shared" si="57"/>
        <v>-0.00973099150194092</v>
      </c>
      <c r="L1234" s="4">
        <f t="shared" si="58"/>
        <v>0</v>
      </c>
      <c r="M1234" s="18">
        <f t="shared" si="59"/>
        <v>0</v>
      </c>
    </row>
    <row r="1235" spans="1:13">
      <c r="A1235" t="s">
        <v>13</v>
      </c>
      <c r="B1235" t="s">
        <v>2479</v>
      </c>
      <c r="C1235" t="s">
        <v>2480</v>
      </c>
      <c r="D1235">
        <v>67771.77</v>
      </c>
      <c r="E1235">
        <v>67221.77</v>
      </c>
      <c r="F1235">
        <v>1.21</v>
      </c>
      <c r="G1235">
        <v>550</v>
      </c>
      <c r="H1235">
        <v>8.133834</v>
      </c>
      <c r="I1235">
        <v>8.443492</v>
      </c>
      <c r="J1235">
        <v>-0.309658</v>
      </c>
      <c r="K1235" s="4">
        <f t="shared" si="57"/>
        <v>-0.0366741627753067</v>
      </c>
      <c r="L1235" s="4">
        <f t="shared" si="58"/>
        <v>0.00818187322351078</v>
      </c>
      <c r="M1235" s="18">
        <f t="shared" si="59"/>
        <v>0.06655</v>
      </c>
    </row>
    <row r="1236" spans="1:13">
      <c r="A1236" t="s">
        <v>13</v>
      </c>
      <c r="B1236" t="s">
        <v>2481</v>
      </c>
      <c r="C1236" t="s">
        <v>2482</v>
      </c>
      <c r="D1236">
        <v>1555</v>
      </c>
      <c r="E1236">
        <v>1555</v>
      </c>
      <c r="F1236">
        <v>0.982</v>
      </c>
      <c r="G1236">
        <v>0</v>
      </c>
      <c r="H1236">
        <v>0.152701</v>
      </c>
      <c r="I1236">
        <v>0.153168</v>
      </c>
      <c r="J1236">
        <v>-0.000467</v>
      </c>
      <c r="K1236" s="4">
        <f t="shared" si="57"/>
        <v>-0.00304893972631359</v>
      </c>
      <c r="L1236" s="4">
        <f t="shared" si="58"/>
        <v>0</v>
      </c>
      <c r="M1236" s="18">
        <f t="shared" si="59"/>
        <v>0</v>
      </c>
    </row>
    <row r="1237" spans="1:13">
      <c r="A1237" t="s">
        <v>13</v>
      </c>
      <c r="B1237" t="s">
        <v>2483</v>
      </c>
      <c r="C1237" t="s">
        <v>2484</v>
      </c>
      <c r="D1237">
        <v>313518.4</v>
      </c>
      <c r="E1237">
        <v>315718.4</v>
      </c>
      <c r="F1237">
        <v>0.972</v>
      </c>
      <c r="G1237">
        <v>-2200</v>
      </c>
      <c r="H1237">
        <v>30.687829</v>
      </c>
      <c r="I1237">
        <v>31.24433</v>
      </c>
      <c r="J1237">
        <v>-0.556501</v>
      </c>
      <c r="K1237" s="4">
        <f t="shared" si="57"/>
        <v>-0.0178112636756813</v>
      </c>
      <c r="L1237" s="4">
        <f t="shared" si="58"/>
        <v>-0.00696823498408708</v>
      </c>
      <c r="M1237" s="18">
        <f t="shared" si="59"/>
        <v>-0.21384</v>
      </c>
    </row>
    <row r="1238" spans="1:13">
      <c r="A1238" t="s">
        <v>13</v>
      </c>
      <c r="B1238" t="s">
        <v>2485</v>
      </c>
      <c r="C1238" t="s">
        <v>2486</v>
      </c>
      <c r="D1238">
        <v>46689.42</v>
      </c>
      <c r="E1238">
        <v>46689.42</v>
      </c>
      <c r="F1238">
        <v>6.17</v>
      </c>
      <c r="G1238">
        <v>0</v>
      </c>
      <c r="H1238">
        <v>28.80737</v>
      </c>
      <c r="I1238">
        <v>28.779356</v>
      </c>
      <c r="J1238">
        <v>0.028014</v>
      </c>
      <c r="K1238" s="4">
        <f t="shared" si="57"/>
        <v>0.000973406076216577</v>
      </c>
      <c r="L1238" s="4">
        <f t="shared" si="58"/>
        <v>0</v>
      </c>
      <c r="M1238" s="18">
        <f t="shared" si="59"/>
        <v>0</v>
      </c>
    </row>
    <row r="1239" spans="1:13">
      <c r="A1239" t="s">
        <v>13</v>
      </c>
      <c r="B1239" t="s">
        <v>2487</v>
      </c>
      <c r="C1239" t="s">
        <v>2488</v>
      </c>
      <c r="D1239">
        <v>110026.47</v>
      </c>
      <c r="E1239">
        <v>110126.47</v>
      </c>
      <c r="F1239">
        <v>1.74</v>
      </c>
      <c r="G1239">
        <v>-100</v>
      </c>
      <c r="H1239">
        <v>19.162006</v>
      </c>
      <c r="I1239">
        <v>19.316183</v>
      </c>
      <c r="J1239">
        <v>-0.154177</v>
      </c>
      <c r="K1239" s="4">
        <f t="shared" si="57"/>
        <v>-0.00798175291671238</v>
      </c>
      <c r="L1239" s="4">
        <f t="shared" si="58"/>
        <v>-0.000908046902801842</v>
      </c>
      <c r="M1239" s="18">
        <f t="shared" si="59"/>
        <v>-0.0174</v>
      </c>
    </row>
    <row r="1240" spans="1:13">
      <c r="A1240" t="s">
        <v>13</v>
      </c>
      <c r="B1240" t="s">
        <v>2489</v>
      </c>
      <c r="C1240" t="s">
        <v>2490</v>
      </c>
      <c r="D1240">
        <v>63351.02</v>
      </c>
      <c r="E1240">
        <v>63851.02</v>
      </c>
      <c r="F1240">
        <v>2.573</v>
      </c>
      <c r="G1240">
        <v>-500</v>
      </c>
      <c r="H1240">
        <v>16.428867</v>
      </c>
      <c r="I1240">
        <v>16.550184</v>
      </c>
      <c r="J1240">
        <v>-0.121317</v>
      </c>
      <c r="K1240" s="4">
        <f t="shared" si="57"/>
        <v>-0.00733025082983972</v>
      </c>
      <c r="L1240" s="4">
        <f t="shared" si="58"/>
        <v>-0.00783072846761101</v>
      </c>
      <c r="M1240" s="18">
        <f t="shared" si="59"/>
        <v>-0.12865</v>
      </c>
    </row>
    <row r="1241" spans="1:13">
      <c r="A1241" t="s">
        <v>13</v>
      </c>
      <c r="B1241" t="s">
        <v>2491</v>
      </c>
      <c r="C1241" t="s">
        <v>2492</v>
      </c>
      <c r="D1241">
        <v>250159.98</v>
      </c>
      <c r="E1241">
        <v>250459.98</v>
      </c>
      <c r="F1241">
        <v>0.474</v>
      </c>
      <c r="G1241">
        <v>-300</v>
      </c>
      <c r="H1241">
        <v>11.871803</v>
      </c>
      <c r="I1241">
        <v>12.079401</v>
      </c>
      <c r="J1241">
        <v>-0.207598</v>
      </c>
      <c r="K1241" s="4">
        <f t="shared" si="57"/>
        <v>-0.0171861170930578</v>
      </c>
      <c r="L1241" s="4">
        <f t="shared" si="58"/>
        <v>-0.00119779615090602</v>
      </c>
      <c r="M1241" s="18">
        <f t="shared" si="59"/>
        <v>-0.01422</v>
      </c>
    </row>
    <row r="1242" spans="1:13">
      <c r="A1242" t="s">
        <v>13</v>
      </c>
      <c r="B1242" t="s">
        <v>2493</v>
      </c>
      <c r="C1242" t="s">
        <v>2494</v>
      </c>
      <c r="D1242">
        <v>41061.1</v>
      </c>
      <c r="E1242">
        <v>41261.1</v>
      </c>
      <c r="F1242">
        <v>0.709</v>
      </c>
      <c r="G1242">
        <v>-200</v>
      </c>
      <c r="H1242">
        <v>2.925412</v>
      </c>
      <c r="I1242">
        <v>2.976907</v>
      </c>
      <c r="J1242">
        <v>-0.051495</v>
      </c>
      <c r="K1242" s="4">
        <f t="shared" si="57"/>
        <v>-0.0172981554344828</v>
      </c>
      <c r="L1242" s="4">
        <f t="shared" si="58"/>
        <v>-0.0048471805162732</v>
      </c>
      <c r="M1242" s="18">
        <f t="shared" si="59"/>
        <v>-0.01418</v>
      </c>
    </row>
    <row r="1243" spans="1:13">
      <c r="A1243" t="s">
        <v>13</v>
      </c>
      <c r="B1243" t="s">
        <v>2495</v>
      </c>
      <c r="C1243" t="s">
        <v>2496</v>
      </c>
      <c r="D1243">
        <v>3989.2</v>
      </c>
      <c r="E1243">
        <v>3989.2</v>
      </c>
      <c r="F1243">
        <v>0.899</v>
      </c>
      <c r="G1243">
        <v>0</v>
      </c>
      <c r="H1243">
        <v>0.358629</v>
      </c>
      <c r="I1243">
        <v>0.363017</v>
      </c>
      <c r="J1243">
        <v>-0.004388</v>
      </c>
      <c r="K1243" s="4">
        <f t="shared" si="57"/>
        <v>-0.0120875881845754</v>
      </c>
      <c r="L1243" s="4">
        <f t="shared" si="58"/>
        <v>0</v>
      </c>
      <c r="M1243" s="18">
        <f t="shared" si="59"/>
        <v>0</v>
      </c>
    </row>
    <row r="1244" spans="1:13">
      <c r="A1244" t="s">
        <v>13</v>
      </c>
      <c r="B1244" t="s">
        <v>2497</v>
      </c>
      <c r="C1244" t="s">
        <v>2498</v>
      </c>
      <c r="D1244">
        <v>29614.05</v>
      </c>
      <c r="E1244">
        <v>29814.05</v>
      </c>
      <c r="G1244">
        <v>-200</v>
      </c>
      <c r="H1244">
        <v>6.061197</v>
      </c>
      <c r="I1244">
        <v>6.024691</v>
      </c>
      <c r="J1244">
        <v>0.036506</v>
      </c>
      <c r="K1244" s="4">
        <f t="shared" si="57"/>
        <v>0.00605939790107078</v>
      </c>
      <c r="L1244" s="4">
        <f t="shared" si="58"/>
        <v>-0.00670824661527032</v>
      </c>
      <c r="M1244" s="18">
        <f t="shared" si="59"/>
        <v>0</v>
      </c>
    </row>
    <row r="1245" spans="1:13">
      <c r="A1245" t="s">
        <v>13</v>
      </c>
      <c r="B1245" t="s">
        <v>2499</v>
      </c>
      <c r="C1245" t="s">
        <v>2500</v>
      </c>
      <c r="D1245">
        <v>9738.81</v>
      </c>
      <c r="E1245">
        <v>9688.81</v>
      </c>
      <c r="F1245">
        <v>1.371</v>
      </c>
      <c r="G1245">
        <v>50</v>
      </c>
      <c r="H1245">
        <v>1.328336</v>
      </c>
      <c r="I1245">
        <v>1.354495</v>
      </c>
      <c r="J1245">
        <v>-0.026159</v>
      </c>
      <c r="K1245" s="4">
        <f t="shared" si="57"/>
        <v>-0.0193127327897113</v>
      </c>
      <c r="L1245" s="4">
        <f t="shared" si="58"/>
        <v>0.00516059247730113</v>
      </c>
      <c r="M1245" s="18">
        <f t="shared" si="59"/>
        <v>0.006855</v>
      </c>
    </row>
    <row r="1246" spans="1:13">
      <c r="A1246" t="s">
        <v>13</v>
      </c>
      <c r="B1246" t="s">
        <v>2501</v>
      </c>
      <c r="C1246" t="s">
        <v>2502</v>
      </c>
      <c r="D1246">
        <v>3972.73</v>
      </c>
      <c r="E1246">
        <v>3972.73</v>
      </c>
      <c r="F1246">
        <v>1.504</v>
      </c>
      <c r="G1246">
        <v>0</v>
      </c>
      <c r="H1246">
        <v>0.597499</v>
      </c>
      <c r="I1246">
        <v>0.594321</v>
      </c>
      <c r="J1246">
        <v>0.003178</v>
      </c>
      <c r="K1246" s="4">
        <f t="shared" si="57"/>
        <v>0.00534727865917576</v>
      </c>
      <c r="L1246" s="4">
        <f t="shared" si="58"/>
        <v>0</v>
      </c>
      <c r="M1246" s="18">
        <f t="shared" si="59"/>
        <v>0</v>
      </c>
    </row>
    <row r="1247" spans="1:13">
      <c r="A1247" t="s">
        <v>13</v>
      </c>
      <c r="B1247" t="s">
        <v>2503</v>
      </c>
      <c r="C1247" t="s">
        <v>2504</v>
      </c>
      <c r="D1247">
        <v>704749.4</v>
      </c>
      <c r="E1247">
        <v>710949.4</v>
      </c>
      <c r="F1247">
        <v>1.017</v>
      </c>
      <c r="G1247">
        <v>-6200</v>
      </c>
      <c r="H1247">
        <v>72.303554</v>
      </c>
      <c r="I1247">
        <v>73.178823</v>
      </c>
      <c r="J1247">
        <v>-0.875269</v>
      </c>
      <c r="K1247" s="4">
        <f t="shared" si="57"/>
        <v>-0.0119606870419329</v>
      </c>
      <c r="L1247" s="4">
        <f t="shared" si="58"/>
        <v>-0.00872073314922272</v>
      </c>
      <c r="M1247" s="18">
        <f t="shared" si="59"/>
        <v>-0.63054</v>
      </c>
    </row>
    <row r="1248" spans="1:13">
      <c r="A1248" t="s">
        <v>13</v>
      </c>
      <c r="B1248" t="s">
        <v>2505</v>
      </c>
      <c r="C1248" t="s">
        <v>2506</v>
      </c>
      <c r="D1248">
        <v>313843.72</v>
      </c>
      <c r="E1248">
        <v>304393.72</v>
      </c>
      <c r="F1248">
        <v>1.38</v>
      </c>
      <c r="G1248">
        <v>9450</v>
      </c>
      <c r="H1248">
        <v>42.006333</v>
      </c>
      <c r="I1248">
        <v>41.669688</v>
      </c>
      <c r="J1248">
        <v>0.336645</v>
      </c>
      <c r="K1248" s="4">
        <f t="shared" si="57"/>
        <v>0.00807889418322499</v>
      </c>
      <c r="L1248" s="4">
        <f t="shared" si="58"/>
        <v>0.0310453185433655</v>
      </c>
      <c r="M1248" s="18">
        <f t="shared" si="59"/>
        <v>1.3041</v>
      </c>
    </row>
    <row r="1249" spans="1:13">
      <c r="A1249" t="s">
        <v>13</v>
      </c>
      <c r="B1249" t="s">
        <v>2507</v>
      </c>
      <c r="C1249" t="s">
        <v>2508</v>
      </c>
      <c r="D1249">
        <v>33890.88</v>
      </c>
      <c r="E1249">
        <v>33890.88</v>
      </c>
      <c r="F1249">
        <v>1.815</v>
      </c>
      <c r="G1249">
        <v>0</v>
      </c>
      <c r="H1249">
        <v>6.151196</v>
      </c>
      <c r="I1249">
        <v>6.130861</v>
      </c>
      <c r="J1249">
        <v>0.020335</v>
      </c>
      <c r="K1249" s="4">
        <f t="shared" si="57"/>
        <v>0.00331682613583965</v>
      </c>
      <c r="L1249" s="4">
        <f t="shared" si="58"/>
        <v>0</v>
      </c>
      <c r="M1249" s="18">
        <f t="shared" si="59"/>
        <v>0</v>
      </c>
    </row>
    <row r="1250" spans="1:13">
      <c r="A1250" t="s">
        <v>13</v>
      </c>
      <c r="B1250" t="s">
        <v>2509</v>
      </c>
      <c r="C1250" t="s">
        <v>2510</v>
      </c>
      <c r="D1250">
        <v>30379.1</v>
      </c>
      <c r="E1250">
        <v>30479.1</v>
      </c>
      <c r="G1250">
        <v>-100</v>
      </c>
      <c r="H1250">
        <v>3.983618</v>
      </c>
      <c r="I1250">
        <v>4.106163</v>
      </c>
      <c r="J1250">
        <v>-0.122545</v>
      </c>
      <c r="K1250" s="4">
        <f t="shared" si="57"/>
        <v>-0.0298441635171327</v>
      </c>
      <c r="L1250" s="4">
        <f t="shared" si="58"/>
        <v>-0.00328093677306745</v>
      </c>
      <c r="M1250" s="18">
        <f t="shared" si="59"/>
        <v>0</v>
      </c>
    </row>
    <row r="1251" spans="1:13">
      <c r="A1251" t="s">
        <v>13</v>
      </c>
      <c r="B1251" t="s">
        <v>2511</v>
      </c>
      <c r="C1251" t="s">
        <v>2512</v>
      </c>
      <c r="D1251">
        <v>10587.89</v>
      </c>
      <c r="E1251">
        <v>10687.89</v>
      </c>
      <c r="F1251">
        <v>2.225</v>
      </c>
      <c r="G1251">
        <v>-100</v>
      </c>
      <c r="H1251">
        <v>2.378056</v>
      </c>
      <c r="I1251">
        <v>2.338511</v>
      </c>
      <c r="J1251">
        <v>0.039545</v>
      </c>
      <c r="K1251" s="4">
        <f t="shared" si="57"/>
        <v>0.0169103331136779</v>
      </c>
      <c r="L1251" s="4">
        <f t="shared" si="58"/>
        <v>-0.00935638372026658</v>
      </c>
      <c r="M1251" s="18">
        <f t="shared" si="59"/>
        <v>-0.02225</v>
      </c>
    </row>
    <row r="1252" spans="1:13">
      <c r="A1252" t="s">
        <v>13</v>
      </c>
      <c r="B1252" t="s">
        <v>2513</v>
      </c>
      <c r="C1252" t="s">
        <v>2514</v>
      </c>
      <c r="D1252">
        <v>2701188.7</v>
      </c>
      <c r="E1252">
        <v>2700588.7</v>
      </c>
      <c r="F1252">
        <v>1.822</v>
      </c>
      <c r="G1252">
        <v>600</v>
      </c>
      <c r="H1252">
        <v>492.047261</v>
      </c>
      <c r="I1252">
        <v>474.526163</v>
      </c>
      <c r="J1252">
        <v>17.521098</v>
      </c>
      <c r="K1252" s="4">
        <f t="shared" si="57"/>
        <v>0.0369233550563997</v>
      </c>
      <c r="L1252" s="4">
        <f t="shared" si="58"/>
        <v>0.0002221737801095</v>
      </c>
      <c r="M1252" s="18">
        <f t="shared" si="59"/>
        <v>0.10932</v>
      </c>
    </row>
    <row r="1253" spans="1:13">
      <c r="A1253" t="s">
        <v>13</v>
      </c>
      <c r="B1253" t="s">
        <v>2515</v>
      </c>
      <c r="C1253" t="s">
        <v>2516</v>
      </c>
      <c r="D1253">
        <v>34844.39</v>
      </c>
      <c r="E1253">
        <v>35344.39</v>
      </c>
      <c r="F1253">
        <v>1.386</v>
      </c>
      <c r="G1253">
        <v>-500</v>
      </c>
      <c r="H1253">
        <v>4.898732</v>
      </c>
      <c r="I1253">
        <v>4.937755</v>
      </c>
      <c r="J1253">
        <v>-0.039023</v>
      </c>
      <c r="K1253" s="4">
        <f t="shared" si="57"/>
        <v>-0.00790298425093995</v>
      </c>
      <c r="L1253" s="4">
        <f t="shared" si="58"/>
        <v>-0.0141465166041909</v>
      </c>
      <c r="M1253" s="18">
        <f t="shared" si="59"/>
        <v>-0.0693</v>
      </c>
    </row>
    <row r="1254" spans="1:13">
      <c r="A1254" t="s">
        <v>13</v>
      </c>
      <c r="B1254" t="s">
        <v>2517</v>
      </c>
      <c r="C1254" t="s">
        <v>2518</v>
      </c>
      <c r="D1254">
        <v>222664.65</v>
      </c>
      <c r="E1254">
        <v>222784.65</v>
      </c>
      <c r="F1254">
        <v>1.723</v>
      </c>
      <c r="G1254">
        <v>-120</v>
      </c>
      <c r="H1254">
        <v>38.385796</v>
      </c>
      <c r="I1254">
        <v>38.764529</v>
      </c>
      <c r="J1254">
        <v>-0.378733</v>
      </c>
      <c r="K1254" s="4">
        <f t="shared" si="57"/>
        <v>-0.0097700916216472</v>
      </c>
      <c r="L1254" s="4">
        <f t="shared" si="58"/>
        <v>-0.000538636750781528</v>
      </c>
      <c r="M1254" s="18">
        <f t="shared" si="59"/>
        <v>-0.020676</v>
      </c>
    </row>
    <row r="1255" spans="1:13">
      <c r="A1255" t="s">
        <v>13</v>
      </c>
      <c r="B1255" t="s">
        <v>2519</v>
      </c>
      <c r="C1255" t="s">
        <v>2520</v>
      </c>
      <c r="D1255">
        <v>25150.7</v>
      </c>
      <c r="E1255">
        <v>25450.7</v>
      </c>
      <c r="F1255">
        <v>0.718</v>
      </c>
      <c r="G1255">
        <v>-300</v>
      </c>
      <c r="H1255">
        <v>1.82736</v>
      </c>
      <c r="I1255">
        <v>1.81718</v>
      </c>
      <c r="J1255">
        <v>0.01018</v>
      </c>
      <c r="K1255" s="4">
        <f t="shared" si="57"/>
        <v>0.00560208674979914</v>
      </c>
      <c r="L1255" s="4">
        <f t="shared" si="58"/>
        <v>-0.0117874950394292</v>
      </c>
      <c r="M1255" s="18">
        <f t="shared" si="59"/>
        <v>-0.02154</v>
      </c>
    </row>
    <row r="1256" spans="1:13">
      <c r="A1256" t="s">
        <v>13</v>
      </c>
      <c r="B1256" t="s">
        <v>2521</v>
      </c>
      <c r="C1256" t="s">
        <v>2522</v>
      </c>
      <c r="D1256">
        <v>6290.57</v>
      </c>
      <c r="E1256">
        <v>6290.57</v>
      </c>
      <c r="G1256">
        <v>0</v>
      </c>
      <c r="H1256">
        <v>0.882567</v>
      </c>
      <c r="I1256">
        <v>0.861179</v>
      </c>
      <c r="J1256">
        <v>0.021388</v>
      </c>
      <c r="K1256" s="4">
        <f t="shared" si="57"/>
        <v>0.0248357194032832</v>
      </c>
      <c r="L1256" s="4">
        <f t="shared" si="58"/>
        <v>0</v>
      </c>
      <c r="M1256" s="18">
        <f t="shared" si="59"/>
        <v>0</v>
      </c>
    </row>
    <row r="1257" spans="1:13">
      <c r="A1257" t="s">
        <v>13</v>
      </c>
      <c r="B1257" t="s">
        <v>2523</v>
      </c>
      <c r="C1257" t="s">
        <v>2524</v>
      </c>
      <c r="D1257">
        <v>61620.06</v>
      </c>
      <c r="E1257">
        <v>61520.06</v>
      </c>
      <c r="F1257">
        <v>0.818</v>
      </c>
      <c r="G1257">
        <v>100</v>
      </c>
      <c r="H1257">
        <v>5.032341</v>
      </c>
      <c r="I1257">
        <v>5.007733</v>
      </c>
      <c r="J1257">
        <v>0.024608</v>
      </c>
      <c r="K1257" s="4">
        <f t="shared" si="57"/>
        <v>0.00491400000758826</v>
      </c>
      <c r="L1257" s="4">
        <f t="shared" si="58"/>
        <v>0.00162548606096938</v>
      </c>
      <c r="M1257" s="18">
        <f t="shared" si="59"/>
        <v>0.00818</v>
      </c>
    </row>
    <row r="1258" spans="1:13">
      <c r="A1258" t="s">
        <v>13</v>
      </c>
      <c r="B1258" t="s">
        <v>2525</v>
      </c>
      <c r="C1258" t="s">
        <v>2526</v>
      </c>
      <c r="D1258">
        <v>25999.19</v>
      </c>
      <c r="E1258">
        <v>25999.19</v>
      </c>
      <c r="F1258">
        <v>0.737</v>
      </c>
      <c r="G1258">
        <v>0</v>
      </c>
      <c r="H1258">
        <v>1.916141</v>
      </c>
      <c r="I1258">
        <v>1.890141</v>
      </c>
      <c r="J1258">
        <v>0.026</v>
      </c>
      <c r="K1258" s="4">
        <f t="shared" si="57"/>
        <v>0.0137555875461143</v>
      </c>
      <c r="L1258" s="4">
        <f t="shared" si="58"/>
        <v>0</v>
      </c>
      <c r="M1258" s="18">
        <f t="shared" si="59"/>
        <v>0</v>
      </c>
    </row>
    <row r="1259" spans="1:13">
      <c r="A1259" t="s">
        <v>13</v>
      </c>
      <c r="B1259" t="s">
        <v>2527</v>
      </c>
      <c r="C1259" t="s">
        <v>2528</v>
      </c>
      <c r="D1259">
        <v>94008.8</v>
      </c>
      <c r="E1259">
        <v>94208.8</v>
      </c>
      <c r="F1259">
        <v>0.913</v>
      </c>
      <c r="G1259">
        <v>-200</v>
      </c>
      <c r="H1259">
        <v>8.601263</v>
      </c>
      <c r="I1259">
        <v>8.226655</v>
      </c>
      <c r="J1259">
        <v>0.374608</v>
      </c>
      <c r="K1259" s="4">
        <f t="shared" si="57"/>
        <v>0.0455358830533188</v>
      </c>
      <c r="L1259" s="4">
        <f t="shared" si="58"/>
        <v>-0.00212294392880495</v>
      </c>
      <c r="M1259" s="18">
        <f t="shared" si="59"/>
        <v>-0.01826</v>
      </c>
    </row>
    <row r="1260" spans="1:13">
      <c r="A1260" t="s">
        <v>13</v>
      </c>
      <c r="B1260" t="s">
        <v>2529</v>
      </c>
      <c r="C1260" t="s">
        <v>2530</v>
      </c>
      <c r="D1260">
        <v>549812.9</v>
      </c>
      <c r="E1260">
        <v>556112.9</v>
      </c>
      <c r="F1260">
        <v>1.23</v>
      </c>
      <c r="G1260">
        <v>-6300</v>
      </c>
      <c r="I1260">
        <v>65.51329</v>
      </c>
      <c r="K1260" s="4">
        <f t="shared" si="57"/>
        <v>0</v>
      </c>
      <c r="L1260" s="4">
        <f t="shared" si="58"/>
        <v>-0.0113286348869088</v>
      </c>
      <c r="M1260" s="18">
        <f t="shared" si="59"/>
        <v>-0.7749</v>
      </c>
    </row>
    <row r="1261" spans="1:13">
      <c r="A1261" t="s">
        <v>13</v>
      </c>
      <c r="B1261" t="s">
        <v>2531</v>
      </c>
      <c r="C1261" t="s">
        <v>2532</v>
      </c>
      <c r="D1261">
        <v>5435.02</v>
      </c>
      <c r="E1261">
        <v>5435.02</v>
      </c>
      <c r="F1261">
        <v>1.541</v>
      </c>
      <c r="G1261">
        <v>0</v>
      </c>
      <c r="H1261">
        <v>0.837536</v>
      </c>
      <c r="I1261">
        <v>0.863462</v>
      </c>
      <c r="J1261">
        <v>-0.025926</v>
      </c>
      <c r="K1261" s="4">
        <f t="shared" si="57"/>
        <v>-0.0300256409662498</v>
      </c>
      <c r="L1261" s="4">
        <f t="shared" si="58"/>
        <v>0</v>
      </c>
      <c r="M1261" s="18">
        <f t="shared" si="59"/>
        <v>0</v>
      </c>
    </row>
    <row r="1262" spans="1:13">
      <c r="A1262" t="s">
        <v>13</v>
      </c>
      <c r="B1262" t="s">
        <v>2533</v>
      </c>
      <c r="C1262" t="s">
        <v>2534</v>
      </c>
      <c r="D1262">
        <v>34685.5</v>
      </c>
      <c r="E1262">
        <v>34485.5</v>
      </c>
      <c r="G1262">
        <v>200</v>
      </c>
      <c r="H1262">
        <v>3.369233</v>
      </c>
      <c r="I1262">
        <v>3.261982</v>
      </c>
      <c r="J1262">
        <v>0.107251</v>
      </c>
      <c r="K1262" s="4">
        <f t="shared" si="57"/>
        <v>0.0328790900746847</v>
      </c>
      <c r="L1262" s="4">
        <f t="shared" si="58"/>
        <v>0.00579953893665454</v>
      </c>
      <c r="M1262" s="18">
        <f t="shared" si="59"/>
        <v>0</v>
      </c>
    </row>
    <row r="1263" spans="1:13">
      <c r="A1263" t="s">
        <v>13</v>
      </c>
      <c r="B1263" t="s">
        <v>2535</v>
      </c>
      <c r="C1263" t="s">
        <v>2536</v>
      </c>
      <c r="D1263">
        <v>209069.3</v>
      </c>
      <c r="E1263">
        <v>211169.3</v>
      </c>
      <c r="F1263">
        <v>1.036</v>
      </c>
      <c r="G1263">
        <v>-2100</v>
      </c>
      <c r="H1263">
        <v>21.877139</v>
      </c>
      <c r="I1263">
        <v>22.042323</v>
      </c>
      <c r="J1263">
        <v>-0.165184</v>
      </c>
      <c r="K1263" s="4">
        <f t="shared" si="57"/>
        <v>-0.00749394698553324</v>
      </c>
      <c r="L1263" s="4">
        <f t="shared" si="58"/>
        <v>-0.00994462736770923</v>
      </c>
      <c r="M1263" s="18">
        <f t="shared" si="59"/>
        <v>-0.21756</v>
      </c>
    </row>
    <row r="1264" spans="1:13">
      <c r="A1264" t="s">
        <v>13</v>
      </c>
      <c r="B1264" t="s">
        <v>2537</v>
      </c>
      <c r="C1264" t="s">
        <v>2538</v>
      </c>
      <c r="D1264">
        <v>389632.62</v>
      </c>
      <c r="E1264">
        <v>392632.62</v>
      </c>
      <c r="F1264">
        <v>0.899</v>
      </c>
      <c r="G1264">
        <v>-3000</v>
      </c>
      <c r="H1264">
        <v>35.297673</v>
      </c>
      <c r="I1264">
        <v>38.281302</v>
      </c>
      <c r="J1264">
        <v>-2.983629</v>
      </c>
      <c r="K1264" s="4">
        <f t="shared" si="57"/>
        <v>-0.0779395904559359</v>
      </c>
      <c r="L1264" s="4">
        <f t="shared" si="58"/>
        <v>-0.00764073041103921</v>
      </c>
      <c r="M1264" s="18">
        <f t="shared" si="59"/>
        <v>-0.2697</v>
      </c>
    </row>
    <row r="1265" spans="1:13">
      <c r="A1265" t="s">
        <v>13</v>
      </c>
      <c r="B1265" t="s">
        <v>2539</v>
      </c>
      <c r="C1265" t="s">
        <v>2540</v>
      </c>
      <c r="D1265">
        <v>15222.8</v>
      </c>
      <c r="E1265">
        <v>15422.8</v>
      </c>
      <c r="F1265">
        <v>1.66</v>
      </c>
      <c r="G1265">
        <v>-200</v>
      </c>
      <c r="H1265">
        <v>2.560185</v>
      </c>
      <c r="I1265">
        <v>2.510584</v>
      </c>
      <c r="J1265">
        <v>0.049601</v>
      </c>
      <c r="K1265" s="4">
        <f t="shared" si="57"/>
        <v>0.0197567577902193</v>
      </c>
      <c r="L1265" s="4">
        <f t="shared" si="58"/>
        <v>-0.0129678138859351</v>
      </c>
      <c r="M1265" s="18">
        <f t="shared" si="59"/>
        <v>-0.0332</v>
      </c>
    </row>
    <row r="1266" spans="1:13">
      <c r="A1266" t="s">
        <v>13</v>
      </c>
      <c r="B1266" t="s">
        <v>2541</v>
      </c>
      <c r="C1266" t="s">
        <v>2542</v>
      </c>
      <c r="D1266">
        <v>34623.74</v>
      </c>
      <c r="E1266">
        <v>35123.74</v>
      </c>
      <c r="F1266">
        <v>0.507</v>
      </c>
      <c r="G1266">
        <v>-500</v>
      </c>
      <c r="H1266">
        <v>1.780774</v>
      </c>
      <c r="I1266">
        <v>1.72174</v>
      </c>
      <c r="J1266">
        <v>0.059034</v>
      </c>
      <c r="K1266" s="4">
        <f t="shared" si="57"/>
        <v>0.0342874069255521</v>
      </c>
      <c r="L1266" s="4">
        <f t="shared" si="58"/>
        <v>-0.0142353860949887</v>
      </c>
      <c r="M1266" s="18">
        <f t="shared" si="59"/>
        <v>-0.02535</v>
      </c>
    </row>
    <row r="1267" spans="1:13">
      <c r="A1267" t="s">
        <v>13</v>
      </c>
      <c r="B1267" t="s">
        <v>2543</v>
      </c>
      <c r="C1267" t="s">
        <v>2544</v>
      </c>
      <c r="D1267">
        <v>29764.6</v>
      </c>
      <c r="E1267">
        <v>29564.6</v>
      </c>
      <c r="F1267">
        <v>0.64</v>
      </c>
      <c r="G1267">
        <v>200</v>
      </c>
      <c r="H1267">
        <v>1.892134</v>
      </c>
      <c r="I1267">
        <v>1.91283</v>
      </c>
      <c r="J1267">
        <v>-0.020696</v>
      </c>
      <c r="K1267" s="4">
        <f t="shared" si="57"/>
        <v>-0.0108195710021277</v>
      </c>
      <c r="L1267" s="4">
        <f t="shared" si="58"/>
        <v>0.00676484714827869</v>
      </c>
      <c r="M1267" s="18">
        <f t="shared" si="59"/>
        <v>0.0128</v>
      </c>
    </row>
    <row r="1268" spans="1:13">
      <c r="A1268" t="s">
        <v>13</v>
      </c>
      <c r="B1268" t="s">
        <v>2545</v>
      </c>
      <c r="C1268" t="s">
        <v>2546</v>
      </c>
      <c r="D1268">
        <v>289055.48</v>
      </c>
      <c r="E1268">
        <v>288955.48</v>
      </c>
      <c r="G1268">
        <v>100</v>
      </c>
      <c r="H1268">
        <v>16.932791</v>
      </c>
      <c r="I1268">
        <v>16.429711</v>
      </c>
      <c r="J1268">
        <v>0.50308</v>
      </c>
      <c r="K1268" s="4">
        <f t="shared" si="57"/>
        <v>0.0306201368971128</v>
      </c>
      <c r="L1268" s="4">
        <f t="shared" si="58"/>
        <v>0.000346074073417815</v>
      </c>
      <c r="M1268" s="18">
        <f t="shared" si="59"/>
        <v>0</v>
      </c>
    </row>
    <row r="1269" spans="1:13">
      <c r="A1269" t="s">
        <v>13</v>
      </c>
      <c r="B1269" t="s">
        <v>2547</v>
      </c>
      <c r="C1269" t="s">
        <v>2548</v>
      </c>
      <c r="D1269">
        <v>193684.48</v>
      </c>
      <c r="E1269">
        <v>192484.48</v>
      </c>
      <c r="F1269">
        <v>0.591</v>
      </c>
      <c r="G1269">
        <v>1200</v>
      </c>
      <c r="H1269">
        <v>11.375832</v>
      </c>
      <c r="I1269">
        <v>10.948452</v>
      </c>
      <c r="J1269">
        <v>0.42738</v>
      </c>
      <c r="K1269" s="4">
        <f t="shared" si="57"/>
        <v>0.0390356554515652</v>
      </c>
      <c r="L1269" s="4">
        <f t="shared" si="58"/>
        <v>0.00623426886157263</v>
      </c>
      <c r="M1269" s="18">
        <f t="shared" si="59"/>
        <v>0.07092</v>
      </c>
    </row>
    <row r="1270" spans="1:13">
      <c r="A1270" t="s">
        <v>13</v>
      </c>
      <c r="B1270" t="s">
        <v>2549</v>
      </c>
      <c r="C1270" t="s">
        <v>2550</v>
      </c>
      <c r="D1270">
        <v>102075.97</v>
      </c>
      <c r="E1270">
        <v>102275.97</v>
      </c>
      <c r="F1270">
        <v>1.059</v>
      </c>
      <c r="G1270">
        <v>-200</v>
      </c>
      <c r="H1270">
        <v>10.831025</v>
      </c>
      <c r="I1270">
        <v>11.006401</v>
      </c>
      <c r="J1270">
        <v>-0.175376</v>
      </c>
      <c r="K1270" s="4">
        <f t="shared" si="57"/>
        <v>-0.0159340005874763</v>
      </c>
      <c r="L1270" s="4">
        <f t="shared" si="58"/>
        <v>-0.00195549355337329</v>
      </c>
      <c r="M1270" s="18">
        <f t="shared" si="59"/>
        <v>-0.02118</v>
      </c>
    </row>
    <row r="1271" spans="1:13">
      <c r="A1271" t="s">
        <v>13</v>
      </c>
      <c r="B1271" t="s">
        <v>2551</v>
      </c>
      <c r="C1271" t="s">
        <v>2552</v>
      </c>
      <c r="D1271">
        <v>20462.31</v>
      </c>
      <c r="E1271">
        <v>21662.31</v>
      </c>
      <c r="F1271">
        <v>1.161</v>
      </c>
      <c r="G1271">
        <v>-1200</v>
      </c>
      <c r="H1271">
        <v>2.514995</v>
      </c>
      <c r="I1271">
        <v>2.491775</v>
      </c>
      <c r="J1271">
        <v>0.02322</v>
      </c>
      <c r="K1271" s="4">
        <f t="shared" si="57"/>
        <v>0.00931865838609024</v>
      </c>
      <c r="L1271" s="4">
        <f t="shared" si="58"/>
        <v>-0.0553957541924199</v>
      </c>
      <c r="M1271" s="18">
        <f t="shared" si="59"/>
        <v>-0.13932</v>
      </c>
    </row>
    <row r="1272" spans="1:13">
      <c r="A1272" t="s">
        <v>13</v>
      </c>
      <c r="B1272" t="s">
        <v>2553</v>
      </c>
      <c r="C1272" t="s">
        <v>2554</v>
      </c>
      <c r="D1272">
        <v>531958.2</v>
      </c>
      <c r="E1272">
        <v>537458.2</v>
      </c>
      <c r="F1272">
        <v>0.917</v>
      </c>
      <c r="G1272">
        <v>-5500</v>
      </c>
      <c r="H1272">
        <v>49.284917</v>
      </c>
      <c r="I1272">
        <v>50.780617</v>
      </c>
      <c r="J1272">
        <v>-1.4957</v>
      </c>
      <c r="K1272" s="4">
        <f t="shared" si="57"/>
        <v>-0.0294541517681835</v>
      </c>
      <c r="L1272" s="4">
        <f t="shared" si="58"/>
        <v>-0.0102333539612941</v>
      </c>
      <c r="M1272" s="18">
        <f t="shared" si="59"/>
        <v>-0.50435</v>
      </c>
    </row>
    <row r="1273" spans="1:13">
      <c r="A1273" t="s">
        <v>13</v>
      </c>
      <c r="B1273" t="s">
        <v>2555</v>
      </c>
      <c r="C1273" t="s">
        <v>2556</v>
      </c>
      <c r="D1273">
        <v>151889</v>
      </c>
      <c r="E1273">
        <v>152789</v>
      </c>
      <c r="F1273">
        <v>0.642</v>
      </c>
      <c r="G1273">
        <v>-900</v>
      </c>
      <c r="H1273">
        <v>9.809054</v>
      </c>
      <c r="I1273">
        <v>9.948803</v>
      </c>
      <c r="J1273">
        <v>-0.139749</v>
      </c>
      <c r="K1273" s="4">
        <f t="shared" si="57"/>
        <v>-0.0140468154812192</v>
      </c>
      <c r="L1273" s="4">
        <f t="shared" si="58"/>
        <v>-0.00589047640864198</v>
      </c>
      <c r="M1273" s="18">
        <f t="shared" si="59"/>
        <v>-0.05778</v>
      </c>
    </row>
    <row r="1274" spans="1:13">
      <c r="A1274" t="s">
        <v>13</v>
      </c>
      <c r="B1274" t="s">
        <v>2557</v>
      </c>
      <c r="C1274" t="s">
        <v>2558</v>
      </c>
      <c r="D1274">
        <v>408957.7</v>
      </c>
      <c r="E1274">
        <v>407607.7</v>
      </c>
      <c r="G1274">
        <v>1350</v>
      </c>
      <c r="H1274">
        <v>87.513373</v>
      </c>
      <c r="I1274">
        <v>85.519753</v>
      </c>
      <c r="J1274">
        <v>1.99362</v>
      </c>
      <c r="K1274" s="4">
        <f t="shared" si="57"/>
        <v>0.0233118072733442</v>
      </c>
      <c r="L1274" s="4">
        <f t="shared" si="58"/>
        <v>0.00331200809013176</v>
      </c>
      <c r="M1274" s="18">
        <f t="shared" si="59"/>
        <v>0</v>
      </c>
    </row>
    <row r="1275" spans="1:13">
      <c r="A1275" t="s">
        <v>13</v>
      </c>
      <c r="B1275" t="s">
        <v>2559</v>
      </c>
      <c r="C1275" t="s">
        <v>2560</v>
      </c>
      <c r="D1275">
        <v>180764.2</v>
      </c>
      <c r="E1275">
        <v>180964.2</v>
      </c>
      <c r="G1275">
        <v>-200</v>
      </c>
      <c r="H1275">
        <v>54.28926</v>
      </c>
      <c r="I1275">
        <v>54.810617</v>
      </c>
      <c r="J1275">
        <v>-0.521357</v>
      </c>
      <c r="K1275" s="4">
        <f t="shared" si="57"/>
        <v>-0.00951197101101781</v>
      </c>
      <c r="L1275" s="4">
        <f t="shared" si="58"/>
        <v>-0.00110519097147392</v>
      </c>
      <c r="M1275" s="18">
        <f t="shared" si="59"/>
        <v>0</v>
      </c>
    </row>
    <row r="1276" spans="1:13">
      <c r="A1276" t="s">
        <v>13</v>
      </c>
      <c r="B1276" t="s">
        <v>2561</v>
      </c>
      <c r="C1276" t="s">
        <v>2562</v>
      </c>
      <c r="D1276">
        <v>16898.7</v>
      </c>
      <c r="E1276">
        <v>17098.7</v>
      </c>
      <c r="F1276">
        <v>0.838</v>
      </c>
      <c r="G1276">
        <v>-200</v>
      </c>
      <c r="H1276">
        <v>1.432871</v>
      </c>
      <c r="I1276">
        <v>1.44484</v>
      </c>
      <c r="J1276">
        <v>-0.011969</v>
      </c>
      <c r="K1276" s="4">
        <f t="shared" si="57"/>
        <v>-0.00828396223803328</v>
      </c>
      <c r="L1276" s="4">
        <f t="shared" si="58"/>
        <v>-0.0116967956628282</v>
      </c>
      <c r="M1276" s="18">
        <f t="shared" si="59"/>
        <v>-0.01676</v>
      </c>
    </row>
    <row r="1277" spans="1:13">
      <c r="A1277" t="s">
        <v>13</v>
      </c>
      <c r="B1277" t="s">
        <v>2563</v>
      </c>
      <c r="C1277" t="s">
        <v>2564</v>
      </c>
      <c r="D1277">
        <v>10081.85</v>
      </c>
      <c r="E1277">
        <v>10381.85</v>
      </c>
      <c r="F1277">
        <v>0.993</v>
      </c>
      <c r="G1277">
        <v>-300</v>
      </c>
      <c r="H1277">
        <v>1.030918</v>
      </c>
      <c r="I1277">
        <v>1.021575</v>
      </c>
      <c r="J1277">
        <v>0.009343</v>
      </c>
      <c r="K1277" s="4">
        <f t="shared" si="57"/>
        <v>0.00914568191273279</v>
      </c>
      <c r="L1277" s="4">
        <f t="shared" si="58"/>
        <v>-0.0288965839421683</v>
      </c>
      <c r="M1277" s="18">
        <f t="shared" si="59"/>
        <v>-0.02979</v>
      </c>
    </row>
    <row r="1278" spans="1:13">
      <c r="A1278" t="s">
        <v>13</v>
      </c>
      <c r="B1278" t="s">
        <v>2565</v>
      </c>
      <c r="C1278" t="s">
        <v>2566</v>
      </c>
      <c r="D1278">
        <v>35660.4</v>
      </c>
      <c r="E1278">
        <v>35660.4</v>
      </c>
      <c r="F1278">
        <v>1.004</v>
      </c>
      <c r="G1278">
        <v>0</v>
      </c>
      <c r="H1278">
        <v>3.580304</v>
      </c>
      <c r="I1278">
        <v>3.697625</v>
      </c>
      <c r="J1278">
        <v>-0.117321</v>
      </c>
      <c r="K1278" s="4">
        <f t="shared" si="57"/>
        <v>-0.0317287448024069</v>
      </c>
      <c r="L1278" s="4">
        <f t="shared" si="58"/>
        <v>0</v>
      </c>
      <c r="M1278" s="18">
        <f t="shared" si="59"/>
        <v>0</v>
      </c>
    </row>
    <row r="1279" spans="1:13">
      <c r="A1279" t="s">
        <v>13</v>
      </c>
      <c r="B1279" t="s">
        <v>2567</v>
      </c>
      <c r="C1279" t="s">
        <v>2568</v>
      </c>
      <c r="D1279">
        <v>8653.1</v>
      </c>
      <c r="E1279">
        <v>8653.1</v>
      </c>
      <c r="F1279">
        <v>1.309</v>
      </c>
      <c r="G1279">
        <v>0</v>
      </c>
      <c r="H1279">
        <v>1.132691</v>
      </c>
      <c r="I1279">
        <v>1.157785</v>
      </c>
      <c r="J1279">
        <v>-0.025094</v>
      </c>
      <c r="K1279" s="4">
        <f t="shared" si="57"/>
        <v>-0.0216741450269264</v>
      </c>
      <c r="L1279" s="4">
        <f t="shared" si="58"/>
        <v>0</v>
      </c>
      <c r="M1279" s="18">
        <f t="shared" si="59"/>
        <v>0</v>
      </c>
    </row>
    <row r="1280" spans="1:13">
      <c r="A1280" t="s">
        <v>13</v>
      </c>
      <c r="B1280" t="s">
        <v>2569</v>
      </c>
      <c r="C1280" t="s">
        <v>2570</v>
      </c>
      <c r="D1280">
        <v>31917</v>
      </c>
      <c r="E1280">
        <v>32017</v>
      </c>
      <c r="F1280">
        <v>0.935</v>
      </c>
      <c r="G1280">
        <v>-100</v>
      </c>
      <c r="H1280">
        <v>2.99359</v>
      </c>
      <c r="I1280">
        <v>3.05122</v>
      </c>
      <c r="J1280">
        <v>-0.05763</v>
      </c>
      <c r="K1280" s="4">
        <f t="shared" si="57"/>
        <v>-0.0188875269564305</v>
      </c>
      <c r="L1280" s="4">
        <f t="shared" si="58"/>
        <v>-0.00312334072523972</v>
      </c>
      <c r="M1280" s="18">
        <f t="shared" si="59"/>
        <v>-0.00935</v>
      </c>
    </row>
    <row r="1281" spans="1:13">
      <c r="A1281" t="s">
        <v>13</v>
      </c>
      <c r="B1281" t="s">
        <v>2571</v>
      </c>
      <c r="C1281" t="s">
        <v>2572</v>
      </c>
      <c r="D1281">
        <v>76892.1</v>
      </c>
      <c r="E1281">
        <v>76892.1</v>
      </c>
      <c r="F1281">
        <v>0.931</v>
      </c>
      <c r="G1281">
        <v>0</v>
      </c>
      <c r="H1281">
        <v>7.158655</v>
      </c>
      <c r="I1281">
        <v>7.243236</v>
      </c>
      <c r="J1281">
        <v>-0.084581</v>
      </c>
      <c r="K1281" s="4">
        <f t="shared" si="57"/>
        <v>-0.0116772392891796</v>
      </c>
      <c r="L1281" s="4">
        <f t="shared" si="58"/>
        <v>0</v>
      </c>
      <c r="M1281" s="18">
        <f t="shared" si="59"/>
        <v>0</v>
      </c>
    </row>
    <row r="1282" spans="1:13">
      <c r="A1282" t="s">
        <v>13</v>
      </c>
      <c r="B1282" t="s">
        <v>2573</v>
      </c>
      <c r="C1282" t="s">
        <v>2574</v>
      </c>
      <c r="D1282">
        <v>9487.8</v>
      </c>
      <c r="E1282">
        <v>9587.8</v>
      </c>
      <c r="F1282">
        <v>1.038</v>
      </c>
      <c r="G1282">
        <v>-100</v>
      </c>
      <c r="H1282">
        <v>0.995214</v>
      </c>
      <c r="I1282">
        <v>0.999049</v>
      </c>
      <c r="J1282">
        <v>-0.003835</v>
      </c>
      <c r="K1282" s="4">
        <f t="shared" ref="K1282:K1345" si="60">IFERROR(J1282/I1282,"")</f>
        <v>-0.0038386505566794</v>
      </c>
      <c r="L1282" s="4">
        <f t="shared" ref="L1282:L1345" si="61">IFERROR((D1282-E1282)/E1282,"")</f>
        <v>-0.010429921358393</v>
      </c>
      <c r="M1282" s="18">
        <f t="shared" ref="M1282:M1345" si="62">IFERROR(F1282*G1282/10000,"")</f>
        <v>-0.01038</v>
      </c>
    </row>
    <row r="1283" spans="1:13">
      <c r="A1283" t="s">
        <v>13</v>
      </c>
      <c r="B1283" t="s">
        <v>2575</v>
      </c>
      <c r="C1283" t="s">
        <v>2576</v>
      </c>
      <c r="D1283">
        <v>4588.26</v>
      </c>
      <c r="E1283">
        <v>4588.26</v>
      </c>
      <c r="F1283">
        <v>1.63</v>
      </c>
      <c r="G1283">
        <v>0</v>
      </c>
      <c r="H1283">
        <v>0.747887</v>
      </c>
      <c r="I1283">
        <v>0.728158</v>
      </c>
      <c r="J1283">
        <v>0.019729</v>
      </c>
      <c r="K1283" s="4">
        <f t="shared" si="60"/>
        <v>0.0270943943484793</v>
      </c>
      <c r="L1283" s="4">
        <f t="shared" si="61"/>
        <v>0</v>
      </c>
      <c r="M1283" s="18">
        <f t="shared" si="62"/>
        <v>0</v>
      </c>
    </row>
    <row r="1284" spans="1:13">
      <c r="A1284" t="s">
        <v>13</v>
      </c>
      <c r="B1284" t="s">
        <v>2577</v>
      </c>
      <c r="C1284" t="s">
        <v>2578</v>
      </c>
      <c r="D1284">
        <v>33140.9</v>
      </c>
      <c r="E1284">
        <v>33140.9</v>
      </c>
      <c r="F1284">
        <v>0.706</v>
      </c>
      <c r="G1284">
        <v>0</v>
      </c>
      <c r="H1284">
        <v>2.339748</v>
      </c>
      <c r="I1284">
        <v>2.373641</v>
      </c>
      <c r="J1284">
        <v>-0.033893</v>
      </c>
      <c r="K1284" s="4">
        <f t="shared" si="60"/>
        <v>-0.0142789073832142</v>
      </c>
      <c r="L1284" s="4">
        <f t="shared" si="61"/>
        <v>0</v>
      </c>
      <c r="M1284" s="18">
        <f t="shared" si="62"/>
        <v>0</v>
      </c>
    </row>
    <row r="1285" spans="1:13">
      <c r="A1285" t="s">
        <v>13</v>
      </c>
      <c r="B1285" t="s">
        <v>2579</v>
      </c>
      <c r="C1285" t="s">
        <v>2580</v>
      </c>
      <c r="D1285">
        <v>75919.69</v>
      </c>
      <c r="E1285">
        <v>76719.69</v>
      </c>
      <c r="F1285">
        <v>0.632</v>
      </c>
      <c r="G1285">
        <v>-800</v>
      </c>
      <c r="H1285">
        <v>4.848685</v>
      </c>
      <c r="I1285">
        <v>4.881957</v>
      </c>
      <c r="J1285">
        <v>-0.033272</v>
      </c>
      <c r="K1285" s="4">
        <f t="shared" si="60"/>
        <v>-0.00681529968412258</v>
      </c>
      <c r="L1285" s="4">
        <f t="shared" si="61"/>
        <v>-0.0104275708100489</v>
      </c>
      <c r="M1285" s="18">
        <f t="shared" si="62"/>
        <v>-0.05056</v>
      </c>
    </row>
    <row r="1286" spans="1:13">
      <c r="A1286" t="s">
        <v>13</v>
      </c>
      <c r="B1286" t="s">
        <v>2581</v>
      </c>
      <c r="C1286" t="s">
        <v>2582</v>
      </c>
      <c r="D1286">
        <v>2501.26</v>
      </c>
      <c r="E1286">
        <v>2501.26</v>
      </c>
      <c r="F1286">
        <v>3.638</v>
      </c>
      <c r="G1286">
        <v>0</v>
      </c>
      <c r="H1286">
        <v>0.909958</v>
      </c>
      <c r="I1286">
        <v>0.902204</v>
      </c>
      <c r="J1286">
        <v>0.007754</v>
      </c>
      <c r="K1286" s="4">
        <f t="shared" si="60"/>
        <v>0.00859450855903986</v>
      </c>
      <c r="L1286" s="4">
        <f t="shared" si="61"/>
        <v>0</v>
      </c>
      <c r="M1286" s="18">
        <f t="shared" si="62"/>
        <v>0</v>
      </c>
    </row>
    <row r="1287" spans="1:13">
      <c r="A1287" t="s">
        <v>13</v>
      </c>
      <c r="B1287" t="s">
        <v>2583</v>
      </c>
      <c r="C1287" t="s">
        <v>2584</v>
      </c>
      <c r="D1287">
        <v>161515.85</v>
      </c>
      <c r="E1287">
        <v>161245.85</v>
      </c>
      <c r="F1287">
        <v>1.269</v>
      </c>
      <c r="G1287">
        <v>270</v>
      </c>
      <c r="H1287">
        <v>20.462098</v>
      </c>
      <c r="I1287">
        <v>20.95416</v>
      </c>
      <c r="J1287">
        <v>-0.492062</v>
      </c>
      <c r="K1287" s="4">
        <f t="shared" si="60"/>
        <v>-0.0234827833709392</v>
      </c>
      <c r="L1287" s="4">
        <f t="shared" si="61"/>
        <v>0.00167446169932435</v>
      </c>
      <c r="M1287" s="18">
        <f t="shared" si="62"/>
        <v>0.034263</v>
      </c>
    </row>
    <row r="1288" spans="1:13">
      <c r="A1288" t="s">
        <v>13</v>
      </c>
      <c r="B1288" t="s">
        <v>2585</v>
      </c>
      <c r="C1288" t="s">
        <v>2586</v>
      </c>
      <c r="D1288">
        <v>7758.93</v>
      </c>
      <c r="E1288">
        <v>7858.93</v>
      </c>
      <c r="F1288">
        <v>1.063</v>
      </c>
      <c r="G1288">
        <v>-100</v>
      </c>
      <c r="H1288">
        <v>0.835404</v>
      </c>
      <c r="I1288">
        <v>0.869742</v>
      </c>
      <c r="J1288">
        <v>-0.034338</v>
      </c>
      <c r="K1288" s="4">
        <f t="shared" si="60"/>
        <v>-0.0394806735790614</v>
      </c>
      <c r="L1288" s="4">
        <f t="shared" si="61"/>
        <v>-0.0127243785095426</v>
      </c>
      <c r="M1288" s="18">
        <f t="shared" si="62"/>
        <v>-0.01063</v>
      </c>
    </row>
    <row r="1289" spans="1:13">
      <c r="A1289" t="s">
        <v>13</v>
      </c>
      <c r="B1289" t="s">
        <v>2587</v>
      </c>
      <c r="C1289" t="s">
        <v>2588</v>
      </c>
      <c r="D1289">
        <v>487.13</v>
      </c>
      <c r="E1289">
        <v>487.13</v>
      </c>
      <c r="G1289">
        <v>0</v>
      </c>
      <c r="H1289">
        <v>0.090801</v>
      </c>
      <c r="I1289">
        <v>0.088365</v>
      </c>
      <c r="J1289">
        <v>0.002436</v>
      </c>
      <c r="K1289" s="4">
        <f t="shared" si="60"/>
        <v>0.0275674758105585</v>
      </c>
      <c r="L1289" s="4">
        <f t="shared" si="61"/>
        <v>0</v>
      </c>
      <c r="M1289" s="18">
        <f t="shared" si="62"/>
        <v>0</v>
      </c>
    </row>
    <row r="1290" spans="1:13">
      <c r="A1290" t="s">
        <v>13</v>
      </c>
      <c r="B1290" t="s">
        <v>2589</v>
      </c>
      <c r="C1290" t="s">
        <v>2590</v>
      </c>
      <c r="D1290">
        <v>108441.53</v>
      </c>
      <c r="E1290">
        <v>111241.53</v>
      </c>
      <c r="F1290">
        <v>1.963</v>
      </c>
      <c r="G1290">
        <v>-2800</v>
      </c>
      <c r="H1290">
        <v>21.836713</v>
      </c>
      <c r="I1290">
        <v>21.3987</v>
      </c>
      <c r="J1290">
        <v>0.438013</v>
      </c>
      <c r="K1290" s="4">
        <f t="shared" si="60"/>
        <v>0.020469140648731</v>
      </c>
      <c r="L1290" s="4">
        <f t="shared" si="61"/>
        <v>-0.0251704556742432</v>
      </c>
      <c r="M1290" s="18">
        <f t="shared" si="62"/>
        <v>-0.54964</v>
      </c>
    </row>
    <row r="1291" spans="1:13">
      <c r="A1291" t="s">
        <v>13</v>
      </c>
      <c r="B1291" t="s">
        <v>2591</v>
      </c>
      <c r="C1291" t="s">
        <v>2592</v>
      </c>
      <c r="D1291">
        <v>5755.18</v>
      </c>
      <c r="E1291">
        <v>5655.18</v>
      </c>
      <c r="F1291">
        <v>1.207</v>
      </c>
      <c r="G1291">
        <v>100</v>
      </c>
      <c r="H1291">
        <v>0.68258</v>
      </c>
      <c r="I1291">
        <v>0.661168</v>
      </c>
      <c r="J1291">
        <v>0.021412</v>
      </c>
      <c r="K1291" s="4">
        <f t="shared" si="60"/>
        <v>0.032385112407134</v>
      </c>
      <c r="L1291" s="4">
        <f t="shared" si="61"/>
        <v>0.0176829031083007</v>
      </c>
      <c r="M1291" s="18">
        <f t="shared" si="62"/>
        <v>0.01207</v>
      </c>
    </row>
    <row r="1292" spans="1:13">
      <c r="A1292" t="s">
        <v>13</v>
      </c>
      <c r="B1292" t="s">
        <v>2593</v>
      </c>
      <c r="C1292" t="s">
        <v>2594</v>
      </c>
      <c r="D1292">
        <v>31440.8</v>
      </c>
      <c r="E1292">
        <v>30440.8</v>
      </c>
      <c r="G1292">
        <v>1000</v>
      </c>
      <c r="H1292">
        <v>2.934493</v>
      </c>
      <c r="I1292">
        <v>3.054888</v>
      </c>
      <c r="J1292">
        <v>-0.120395</v>
      </c>
      <c r="K1292" s="4">
        <f t="shared" si="60"/>
        <v>-0.0394106101434815</v>
      </c>
      <c r="L1292" s="4">
        <f t="shared" si="61"/>
        <v>0.0328506478147749</v>
      </c>
      <c r="M1292" s="18">
        <f t="shared" si="62"/>
        <v>0</v>
      </c>
    </row>
    <row r="1293" spans="1:13">
      <c r="A1293" t="s">
        <v>13</v>
      </c>
      <c r="B1293" t="s">
        <v>2595</v>
      </c>
      <c r="C1293" t="s">
        <v>2596</v>
      </c>
      <c r="D1293">
        <v>8044.93</v>
      </c>
      <c r="E1293">
        <v>8044.93</v>
      </c>
      <c r="G1293">
        <v>0</v>
      </c>
      <c r="H1293">
        <v>0.815755</v>
      </c>
      <c r="I1293">
        <v>0.810929</v>
      </c>
      <c r="J1293">
        <v>0.004826</v>
      </c>
      <c r="K1293" s="4">
        <f t="shared" si="60"/>
        <v>0.0059511991801995</v>
      </c>
      <c r="L1293" s="4">
        <f t="shared" si="61"/>
        <v>0</v>
      </c>
      <c r="M1293" s="18">
        <f t="shared" si="62"/>
        <v>0</v>
      </c>
    </row>
    <row r="1294" spans="1:13">
      <c r="A1294" t="s">
        <v>13</v>
      </c>
      <c r="B1294" t="s">
        <v>2597</v>
      </c>
      <c r="C1294" t="s">
        <v>2598</v>
      </c>
      <c r="D1294">
        <v>17526.1</v>
      </c>
      <c r="E1294">
        <v>17376.1</v>
      </c>
      <c r="F1294">
        <v>1.035</v>
      </c>
      <c r="G1294">
        <v>150</v>
      </c>
      <c r="H1294">
        <v>1.798426</v>
      </c>
      <c r="I1294">
        <v>1.815802</v>
      </c>
      <c r="J1294">
        <v>-0.017376</v>
      </c>
      <c r="K1294" s="4">
        <f t="shared" si="60"/>
        <v>-0.00956932528987191</v>
      </c>
      <c r="L1294" s="4">
        <f t="shared" si="61"/>
        <v>0.00863254700421844</v>
      </c>
      <c r="M1294" s="18">
        <f t="shared" si="62"/>
        <v>0.015525</v>
      </c>
    </row>
    <row r="1295" spans="1:13">
      <c r="A1295" t="s">
        <v>13</v>
      </c>
      <c r="B1295" t="s">
        <v>2599</v>
      </c>
      <c r="C1295" t="s">
        <v>2600</v>
      </c>
      <c r="D1295">
        <v>53369.3</v>
      </c>
      <c r="E1295">
        <v>53269.3</v>
      </c>
      <c r="F1295">
        <v>1.18</v>
      </c>
      <c r="G1295">
        <v>100</v>
      </c>
      <c r="H1295">
        <v>6.285777</v>
      </c>
      <c r="I1295">
        <v>6.337781</v>
      </c>
      <c r="J1295">
        <v>-0.052004</v>
      </c>
      <c r="K1295" s="4">
        <f t="shared" si="60"/>
        <v>-0.00820539554774771</v>
      </c>
      <c r="L1295" s="4">
        <f t="shared" si="61"/>
        <v>0.0018772538779372</v>
      </c>
      <c r="M1295" s="18">
        <f t="shared" si="62"/>
        <v>0.0118</v>
      </c>
    </row>
    <row r="1296" spans="1:13">
      <c r="A1296" t="s">
        <v>13</v>
      </c>
      <c r="B1296" t="s">
        <v>2601</v>
      </c>
      <c r="C1296" t="s">
        <v>2602</v>
      </c>
      <c r="D1296">
        <v>29593.72</v>
      </c>
      <c r="E1296">
        <v>29693.72</v>
      </c>
      <c r="G1296">
        <v>-100</v>
      </c>
      <c r="H1296">
        <v>1.618308</v>
      </c>
      <c r="I1296">
        <v>1.566685</v>
      </c>
      <c r="J1296">
        <v>0.051623</v>
      </c>
      <c r="K1296" s="4">
        <f t="shared" si="60"/>
        <v>0.0329504654732764</v>
      </c>
      <c r="L1296" s="4">
        <f t="shared" si="61"/>
        <v>-0.00336771546306761</v>
      </c>
      <c r="M1296" s="18">
        <f t="shared" si="62"/>
        <v>0</v>
      </c>
    </row>
    <row r="1297" spans="1:13">
      <c r="A1297" t="s">
        <v>13</v>
      </c>
      <c r="B1297" t="s">
        <v>2603</v>
      </c>
      <c r="C1297" t="s">
        <v>2604</v>
      </c>
      <c r="D1297">
        <v>139489</v>
      </c>
      <c r="E1297">
        <v>137989</v>
      </c>
      <c r="G1297">
        <v>1500</v>
      </c>
      <c r="H1297">
        <v>24.299863</v>
      </c>
      <c r="I1297">
        <v>23.641201</v>
      </c>
      <c r="J1297">
        <v>0.658662</v>
      </c>
      <c r="K1297" s="4">
        <f t="shared" si="60"/>
        <v>0.0278607673104256</v>
      </c>
      <c r="L1297" s="4">
        <f t="shared" si="61"/>
        <v>0.0108704317010776</v>
      </c>
      <c r="M1297" s="18">
        <f t="shared" si="62"/>
        <v>0</v>
      </c>
    </row>
    <row r="1298" spans="1:13">
      <c r="A1298" t="s">
        <v>13</v>
      </c>
      <c r="B1298" t="s">
        <v>2605</v>
      </c>
      <c r="C1298" t="s">
        <v>2606</v>
      </c>
      <c r="D1298">
        <v>85776.55</v>
      </c>
      <c r="E1298">
        <v>86976.55</v>
      </c>
      <c r="F1298">
        <v>1.208</v>
      </c>
      <c r="G1298">
        <v>-1200</v>
      </c>
      <c r="H1298">
        <v>10.506767</v>
      </c>
      <c r="I1298">
        <v>10.880795</v>
      </c>
      <c r="J1298">
        <v>-0.374028</v>
      </c>
      <c r="K1298" s="4">
        <f t="shared" si="60"/>
        <v>-0.0343750617487049</v>
      </c>
      <c r="L1298" s="4">
        <f t="shared" si="61"/>
        <v>-0.013796822246916</v>
      </c>
      <c r="M1298" s="18">
        <f t="shared" si="62"/>
        <v>-0.14496</v>
      </c>
    </row>
    <row r="1299" spans="1:13">
      <c r="A1299" t="s">
        <v>13</v>
      </c>
      <c r="B1299" t="s">
        <v>2607</v>
      </c>
      <c r="C1299" t="s">
        <v>2608</v>
      </c>
      <c r="D1299">
        <v>1830.23</v>
      </c>
      <c r="E1299">
        <v>1830.23</v>
      </c>
      <c r="F1299">
        <v>0.958</v>
      </c>
      <c r="G1299">
        <v>0</v>
      </c>
      <c r="H1299">
        <v>0.175336</v>
      </c>
      <c r="I1299">
        <v>0.178265</v>
      </c>
      <c r="J1299">
        <v>-0.002929</v>
      </c>
      <c r="K1299" s="4">
        <f t="shared" si="60"/>
        <v>-0.0164305949008499</v>
      </c>
      <c r="L1299" s="4">
        <f t="shared" si="61"/>
        <v>0</v>
      </c>
      <c r="M1299" s="18">
        <f t="shared" si="62"/>
        <v>0</v>
      </c>
    </row>
    <row r="1300" spans="1:13">
      <c r="A1300" t="s">
        <v>13</v>
      </c>
      <c r="B1300" t="s">
        <v>2609</v>
      </c>
      <c r="C1300" t="s">
        <v>2610</v>
      </c>
      <c r="D1300">
        <v>24841.44</v>
      </c>
      <c r="E1300">
        <v>24841.44</v>
      </c>
      <c r="F1300">
        <v>0.662</v>
      </c>
      <c r="G1300">
        <v>0</v>
      </c>
      <c r="H1300">
        <v>1.644503</v>
      </c>
      <c r="I1300">
        <v>1.682785</v>
      </c>
      <c r="J1300">
        <v>-0.038282</v>
      </c>
      <c r="K1300" s="4">
        <f t="shared" si="60"/>
        <v>-0.0227491925587642</v>
      </c>
      <c r="L1300" s="4">
        <f t="shared" si="61"/>
        <v>0</v>
      </c>
      <c r="M1300" s="18">
        <f t="shared" si="62"/>
        <v>0</v>
      </c>
    </row>
    <row r="1301" spans="1:13">
      <c r="A1301" t="s">
        <v>13</v>
      </c>
      <c r="B1301" t="s">
        <v>2611</v>
      </c>
      <c r="C1301" t="s">
        <v>2612</v>
      </c>
      <c r="D1301">
        <v>21175.8</v>
      </c>
      <c r="E1301">
        <v>21175.8</v>
      </c>
      <c r="F1301">
        <v>0.702</v>
      </c>
      <c r="G1301">
        <v>0</v>
      </c>
      <c r="H1301">
        <v>1.486541</v>
      </c>
      <c r="I1301">
        <v>1.495707</v>
      </c>
      <c r="J1301">
        <v>-0.009166</v>
      </c>
      <c r="K1301" s="4">
        <f t="shared" si="60"/>
        <v>-0.0061282055910683</v>
      </c>
      <c r="L1301" s="4">
        <f t="shared" si="61"/>
        <v>0</v>
      </c>
      <c r="M1301" s="18">
        <f t="shared" si="62"/>
        <v>0</v>
      </c>
    </row>
    <row r="1302" spans="1:13">
      <c r="A1302" t="s">
        <v>13</v>
      </c>
      <c r="B1302" t="s">
        <v>2613</v>
      </c>
      <c r="C1302" t="s">
        <v>2614</v>
      </c>
      <c r="D1302">
        <v>124235.76</v>
      </c>
      <c r="E1302">
        <v>125135.76</v>
      </c>
      <c r="F1302">
        <v>0.988</v>
      </c>
      <c r="G1302">
        <v>-900</v>
      </c>
      <c r="H1302">
        <v>12.363413</v>
      </c>
      <c r="I1302">
        <v>12.810412</v>
      </c>
      <c r="J1302">
        <v>-0.446999</v>
      </c>
      <c r="K1302" s="4">
        <f t="shared" si="60"/>
        <v>-0.0348934132641479</v>
      </c>
      <c r="L1302" s="4">
        <f t="shared" si="61"/>
        <v>-0.00719218870768835</v>
      </c>
      <c r="M1302" s="18">
        <f t="shared" si="62"/>
        <v>-0.08892</v>
      </c>
    </row>
    <row r="1303" spans="1:13">
      <c r="A1303" t="s">
        <v>13</v>
      </c>
      <c r="B1303" t="s">
        <v>2615</v>
      </c>
      <c r="C1303" t="s">
        <v>2616</v>
      </c>
      <c r="D1303">
        <v>14712.41</v>
      </c>
      <c r="E1303">
        <v>14512.41</v>
      </c>
      <c r="F1303">
        <v>0.705</v>
      </c>
      <c r="G1303">
        <v>200</v>
      </c>
      <c r="H1303">
        <v>1.023125</v>
      </c>
      <c r="I1303">
        <v>1.041865</v>
      </c>
      <c r="J1303">
        <v>-0.01874</v>
      </c>
      <c r="K1303" s="4">
        <f t="shared" si="60"/>
        <v>-0.0179869752799067</v>
      </c>
      <c r="L1303" s="4">
        <f t="shared" si="61"/>
        <v>0.013781308549028</v>
      </c>
      <c r="M1303" s="18">
        <f t="shared" si="62"/>
        <v>0.0141</v>
      </c>
    </row>
    <row r="1304" spans="1:13">
      <c r="A1304" t="s">
        <v>13</v>
      </c>
      <c r="B1304" t="s">
        <v>2617</v>
      </c>
      <c r="C1304" t="s">
        <v>2618</v>
      </c>
      <c r="D1304">
        <v>4901.5</v>
      </c>
      <c r="E1304">
        <v>5001.5</v>
      </c>
      <c r="F1304">
        <v>1.275</v>
      </c>
      <c r="G1304">
        <v>-100</v>
      </c>
      <c r="H1304">
        <v>0.637691</v>
      </c>
      <c r="I1304">
        <v>0.63369</v>
      </c>
      <c r="J1304">
        <v>0.004001</v>
      </c>
      <c r="K1304" s="4">
        <f t="shared" si="60"/>
        <v>0.00631381274755796</v>
      </c>
      <c r="L1304" s="4">
        <f t="shared" si="61"/>
        <v>-0.0199940017994602</v>
      </c>
      <c r="M1304" s="18">
        <f t="shared" si="62"/>
        <v>-0.01275</v>
      </c>
    </row>
    <row r="1305" spans="1:13">
      <c r="A1305" t="s">
        <v>13</v>
      </c>
      <c r="B1305" t="s">
        <v>2619</v>
      </c>
      <c r="C1305" t="s">
        <v>2620</v>
      </c>
      <c r="D1305">
        <v>11633.21</v>
      </c>
      <c r="E1305">
        <v>11933.21</v>
      </c>
      <c r="G1305">
        <v>-300</v>
      </c>
      <c r="H1305">
        <v>0.690933</v>
      </c>
      <c r="I1305">
        <v>0.688546</v>
      </c>
      <c r="J1305">
        <v>0.002387</v>
      </c>
      <c r="K1305" s="4">
        <f t="shared" si="60"/>
        <v>0.00346672553467742</v>
      </c>
      <c r="L1305" s="4">
        <f t="shared" si="61"/>
        <v>-0.025139924630506</v>
      </c>
      <c r="M1305" s="18">
        <f t="shared" si="62"/>
        <v>0</v>
      </c>
    </row>
    <row r="1306" spans="1:13">
      <c r="A1306" t="s">
        <v>13</v>
      </c>
      <c r="B1306" t="s">
        <v>2621</v>
      </c>
      <c r="C1306" t="s">
        <v>2622</v>
      </c>
      <c r="D1306">
        <v>20697.48</v>
      </c>
      <c r="E1306">
        <v>21297.48</v>
      </c>
      <c r="F1306">
        <v>0.417</v>
      </c>
      <c r="G1306">
        <v>-600</v>
      </c>
      <c r="H1306">
        <v>0.888105</v>
      </c>
      <c r="I1306">
        <v>0.885975</v>
      </c>
      <c r="J1306">
        <v>0.00213</v>
      </c>
      <c r="K1306" s="4">
        <f t="shared" si="60"/>
        <v>0.00240413104207229</v>
      </c>
      <c r="L1306" s="4">
        <f t="shared" si="61"/>
        <v>-0.0281723471509305</v>
      </c>
      <c r="M1306" s="18">
        <f t="shared" si="62"/>
        <v>-0.02502</v>
      </c>
    </row>
    <row r="1307" spans="1:13">
      <c r="A1307" t="s">
        <v>13</v>
      </c>
      <c r="B1307" t="s">
        <v>2623</v>
      </c>
      <c r="C1307" t="s">
        <v>2624</v>
      </c>
      <c r="D1307">
        <v>16626.75</v>
      </c>
      <c r="E1307">
        <v>16776.75</v>
      </c>
      <c r="F1307">
        <v>0.849</v>
      </c>
      <c r="G1307">
        <v>-150</v>
      </c>
      <c r="H1307">
        <v>1.424346</v>
      </c>
      <c r="I1307">
        <v>1.425862</v>
      </c>
      <c r="J1307">
        <v>-0.001516</v>
      </c>
      <c r="K1307" s="4">
        <f t="shared" si="60"/>
        <v>-0.00106321649640709</v>
      </c>
      <c r="L1307" s="4">
        <f t="shared" si="61"/>
        <v>-0.00894094505789262</v>
      </c>
      <c r="M1307" s="18">
        <f t="shared" si="62"/>
        <v>-0.012735</v>
      </c>
    </row>
    <row r="1308" spans="1:13">
      <c r="A1308" t="s">
        <v>13</v>
      </c>
      <c r="B1308" t="s">
        <v>2625</v>
      </c>
      <c r="C1308" t="s">
        <v>2626</v>
      </c>
      <c r="D1308">
        <v>52515.6</v>
      </c>
      <c r="E1308">
        <v>52515.6</v>
      </c>
      <c r="F1308">
        <v>1.717</v>
      </c>
      <c r="G1308">
        <v>0</v>
      </c>
      <c r="H1308">
        <v>9.016929</v>
      </c>
      <c r="I1308">
        <v>8.780608</v>
      </c>
      <c r="J1308">
        <v>0.236321</v>
      </c>
      <c r="K1308" s="4">
        <f t="shared" si="60"/>
        <v>0.0269139676887979</v>
      </c>
      <c r="L1308" s="4">
        <f t="shared" si="61"/>
        <v>0</v>
      </c>
      <c r="M1308" s="18">
        <f t="shared" si="62"/>
        <v>0</v>
      </c>
    </row>
    <row r="1309" spans="1:13">
      <c r="A1309" t="s">
        <v>13</v>
      </c>
      <c r="B1309" t="s">
        <v>2627</v>
      </c>
      <c r="C1309" t="s">
        <v>2628</v>
      </c>
      <c r="D1309">
        <v>108048.28</v>
      </c>
      <c r="E1309">
        <v>109848.28</v>
      </c>
      <c r="F1309">
        <v>1.737</v>
      </c>
      <c r="G1309">
        <v>-1800</v>
      </c>
      <c r="H1309">
        <v>19.080646</v>
      </c>
      <c r="I1309">
        <v>19.044193</v>
      </c>
      <c r="J1309">
        <v>0.036453</v>
      </c>
      <c r="K1309" s="4">
        <f t="shared" si="60"/>
        <v>0.00191412678920026</v>
      </c>
      <c r="L1309" s="4">
        <f t="shared" si="61"/>
        <v>-0.0163862374540594</v>
      </c>
      <c r="M1309" s="18">
        <f t="shared" si="62"/>
        <v>-0.31266</v>
      </c>
    </row>
    <row r="1310" spans="1:13">
      <c r="A1310" t="s">
        <v>13</v>
      </c>
      <c r="B1310" t="s">
        <v>2629</v>
      </c>
      <c r="C1310" t="s">
        <v>2630</v>
      </c>
      <c r="D1310">
        <v>545146.48</v>
      </c>
      <c r="E1310">
        <v>548446.48</v>
      </c>
      <c r="F1310">
        <v>1.951</v>
      </c>
      <c r="G1310">
        <v>-3300</v>
      </c>
      <c r="H1310">
        <v>107.001908</v>
      </c>
      <c r="I1310">
        <v>108.511587</v>
      </c>
      <c r="J1310">
        <v>-1.509679</v>
      </c>
      <c r="K1310" s="4">
        <f t="shared" si="60"/>
        <v>-0.0139126064021163</v>
      </c>
      <c r="L1310" s="4">
        <f t="shared" si="61"/>
        <v>-0.0060169954960783</v>
      </c>
      <c r="M1310" s="18">
        <f t="shared" si="62"/>
        <v>-0.64383</v>
      </c>
    </row>
    <row r="1311" spans="1:13">
      <c r="A1311" t="s">
        <v>13</v>
      </c>
      <c r="B1311" t="s">
        <v>2631</v>
      </c>
      <c r="C1311" t="s">
        <v>2632</v>
      </c>
      <c r="D1311">
        <v>15868.9</v>
      </c>
      <c r="E1311">
        <v>15868.9</v>
      </c>
      <c r="F1311">
        <v>1.177</v>
      </c>
      <c r="G1311">
        <v>0</v>
      </c>
      <c r="H1311">
        <v>1.86777</v>
      </c>
      <c r="I1311">
        <v>1.893912</v>
      </c>
      <c r="J1311">
        <v>-0.026142</v>
      </c>
      <c r="K1311" s="4">
        <f t="shared" si="60"/>
        <v>-0.0138031756491326</v>
      </c>
      <c r="L1311" s="4">
        <f t="shared" si="61"/>
        <v>0</v>
      </c>
      <c r="M1311" s="18">
        <f t="shared" si="62"/>
        <v>0</v>
      </c>
    </row>
    <row r="1312" spans="1:13">
      <c r="A1312" t="s">
        <v>13</v>
      </c>
      <c r="B1312" t="s">
        <v>2633</v>
      </c>
      <c r="C1312" t="s">
        <v>2634</v>
      </c>
      <c r="D1312">
        <v>308326.63</v>
      </c>
      <c r="E1312">
        <v>308426.63</v>
      </c>
      <c r="F1312">
        <v>0.553</v>
      </c>
      <c r="G1312">
        <v>-100</v>
      </c>
      <c r="H1312">
        <v>17.055993</v>
      </c>
      <c r="I1312">
        <v>17.327957</v>
      </c>
      <c r="J1312">
        <v>-0.271964</v>
      </c>
      <c r="K1312" s="4">
        <f t="shared" si="60"/>
        <v>-0.0156950989663698</v>
      </c>
      <c r="L1312" s="4">
        <f t="shared" si="61"/>
        <v>-0.00032422621872826</v>
      </c>
      <c r="M1312" s="18">
        <f t="shared" si="62"/>
        <v>-0.00553</v>
      </c>
    </row>
    <row r="1313" spans="1:13">
      <c r="A1313" t="s">
        <v>13</v>
      </c>
      <c r="B1313" t="s">
        <v>2635</v>
      </c>
      <c r="C1313" t="s">
        <v>2636</v>
      </c>
      <c r="D1313">
        <v>12912.2</v>
      </c>
      <c r="E1313">
        <v>12762.2</v>
      </c>
      <c r="F1313">
        <v>0.935</v>
      </c>
      <c r="G1313">
        <v>150</v>
      </c>
      <c r="H1313">
        <v>1.193266</v>
      </c>
      <c r="I1313">
        <v>1.173598</v>
      </c>
      <c r="J1313">
        <v>0.019668</v>
      </c>
      <c r="K1313" s="4">
        <f t="shared" si="60"/>
        <v>0.0167587197660528</v>
      </c>
      <c r="L1313" s="4">
        <f t="shared" si="61"/>
        <v>0.0117534594348937</v>
      </c>
      <c r="M1313" s="18">
        <f t="shared" si="62"/>
        <v>0.014025</v>
      </c>
    </row>
    <row r="1314" spans="1:13">
      <c r="A1314" t="s">
        <v>13</v>
      </c>
      <c r="B1314" t="s">
        <v>2637</v>
      </c>
      <c r="C1314" t="s">
        <v>2638</v>
      </c>
      <c r="D1314">
        <v>7227.2</v>
      </c>
      <c r="E1314">
        <v>7227.2</v>
      </c>
      <c r="F1314">
        <v>0.877</v>
      </c>
      <c r="G1314">
        <v>0</v>
      </c>
      <c r="H1314">
        <v>0.633825</v>
      </c>
      <c r="I1314">
        <v>0.635994</v>
      </c>
      <c r="J1314">
        <v>-0.002169</v>
      </c>
      <c r="K1314" s="4">
        <f t="shared" si="60"/>
        <v>-0.0034104095321654</v>
      </c>
      <c r="L1314" s="4">
        <f t="shared" si="61"/>
        <v>0</v>
      </c>
      <c r="M1314" s="18">
        <f t="shared" si="62"/>
        <v>0</v>
      </c>
    </row>
    <row r="1315" spans="1:13">
      <c r="A1315" t="s">
        <v>13</v>
      </c>
      <c r="B1315" t="s">
        <v>2639</v>
      </c>
      <c r="C1315" t="s">
        <v>2640</v>
      </c>
      <c r="D1315">
        <v>1233.78</v>
      </c>
      <c r="E1315">
        <v>1233.78</v>
      </c>
      <c r="F1315">
        <v>1.215</v>
      </c>
      <c r="G1315">
        <v>0</v>
      </c>
      <c r="H1315">
        <v>0.149904</v>
      </c>
      <c r="I1315">
        <v>0.149164</v>
      </c>
      <c r="J1315">
        <v>0.00074</v>
      </c>
      <c r="K1315" s="4">
        <f t="shared" si="60"/>
        <v>0.00496098254270467</v>
      </c>
      <c r="L1315" s="4">
        <f t="shared" si="61"/>
        <v>0</v>
      </c>
      <c r="M1315" s="18">
        <f t="shared" si="62"/>
        <v>0</v>
      </c>
    </row>
    <row r="1316" spans="1:13">
      <c r="A1316" t="s">
        <v>13</v>
      </c>
      <c r="B1316" t="s">
        <v>2641</v>
      </c>
      <c r="C1316" t="s">
        <v>2642</v>
      </c>
      <c r="D1316">
        <v>9488.08</v>
      </c>
      <c r="E1316">
        <v>9588.08</v>
      </c>
      <c r="F1316">
        <v>0.956</v>
      </c>
      <c r="G1316">
        <v>-100</v>
      </c>
      <c r="H1316">
        <v>0.91662</v>
      </c>
      <c r="I1316">
        <v>0.956213</v>
      </c>
      <c r="J1316">
        <v>-0.039593</v>
      </c>
      <c r="K1316" s="4">
        <f t="shared" si="60"/>
        <v>-0.0414060465607558</v>
      </c>
      <c r="L1316" s="4">
        <f t="shared" si="61"/>
        <v>-0.0104296167741612</v>
      </c>
      <c r="M1316" s="18">
        <f t="shared" si="62"/>
        <v>-0.00956</v>
      </c>
    </row>
    <row r="1317" spans="1:13">
      <c r="A1317" t="s">
        <v>13</v>
      </c>
      <c r="B1317" t="s">
        <v>2643</v>
      </c>
      <c r="C1317" t="s">
        <v>2644</v>
      </c>
      <c r="D1317">
        <v>13316.73</v>
      </c>
      <c r="E1317">
        <v>12816.73</v>
      </c>
      <c r="G1317">
        <v>500</v>
      </c>
      <c r="H1317">
        <v>0.798482</v>
      </c>
      <c r="I1317">
        <v>0.875556</v>
      </c>
      <c r="J1317">
        <v>-0.077074</v>
      </c>
      <c r="K1317" s="4">
        <f t="shared" si="60"/>
        <v>-0.0880286355184591</v>
      </c>
      <c r="L1317" s="4">
        <f t="shared" si="61"/>
        <v>0.0390115107363579</v>
      </c>
      <c r="M1317" s="18">
        <f t="shared" si="62"/>
        <v>0</v>
      </c>
    </row>
    <row r="1318" spans="1:13">
      <c r="A1318" t="s">
        <v>13</v>
      </c>
      <c r="B1318" t="s">
        <v>2645</v>
      </c>
      <c r="C1318" t="s">
        <v>2646</v>
      </c>
      <c r="D1318">
        <v>29221.51</v>
      </c>
      <c r="E1318">
        <v>29121.51</v>
      </c>
      <c r="F1318">
        <v>0.528</v>
      </c>
      <c r="G1318">
        <v>100</v>
      </c>
      <c r="H1318">
        <v>1.537616</v>
      </c>
      <c r="I1318">
        <v>1.558455</v>
      </c>
      <c r="J1318">
        <v>-0.020839</v>
      </c>
      <c r="K1318" s="4">
        <f t="shared" si="60"/>
        <v>-0.0133715763368208</v>
      </c>
      <c r="L1318" s="4">
        <f t="shared" si="61"/>
        <v>0.00343388787188576</v>
      </c>
      <c r="M1318" s="18">
        <f t="shared" si="62"/>
        <v>0.00528</v>
      </c>
    </row>
    <row r="1319" spans="1:13">
      <c r="A1319" t="s">
        <v>13</v>
      </c>
      <c r="B1319" t="s">
        <v>2647</v>
      </c>
      <c r="C1319" t="s">
        <v>2648</v>
      </c>
      <c r="D1319">
        <v>31404.8</v>
      </c>
      <c r="E1319">
        <v>31504.8</v>
      </c>
      <c r="F1319">
        <v>1.095</v>
      </c>
      <c r="G1319">
        <v>-100</v>
      </c>
      <c r="H1319">
        <v>3.449776</v>
      </c>
      <c r="I1319">
        <v>3.398126</v>
      </c>
      <c r="J1319">
        <v>0.05165</v>
      </c>
      <c r="K1319" s="4">
        <f t="shared" si="60"/>
        <v>0.0151995541071755</v>
      </c>
      <c r="L1319" s="4">
        <f t="shared" si="61"/>
        <v>-0.00317411949925091</v>
      </c>
      <c r="M1319" s="18">
        <f t="shared" si="62"/>
        <v>-0.01095</v>
      </c>
    </row>
    <row r="1320" spans="1:13">
      <c r="A1320" t="s">
        <v>13</v>
      </c>
      <c r="B1320" t="s">
        <v>2649</v>
      </c>
      <c r="C1320" t="s">
        <v>2650</v>
      </c>
      <c r="D1320">
        <v>243659.97</v>
      </c>
      <c r="E1320">
        <v>244909.97</v>
      </c>
      <c r="F1320">
        <v>1.04</v>
      </c>
      <c r="G1320">
        <v>-1250</v>
      </c>
      <c r="H1320">
        <v>25.470637</v>
      </c>
      <c r="I1320">
        <v>25.030283</v>
      </c>
      <c r="J1320">
        <v>0.440354</v>
      </c>
      <c r="K1320" s="4">
        <f t="shared" si="60"/>
        <v>0.0175928494296289</v>
      </c>
      <c r="L1320" s="4">
        <f t="shared" si="61"/>
        <v>-0.00510391634934258</v>
      </c>
      <c r="M1320" s="18">
        <f t="shared" si="62"/>
        <v>-0.13</v>
      </c>
    </row>
    <row r="1321" spans="1:13">
      <c r="A1321" t="s">
        <v>13</v>
      </c>
      <c r="B1321" t="s">
        <v>2651</v>
      </c>
      <c r="C1321" t="s">
        <v>2652</v>
      </c>
      <c r="D1321">
        <v>17618.22</v>
      </c>
      <c r="E1321">
        <v>17618.22</v>
      </c>
      <c r="F1321">
        <v>0.501</v>
      </c>
      <c r="G1321">
        <v>0</v>
      </c>
      <c r="H1321">
        <v>0.882673</v>
      </c>
      <c r="I1321">
        <v>0.884435</v>
      </c>
      <c r="J1321">
        <v>-0.001762</v>
      </c>
      <c r="K1321" s="4">
        <f t="shared" si="60"/>
        <v>-0.00199223232911407</v>
      </c>
      <c r="L1321" s="4">
        <f t="shared" si="61"/>
        <v>0</v>
      </c>
      <c r="M1321" s="18">
        <f t="shared" si="62"/>
        <v>0</v>
      </c>
    </row>
    <row r="1322" spans="1:13">
      <c r="A1322" t="s">
        <v>13</v>
      </c>
      <c r="B1322" t="s">
        <v>2653</v>
      </c>
      <c r="C1322" t="s">
        <v>2654</v>
      </c>
      <c r="D1322">
        <v>19830.8</v>
      </c>
      <c r="E1322">
        <v>19830.8</v>
      </c>
      <c r="F1322">
        <v>1.147</v>
      </c>
      <c r="G1322">
        <v>0</v>
      </c>
      <c r="H1322">
        <v>2.274593</v>
      </c>
      <c r="I1322">
        <v>2.243596</v>
      </c>
      <c r="J1322">
        <v>0.030997</v>
      </c>
      <c r="K1322" s="4">
        <f t="shared" si="60"/>
        <v>0.0138157671880321</v>
      </c>
      <c r="L1322" s="4">
        <f t="shared" si="61"/>
        <v>0</v>
      </c>
      <c r="M1322" s="18">
        <f t="shared" si="62"/>
        <v>0</v>
      </c>
    </row>
    <row r="1323" spans="1:13">
      <c r="A1323" t="s">
        <v>13</v>
      </c>
      <c r="B1323" t="s">
        <v>2655</v>
      </c>
      <c r="C1323" t="s">
        <v>2656</v>
      </c>
      <c r="D1323">
        <v>52847.89</v>
      </c>
      <c r="E1323">
        <v>52447.89</v>
      </c>
      <c r="F1323">
        <v>0.694</v>
      </c>
      <c r="G1323">
        <v>400</v>
      </c>
      <c r="H1323">
        <v>3.639884</v>
      </c>
      <c r="I1323">
        <v>3.692332</v>
      </c>
      <c r="J1323">
        <v>-0.052448</v>
      </c>
      <c r="K1323" s="4">
        <f t="shared" si="60"/>
        <v>-0.0142045731532267</v>
      </c>
      <c r="L1323" s="4">
        <f t="shared" si="61"/>
        <v>0.00762661758175591</v>
      </c>
      <c r="M1323" s="18">
        <f t="shared" si="62"/>
        <v>0.02776</v>
      </c>
    </row>
    <row r="1324" spans="1:13">
      <c r="A1324" t="s">
        <v>13</v>
      </c>
      <c r="B1324" t="s">
        <v>2657</v>
      </c>
      <c r="C1324" t="s">
        <v>2658</v>
      </c>
      <c r="D1324">
        <v>574841.52</v>
      </c>
      <c r="E1324">
        <v>567641.52</v>
      </c>
      <c r="F1324">
        <v>0.308</v>
      </c>
      <c r="G1324">
        <v>7200</v>
      </c>
      <c r="H1324">
        <v>17.483359</v>
      </c>
      <c r="I1324">
        <v>17.250222</v>
      </c>
      <c r="J1324">
        <v>0.233137</v>
      </c>
      <c r="K1324" s="4">
        <f t="shared" si="60"/>
        <v>0.0135150144734369</v>
      </c>
      <c r="L1324" s="4">
        <f t="shared" si="61"/>
        <v>0.0126840615887295</v>
      </c>
      <c r="M1324" s="18">
        <f t="shared" si="62"/>
        <v>0.22176</v>
      </c>
    </row>
    <row r="1325" spans="1:13">
      <c r="A1325" t="s">
        <v>13</v>
      </c>
      <c r="B1325" t="s">
        <v>2659</v>
      </c>
      <c r="C1325" t="s">
        <v>2660</v>
      </c>
      <c r="D1325">
        <v>8717.69</v>
      </c>
      <c r="E1325">
        <v>8717.69</v>
      </c>
      <c r="F1325">
        <v>1.104</v>
      </c>
      <c r="G1325">
        <v>0</v>
      </c>
      <c r="H1325">
        <v>0.962433</v>
      </c>
      <c r="I1325">
        <v>0.959818</v>
      </c>
      <c r="J1325">
        <v>0.002615</v>
      </c>
      <c r="K1325" s="4">
        <f t="shared" si="60"/>
        <v>0.00272447484835667</v>
      </c>
      <c r="L1325" s="4">
        <f t="shared" si="61"/>
        <v>0</v>
      </c>
      <c r="M1325" s="18">
        <f t="shared" si="62"/>
        <v>0</v>
      </c>
    </row>
    <row r="1326" spans="1:13">
      <c r="A1326" t="s">
        <v>13</v>
      </c>
      <c r="B1326" t="s">
        <v>2661</v>
      </c>
      <c r="C1326" t="s">
        <v>2662</v>
      </c>
      <c r="D1326">
        <v>13527.7</v>
      </c>
      <c r="E1326">
        <v>13727.7</v>
      </c>
      <c r="F1326">
        <v>0.813</v>
      </c>
      <c r="G1326">
        <v>-200</v>
      </c>
      <c r="H1326">
        <v>1.116062</v>
      </c>
      <c r="I1326">
        <v>1.139286</v>
      </c>
      <c r="J1326">
        <v>-0.023224</v>
      </c>
      <c r="K1326" s="4">
        <f t="shared" si="60"/>
        <v>-0.0203846970822076</v>
      </c>
      <c r="L1326" s="4">
        <f t="shared" si="61"/>
        <v>-0.0145690829490738</v>
      </c>
      <c r="M1326" s="18">
        <f t="shared" si="62"/>
        <v>-0.01626</v>
      </c>
    </row>
    <row r="1327" spans="1:13">
      <c r="A1327" t="s">
        <v>13</v>
      </c>
      <c r="B1327" t="s">
        <v>2663</v>
      </c>
      <c r="C1327" t="s">
        <v>2664</v>
      </c>
      <c r="D1327">
        <v>14523.7</v>
      </c>
      <c r="E1327">
        <v>14223.7</v>
      </c>
      <c r="F1327">
        <v>1.105</v>
      </c>
      <c r="G1327">
        <v>300</v>
      </c>
      <c r="H1327">
        <v>1.571719</v>
      </c>
      <c r="I1327">
        <v>1.597093</v>
      </c>
      <c r="J1327">
        <v>-0.025374</v>
      </c>
      <c r="K1327" s="4">
        <f t="shared" si="60"/>
        <v>-0.0158876158119784</v>
      </c>
      <c r="L1327" s="4">
        <f t="shared" si="61"/>
        <v>0.0210915584552543</v>
      </c>
      <c r="M1327" s="18">
        <f t="shared" si="62"/>
        <v>0.03315</v>
      </c>
    </row>
    <row r="1328" spans="1:13">
      <c r="A1328" t="s">
        <v>13</v>
      </c>
      <c r="B1328" t="s">
        <v>2665</v>
      </c>
      <c r="C1328" t="s">
        <v>2666</v>
      </c>
      <c r="D1328">
        <v>114552.2</v>
      </c>
      <c r="E1328">
        <v>115152.2</v>
      </c>
      <c r="F1328">
        <v>1.096</v>
      </c>
      <c r="G1328">
        <v>-600</v>
      </c>
      <c r="H1328">
        <v>12.620681</v>
      </c>
      <c r="I1328">
        <v>12.859594</v>
      </c>
      <c r="J1328">
        <v>-0.238913</v>
      </c>
      <c r="K1328" s="4">
        <f t="shared" si="60"/>
        <v>-0.0185785803190987</v>
      </c>
      <c r="L1328" s="4">
        <f t="shared" si="61"/>
        <v>-0.00521049532705411</v>
      </c>
      <c r="M1328" s="18">
        <f t="shared" si="62"/>
        <v>-0.06576</v>
      </c>
    </row>
    <row r="1329" spans="1:13">
      <c r="A1329" t="s">
        <v>13</v>
      </c>
      <c r="B1329" t="s">
        <v>2667</v>
      </c>
      <c r="C1329" t="s">
        <v>2668</v>
      </c>
      <c r="D1329">
        <v>104194.41</v>
      </c>
      <c r="E1329">
        <v>104794.41</v>
      </c>
      <c r="F1329">
        <v>0.861</v>
      </c>
      <c r="G1329">
        <v>-600</v>
      </c>
      <c r="H1329">
        <v>9.022798</v>
      </c>
      <c r="I1329">
        <v>9.145013</v>
      </c>
      <c r="J1329">
        <v>-0.122215</v>
      </c>
      <c r="K1329" s="4">
        <f t="shared" si="60"/>
        <v>-0.0133641144085853</v>
      </c>
      <c r="L1329" s="4">
        <f t="shared" si="61"/>
        <v>-0.00572549623591564</v>
      </c>
      <c r="M1329" s="18">
        <f t="shared" si="62"/>
        <v>-0.05166</v>
      </c>
    </row>
    <row r="1330" spans="1:13">
      <c r="A1330" t="s">
        <v>13</v>
      </c>
      <c r="B1330" t="s">
        <v>2669</v>
      </c>
      <c r="C1330" t="s">
        <v>2670</v>
      </c>
      <c r="D1330">
        <v>3331.14</v>
      </c>
      <c r="E1330">
        <v>3431.14</v>
      </c>
      <c r="F1330">
        <v>0.908</v>
      </c>
      <c r="G1330">
        <v>-100</v>
      </c>
      <c r="H1330">
        <v>0.311548</v>
      </c>
      <c r="I1330">
        <v>0.313263</v>
      </c>
      <c r="J1330">
        <v>-0.001715</v>
      </c>
      <c r="K1330" s="4">
        <f t="shared" si="60"/>
        <v>-0.00547463313573579</v>
      </c>
      <c r="L1330" s="4">
        <f t="shared" si="61"/>
        <v>-0.0291448323297796</v>
      </c>
      <c r="M1330" s="18">
        <f t="shared" si="62"/>
        <v>-0.00908</v>
      </c>
    </row>
    <row r="1331" spans="1:13">
      <c r="A1331" t="s">
        <v>13</v>
      </c>
      <c r="B1331" t="s">
        <v>2671</v>
      </c>
      <c r="C1331" t="s">
        <v>2672</v>
      </c>
      <c r="D1331">
        <v>36722.9</v>
      </c>
      <c r="E1331">
        <v>36572.9</v>
      </c>
      <c r="F1331">
        <v>0.473</v>
      </c>
      <c r="G1331">
        <v>150</v>
      </c>
      <c r="H1331">
        <v>1.729898</v>
      </c>
      <c r="I1331">
        <v>1.762814</v>
      </c>
      <c r="J1331">
        <v>-0.032916</v>
      </c>
      <c r="K1331" s="4">
        <f t="shared" si="60"/>
        <v>-0.0186724180770064</v>
      </c>
      <c r="L1331" s="4">
        <f t="shared" si="61"/>
        <v>0.00410139748283565</v>
      </c>
      <c r="M1331" s="18">
        <f t="shared" si="62"/>
        <v>0.007095</v>
      </c>
    </row>
    <row r="1332" spans="1:13">
      <c r="A1332" t="s">
        <v>13</v>
      </c>
      <c r="B1332" t="s">
        <v>2673</v>
      </c>
      <c r="C1332" t="s">
        <v>2674</v>
      </c>
      <c r="D1332">
        <v>7164.18</v>
      </c>
      <c r="E1332">
        <v>7864.18</v>
      </c>
      <c r="F1332">
        <v>1.112</v>
      </c>
      <c r="G1332">
        <v>-700</v>
      </c>
      <c r="H1332">
        <v>0.874497</v>
      </c>
      <c r="I1332">
        <v>0.910446</v>
      </c>
      <c r="J1332">
        <v>-0.035949</v>
      </c>
      <c r="K1332" s="4">
        <f t="shared" si="60"/>
        <v>-0.0394850435940188</v>
      </c>
      <c r="L1332" s="4">
        <f t="shared" si="61"/>
        <v>-0.0890111874346721</v>
      </c>
      <c r="M1332" s="18">
        <f t="shared" si="62"/>
        <v>-0.07784</v>
      </c>
    </row>
    <row r="1333" spans="1:13">
      <c r="A1333" t="s">
        <v>13</v>
      </c>
      <c r="B1333" t="s">
        <v>2675</v>
      </c>
      <c r="C1333" t="s">
        <v>2676</v>
      </c>
      <c r="D1333">
        <v>40946.3</v>
      </c>
      <c r="E1333">
        <v>41696.3</v>
      </c>
      <c r="F1333">
        <v>1.685</v>
      </c>
      <c r="G1333">
        <v>-750</v>
      </c>
      <c r="H1333">
        <v>7.025827</v>
      </c>
      <c r="I1333">
        <v>6.940122</v>
      </c>
      <c r="J1333">
        <v>0.085705</v>
      </c>
      <c r="K1333" s="4">
        <f t="shared" si="60"/>
        <v>0.0123492065413259</v>
      </c>
      <c r="L1333" s="4">
        <f t="shared" si="61"/>
        <v>-0.0179872074980274</v>
      </c>
      <c r="M1333" s="18">
        <f t="shared" si="62"/>
        <v>-0.126375</v>
      </c>
    </row>
    <row r="1334" spans="1:13">
      <c r="A1334" t="s">
        <v>13</v>
      </c>
      <c r="B1334" t="s">
        <v>2677</v>
      </c>
      <c r="C1334" t="s">
        <v>2678</v>
      </c>
      <c r="D1334">
        <v>11363.96</v>
      </c>
      <c r="E1334">
        <v>11513.96</v>
      </c>
      <c r="F1334">
        <v>0.432</v>
      </c>
      <c r="G1334">
        <v>-150</v>
      </c>
      <c r="H1334">
        <v>0.497403</v>
      </c>
      <c r="I1334">
        <v>0.485889</v>
      </c>
      <c r="J1334">
        <v>0.011514</v>
      </c>
      <c r="K1334" s="4">
        <f t="shared" si="60"/>
        <v>0.0236967702499954</v>
      </c>
      <c r="L1334" s="4">
        <f t="shared" si="61"/>
        <v>-0.0130276638098447</v>
      </c>
      <c r="M1334" s="18">
        <f t="shared" si="62"/>
        <v>-0.00648</v>
      </c>
    </row>
    <row r="1335" spans="1:13">
      <c r="A1335" t="s">
        <v>13</v>
      </c>
      <c r="B1335" t="s">
        <v>2679</v>
      </c>
      <c r="C1335" t="s">
        <v>2680</v>
      </c>
      <c r="D1335">
        <v>13282.1</v>
      </c>
      <c r="E1335">
        <v>13582.1</v>
      </c>
      <c r="F1335">
        <v>1.063</v>
      </c>
      <c r="G1335">
        <v>-300</v>
      </c>
      <c r="H1335">
        <v>1.443777</v>
      </c>
      <c r="I1335">
        <v>1.507596</v>
      </c>
      <c r="J1335">
        <v>-0.063819</v>
      </c>
      <c r="K1335" s="4">
        <f t="shared" si="60"/>
        <v>-0.0423316326124505</v>
      </c>
      <c r="L1335" s="4">
        <f t="shared" si="61"/>
        <v>-0.0220878950972236</v>
      </c>
      <c r="M1335" s="18">
        <f t="shared" si="62"/>
        <v>-0.03189</v>
      </c>
    </row>
    <row r="1336" spans="1:13">
      <c r="A1336" t="s">
        <v>13</v>
      </c>
      <c r="B1336" t="s">
        <v>2681</v>
      </c>
      <c r="C1336" t="s">
        <v>2682</v>
      </c>
      <c r="D1336">
        <v>1305.11</v>
      </c>
      <c r="E1336">
        <v>1305.11</v>
      </c>
      <c r="F1336">
        <v>1.001</v>
      </c>
      <c r="G1336">
        <v>0</v>
      </c>
      <c r="H1336">
        <v>0.130642</v>
      </c>
      <c r="I1336">
        <v>0.131294</v>
      </c>
      <c r="J1336">
        <v>-0.000652</v>
      </c>
      <c r="K1336" s="4">
        <f t="shared" si="60"/>
        <v>-0.00496595427056834</v>
      </c>
      <c r="L1336" s="4">
        <f t="shared" si="61"/>
        <v>0</v>
      </c>
      <c r="M1336" s="18">
        <f t="shared" si="62"/>
        <v>0</v>
      </c>
    </row>
    <row r="1337" spans="1:13">
      <c r="A1337" t="s">
        <v>13</v>
      </c>
      <c r="B1337" t="s">
        <v>2683</v>
      </c>
      <c r="C1337" t="s">
        <v>2684</v>
      </c>
      <c r="D1337">
        <v>116854.25</v>
      </c>
      <c r="E1337">
        <v>117254.25</v>
      </c>
      <c r="F1337">
        <v>1.158</v>
      </c>
      <c r="G1337">
        <v>-400</v>
      </c>
      <c r="H1337">
        <v>13.578042</v>
      </c>
      <c r="I1337">
        <v>13.865541</v>
      </c>
      <c r="J1337">
        <v>-0.287499</v>
      </c>
      <c r="K1337" s="4">
        <f t="shared" si="60"/>
        <v>-0.0207347841674551</v>
      </c>
      <c r="L1337" s="4">
        <f t="shared" si="61"/>
        <v>-0.0034113902054723</v>
      </c>
      <c r="M1337" s="18">
        <f t="shared" si="62"/>
        <v>-0.04632</v>
      </c>
    </row>
    <row r="1338" spans="1:13">
      <c r="A1338" t="s">
        <v>13</v>
      </c>
      <c r="B1338" t="s">
        <v>2685</v>
      </c>
      <c r="C1338" t="s">
        <v>2686</v>
      </c>
      <c r="D1338">
        <v>4951.6</v>
      </c>
      <c r="E1338">
        <v>5251.6</v>
      </c>
      <c r="F1338">
        <v>1.018</v>
      </c>
      <c r="G1338">
        <v>-300</v>
      </c>
      <c r="H1338">
        <v>0.534613</v>
      </c>
      <c r="I1338">
        <v>0.558258</v>
      </c>
      <c r="J1338">
        <v>-0.023645</v>
      </c>
      <c r="K1338" s="4">
        <f t="shared" si="60"/>
        <v>-0.0423549684912711</v>
      </c>
      <c r="L1338" s="4">
        <f t="shared" si="61"/>
        <v>-0.0571254474826719</v>
      </c>
      <c r="M1338" s="18">
        <f t="shared" si="62"/>
        <v>-0.03054</v>
      </c>
    </row>
    <row r="1339" spans="1:13">
      <c r="A1339" t="s">
        <v>13</v>
      </c>
      <c r="B1339" t="s">
        <v>2687</v>
      </c>
      <c r="C1339" t="s">
        <v>2688</v>
      </c>
      <c r="D1339">
        <v>13779.3</v>
      </c>
      <c r="E1339">
        <v>13779.3</v>
      </c>
      <c r="F1339">
        <v>1.013</v>
      </c>
      <c r="G1339">
        <v>0</v>
      </c>
      <c r="H1339">
        <v>1.395843</v>
      </c>
      <c r="I1339">
        <v>1.457917</v>
      </c>
      <c r="J1339">
        <v>-0.062074</v>
      </c>
      <c r="K1339" s="4">
        <f t="shared" si="60"/>
        <v>-0.0425771837491435</v>
      </c>
      <c r="L1339" s="4">
        <f t="shared" si="61"/>
        <v>0</v>
      </c>
      <c r="M1339" s="18">
        <f t="shared" si="62"/>
        <v>0</v>
      </c>
    </row>
    <row r="1340" spans="1:13">
      <c r="A1340" t="s">
        <v>13</v>
      </c>
      <c r="B1340" t="s">
        <v>2689</v>
      </c>
      <c r="C1340" t="s">
        <v>2690</v>
      </c>
      <c r="D1340">
        <v>8714.42</v>
      </c>
      <c r="E1340">
        <v>8714.42</v>
      </c>
      <c r="F1340">
        <v>1.127</v>
      </c>
      <c r="G1340">
        <v>0</v>
      </c>
      <c r="H1340">
        <v>0.982115</v>
      </c>
      <c r="I1340">
        <v>0.986472</v>
      </c>
      <c r="J1340">
        <v>-0.004357</v>
      </c>
      <c r="K1340" s="4">
        <f t="shared" si="60"/>
        <v>-0.00441674979117502</v>
      </c>
      <c r="L1340" s="4">
        <f t="shared" si="61"/>
        <v>0</v>
      </c>
      <c r="M1340" s="18">
        <f t="shared" si="62"/>
        <v>0</v>
      </c>
    </row>
    <row r="1341" spans="1:13">
      <c r="A1341" t="s">
        <v>13</v>
      </c>
      <c r="B1341" t="s">
        <v>2691</v>
      </c>
      <c r="C1341" t="s">
        <v>2692</v>
      </c>
      <c r="D1341">
        <v>8704.03</v>
      </c>
      <c r="E1341">
        <v>8704.03</v>
      </c>
      <c r="F1341">
        <v>1.158</v>
      </c>
      <c r="G1341">
        <v>0</v>
      </c>
      <c r="H1341">
        <v>1.007927</v>
      </c>
      <c r="I1341">
        <v>1.012279</v>
      </c>
      <c r="J1341">
        <v>-0.004352</v>
      </c>
      <c r="K1341" s="4">
        <f t="shared" si="60"/>
        <v>-0.00429921000040503</v>
      </c>
      <c r="L1341" s="4">
        <f t="shared" si="61"/>
        <v>0</v>
      </c>
      <c r="M1341" s="18">
        <f t="shared" si="62"/>
        <v>0</v>
      </c>
    </row>
    <row r="1342" spans="1:13">
      <c r="A1342" t="s">
        <v>13</v>
      </c>
      <c r="B1342" t="s">
        <v>2693</v>
      </c>
      <c r="C1342" t="s">
        <v>2694</v>
      </c>
      <c r="D1342">
        <v>34960.5</v>
      </c>
      <c r="E1342">
        <v>34960.5</v>
      </c>
      <c r="F1342">
        <v>0.636</v>
      </c>
      <c r="G1342">
        <v>0</v>
      </c>
      <c r="H1342">
        <v>2.223488</v>
      </c>
      <c r="I1342">
        <v>2.251456</v>
      </c>
      <c r="J1342">
        <v>-0.027968</v>
      </c>
      <c r="K1342" s="4">
        <f t="shared" si="60"/>
        <v>-0.0124221836891327</v>
      </c>
      <c r="L1342" s="4">
        <f t="shared" si="61"/>
        <v>0</v>
      </c>
      <c r="M1342" s="18">
        <f t="shared" si="62"/>
        <v>0</v>
      </c>
    </row>
    <row r="1343" spans="1:13">
      <c r="A1343" t="s">
        <v>13</v>
      </c>
      <c r="B1343" t="s">
        <v>2695</v>
      </c>
      <c r="C1343" t="s">
        <v>2696</v>
      </c>
      <c r="D1343">
        <v>18916.6</v>
      </c>
      <c r="E1343">
        <v>19316.6</v>
      </c>
      <c r="F1343">
        <v>1.007</v>
      </c>
      <c r="G1343">
        <v>-400</v>
      </c>
      <c r="H1343">
        <v>1.945182</v>
      </c>
      <c r="I1343">
        <v>1.950977</v>
      </c>
      <c r="J1343">
        <v>-0.005795</v>
      </c>
      <c r="K1343" s="4">
        <f t="shared" si="60"/>
        <v>-0.0029703066719905</v>
      </c>
      <c r="L1343" s="4">
        <f t="shared" si="61"/>
        <v>-0.0207075779381465</v>
      </c>
      <c r="M1343" s="18">
        <f t="shared" si="62"/>
        <v>-0.04028</v>
      </c>
    </row>
    <row r="1344" spans="1:13">
      <c r="A1344" t="s">
        <v>13</v>
      </c>
      <c r="B1344" t="s">
        <v>2697</v>
      </c>
      <c r="C1344" t="s">
        <v>2698</v>
      </c>
      <c r="D1344">
        <v>6207.5</v>
      </c>
      <c r="E1344">
        <v>6207.5</v>
      </c>
      <c r="F1344">
        <v>1.484</v>
      </c>
      <c r="G1344">
        <v>0</v>
      </c>
      <c r="H1344">
        <v>0.921193</v>
      </c>
      <c r="I1344">
        <v>0.956217</v>
      </c>
      <c r="J1344">
        <v>-0.035024</v>
      </c>
      <c r="K1344" s="4">
        <f t="shared" si="60"/>
        <v>-0.0366276692424418</v>
      </c>
      <c r="L1344" s="4">
        <f t="shared" si="61"/>
        <v>0</v>
      </c>
      <c r="M1344" s="18">
        <f t="shared" si="62"/>
        <v>0</v>
      </c>
    </row>
    <row r="1345" spans="1:13">
      <c r="A1345" t="s">
        <v>13</v>
      </c>
      <c r="B1345" t="s">
        <v>2699</v>
      </c>
      <c r="C1345" t="s">
        <v>2700</v>
      </c>
      <c r="D1345">
        <v>16160.21</v>
      </c>
      <c r="E1345">
        <v>16160.21</v>
      </c>
      <c r="F1345">
        <v>1.027</v>
      </c>
      <c r="G1345">
        <v>0</v>
      </c>
      <c r="H1345">
        <v>1.659654</v>
      </c>
      <c r="I1345">
        <v>1.666118</v>
      </c>
      <c r="J1345">
        <v>-0.006464</v>
      </c>
      <c r="K1345" s="4">
        <f t="shared" si="60"/>
        <v>-0.00387967718973086</v>
      </c>
      <c r="L1345" s="4">
        <f t="shared" si="61"/>
        <v>0</v>
      </c>
      <c r="M1345" s="18">
        <f t="shared" si="62"/>
        <v>0</v>
      </c>
    </row>
    <row r="1346" spans="1:13">
      <c r="A1346" t="s">
        <v>13</v>
      </c>
      <c r="B1346" t="s">
        <v>2701</v>
      </c>
      <c r="C1346" t="s">
        <v>2702</v>
      </c>
      <c r="D1346">
        <v>83109.85</v>
      </c>
      <c r="E1346">
        <v>83709.85</v>
      </c>
      <c r="G1346">
        <v>-600</v>
      </c>
      <c r="H1346">
        <v>5.231866</v>
      </c>
      <c r="I1346">
        <v>5.10402</v>
      </c>
      <c r="J1346">
        <v>0.127846</v>
      </c>
      <c r="K1346" s="4">
        <f t="shared" ref="K1346:K1409" si="63">IFERROR(J1346/I1346,"")</f>
        <v>0.0250480993413035</v>
      </c>
      <c r="L1346" s="4">
        <f t="shared" ref="L1346:L1409" si="64">IFERROR((D1346-E1346)/E1346,"")</f>
        <v>-0.00716761528063902</v>
      </c>
      <c r="M1346" s="18">
        <f t="shared" ref="M1346:M1409" si="65">IFERROR(F1346*G1346/10000,"")</f>
        <v>0</v>
      </c>
    </row>
    <row r="1347" spans="1:13">
      <c r="A1347" t="s">
        <v>13</v>
      </c>
      <c r="B1347" t="s">
        <v>2703</v>
      </c>
      <c r="C1347" t="s">
        <v>2704</v>
      </c>
      <c r="D1347">
        <v>46096.64</v>
      </c>
      <c r="E1347">
        <v>46096.64</v>
      </c>
      <c r="F1347">
        <v>0.597</v>
      </c>
      <c r="G1347">
        <v>0</v>
      </c>
      <c r="H1347">
        <v>2.751969</v>
      </c>
      <c r="I1347">
        <v>2.678215</v>
      </c>
      <c r="J1347">
        <v>0.073754</v>
      </c>
      <c r="K1347" s="4">
        <f t="shared" si="63"/>
        <v>0.0275384911218853</v>
      </c>
      <c r="L1347" s="4">
        <f t="shared" si="64"/>
        <v>0</v>
      </c>
      <c r="M1347" s="18">
        <f t="shared" si="65"/>
        <v>0</v>
      </c>
    </row>
    <row r="1348" spans="1:13">
      <c r="A1348" t="s">
        <v>13</v>
      </c>
      <c r="B1348" t="s">
        <v>2705</v>
      </c>
      <c r="C1348" t="s">
        <v>2706</v>
      </c>
      <c r="D1348">
        <v>26115.4</v>
      </c>
      <c r="E1348">
        <v>26365.4</v>
      </c>
      <c r="F1348">
        <v>0.998</v>
      </c>
      <c r="G1348">
        <v>-250</v>
      </c>
      <c r="H1348">
        <v>2.631267</v>
      </c>
      <c r="I1348">
        <v>2.605648</v>
      </c>
      <c r="J1348">
        <v>0.025619</v>
      </c>
      <c r="K1348" s="4">
        <f t="shared" si="63"/>
        <v>0.00983210318508102</v>
      </c>
      <c r="L1348" s="4">
        <f t="shared" si="64"/>
        <v>-0.00948212429927101</v>
      </c>
      <c r="M1348" s="18">
        <f t="shared" si="65"/>
        <v>-0.02495</v>
      </c>
    </row>
    <row r="1349" spans="1:13">
      <c r="A1349" t="s">
        <v>13</v>
      </c>
      <c r="B1349" t="s">
        <v>2707</v>
      </c>
      <c r="C1349" t="s">
        <v>2708</v>
      </c>
      <c r="D1349">
        <v>181477.75</v>
      </c>
      <c r="E1349">
        <v>181477.75</v>
      </c>
      <c r="G1349">
        <v>0</v>
      </c>
      <c r="H1349">
        <v>18.456287</v>
      </c>
      <c r="I1349">
        <v>18.292957</v>
      </c>
      <c r="J1349">
        <v>0.16333</v>
      </c>
      <c r="K1349" s="4">
        <f t="shared" si="63"/>
        <v>0.0089285728928352</v>
      </c>
      <c r="L1349" s="4">
        <f t="shared" si="64"/>
        <v>0</v>
      </c>
      <c r="M1349" s="18">
        <f t="shared" si="65"/>
        <v>0</v>
      </c>
    </row>
    <row r="1350" spans="1:13">
      <c r="A1350" t="s">
        <v>13</v>
      </c>
      <c r="B1350" t="s">
        <v>2709</v>
      </c>
      <c r="C1350" t="s">
        <v>2710</v>
      </c>
      <c r="D1350">
        <v>1613.18</v>
      </c>
      <c r="E1350">
        <v>1613.18</v>
      </c>
      <c r="F1350">
        <v>1.018</v>
      </c>
      <c r="G1350">
        <v>0</v>
      </c>
      <c r="H1350">
        <v>0.164222</v>
      </c>
      <c r="I1350">
        <v>0.165029</v>
      </c>
      <c r="J1350">
        <v>-0.000807</v>
      </c>
      <c r="K1350" s="4">
        <f t="shared" si="63"/>
        <v>-0.0048900496276412</v>
      </c>
      <c r="L1350" s="4">
        <f t="shared" si="64"/>
        <v>0</v>
      </c>
      <c r="M1350" s="18">
        <f t="shared" si="65"/>
        <v>0</v>
      </c>
    </row>
    <row r="1351" spans="1:13">
      <c r="A1351" t="s">
        <v>13</v>
      </c>
      <c r="B1351" t="s">
        <v>2711</v>
      </c>
      <c r="C1351" t="s">
        <v>2712</v>
      </c>
      <c r="D1351">
        <v>8949.63</v>
      </c>
      <c r="E1351">
        <v>8949.63</v>
      </c>
      <c r="F1351">
        <v>1.409</v>
      </c>
      <c r="G1351">
        <v>0</v>
      </c>
      <c r="H1351">
        <v>1.261002</v>
      </c>
      <c r="I1351">
        <v>1.286061</v>
      </c>
      <c r="J1351">
        <v>-0.025059</v>
      </c>
      <c r="K1351" s="4">
        <f t="shared" si="63"/>
        <v>-0.0194850788570682</v>
      </c>
      <c r="L1351" s="4">
        <f t="shared" si="64"/>
        <v>0</v>
      </c>
      <c r="M1351" s="18">
        <f t="shared" si="65"/>
        <v>0</v>
      </c>
    </row>
    <row r="1352" spans="1:13">
      <c r="A1352" t="s">
        <v>13</v>
      </c>
      <c r="B1352" t="s">
        <v>2713</v>
      </c>
      <c r="C1352" t="s">
        <v>2714</v>
      </c>
      <c r="D1352">
        <v>14278.2</v>
      </c>
      <c r="E1352">
        <v>14278.2</v>
      </c>
      <c r="F1352">
        <v>0.564</v>
      </c>
      <c r="G1352">
        <v>0</v>
      </c>
      <c r="H1352">
        <v>0.80529</v>
      </c>
      <c r="I1352">
        <v>0.815285</v>
      </c>
      <c r="J1352">
        <v>-0.009995</v>
      </c>
      <c r="K1352" s="4">
        <f t="shared" si="63"/>
        <v>-0.0122595166107557</v>
      </c>
      <c r="L1352" s="4">
        <f t="shared" si="64"/>
        <v>0</v>
      </c>
      <c r="M1352" s="18">
        <f t="shared" si="65"/>
        <v>0</v>
      </c>
    </row>
    <row r="1353" spans="1:13">
      <c r="A1353" t="s">
        <v>13</v>
      </c>
      <c r="B1353" t="s">
        <v>2715</v>
      </c>
      <c r="C1353" t="s">
        <v>2716</v>
      </c>
      <c r="D1353">
        <v>154543.45</v>
      </c>
      <c r="E1353">
        <v>154543.45</v>
      </c>
      <c r="F1353">
        <v>0.962</v>
      </c>
      <c r="G1353">
        <v>0</v>
      </c>
      <c r="H1353">
        <v>14.867079</v>
      </c>
      <c r="I1353">
        <v>14.944351</v>
      </c>
      <c r="J1353">
        <v>-0.077272</v>
      </c>
      <c r="K1353" s="4">
        <f t="shared" si="63"/>
        <v>-0.005170649431347</v>
      </c>
      <c r="L1353" s="4">
        <f t="shared" si="64"/>
        <v>0</v>
      </c>
      <c r="M1353" s="18">
        <f t="shared" si="65"/>
        <v>0</v>
      </c>
    </row>
    <row r="1354" spans="1:13">
      <c r="A1354" t="s">
        <v>13</v>
      </c>
      <c r="B1354" t="s">
        <v>2717</v>
      </c>
      <c r="C1354" t="s">
        <v>2718</v>
      </c>
      <c r="D1354">
        <v>180616.9</v>
      </c>
      <c r="E1354">
        <v>180616.9</v>
      </c>
      <c r="F1354">
        <v>1.021</v>
      </c>
      <c r="G1354">
        <v>0</v>
      </c>
      <c r="H1354">
        <v>18.440986</v>
      </c>
      <c r="I1354">
        <v>18.342766</v>
      </c>
      <c r="J1354">
        <v>0.09822</v>
      </c>
      <c r="K1354" s="4">
        <f t="shared" si="63"/>
        <v>0.00535469950388071</v>
      </c>
      <c r="L1354" s="4">
        <f t="shared" si="64"/>
        <v>0</v>
      </c>
      <c r="M1354" s="18">
        <f t="shared" si="65"/>
        <v>0</v>
      </c>
    </row>
    <row r="1355" spans="1:13">
      <c r="A1355" t="s">
        <v>13</v>
      </c>
      <c r="B1355" t="s">
        <v>2719</v>
      </c>
      <c r="C1355" t="s">
        <v>2720</v>
      </c>
      <c r="D1355">
        <v>6104.2</v>
      </c>
      <c r="E1355">
        <v>6104.2</v>
      </c>
      <c r="F1355">
        <v>1.014</v>
      </c>
      <c r="G1355">
        <v>0</v>
      </c>
      <c r="H1355">
        <v>0.618966</v>
      </c>
      <c r="I1355">
        <v>0.61103</v>
      </c>
      <c r="J1355">
        <v>0.007936</v>
      </c>
      <c r="K1355" s="4">
        <f t="shared" si="63"/>
        <v>0.0129879056674795</v>
      </c>
      <c r="L1355" s="4">
        <f t="shared" si="64"/>
        <v>0</v>
      </c>
      <c r="M1355" s="18">
        <f t="shared" si="65"/>
        <v>0</v>
      </c>
    </row>
    <row r="1356" spans="1:13">
      <c r="A1356" t="s">
        <v>13</v>
      </c>
      <c r="B1356" t="s">
        <v>2721</v>
      </c>
      <c r="C1356" t="s">
        <v>2722</v>
      </c>
      <c r="D1356">
        <v>2658.3</v>
      </c>
      <c r="E1356">
        <v>2658.3</v>
      </c>
      <c r="G1356">
        <v>0</v>
      </c>
      <c r="H1356">
        <v>0.24669</v>
      </c>
      <c r="I1356">
        <v>0.249083</v>
      </c>
      <c r="J1356">
        <v>-0.002393</v>
      </c>
      <c r="K1356" s="4">
        <f t="shared" si="63"/>
        <v>-0.00960723935395029</v>
      </c>
      <c r="L1356" s="4">
        <f t="shared" si="64"/>
        <v>0</v>
      </c>
      <c r="M1356" s="18">
        <f t="shared" si="65"/>
        <v>0</v>
      </c>
    </row>
    <row r="1357" spans="1:13">
      <c r="A1357" t="s">
        <v>13</v>
      </c>
      <c r="B1357" t="s">
        <v>2723</v>
      </c>
      <c r="C1357" t="s">
        <v>2724</v>
      </c>
      <c r="D1357">
        <v>216232.63</v>
      </c>
      <c r="E1357">
        <v>220832.63</v>
      </c>
      <c r="G1357">
        <v>-4600</v>
      </c>
      <c r="H1357">
        <v>14.597037</v>
      </c>
      <c r="I1357">
        <v>14.340998</v>
      </c>
      <c r="J1357">
        <v>0.256039</v>
      </c>
      <c r="K1357" s="4">
        <f t="shared" si="63"/>
        <v>0.017853638916901</v>
      </c>
      <c r="L1357" s="4">
        <f t="shared" si="64"/>
        <v>-0.0208302550216424</v>
      </c>
      <c r="M1357" s="18">
        <f t="shared" si="65"/>
        <v>0</v>
      </c>
    </row>
    <row r="1358" spans="1:13">
      <c r="A1358" t="s">
        <v>13</v>
      </c>
      <c r="B1358" t="s">
        <v>2725</v>
      </c>
      <c r="C1358" t="s">
        <v>2726</v>
      </c>
      <c r="D1358">
        <v>13811.26</v>
      </c>
      <c r="E1358">
        <v>14011.26</v>
      </c>
      <c r="F1358">
        <v>2.015</v>
      </c>
      <c r="G1358">
        <v>-200</v>
      </c>
      <c r="H1358">
        <v>2.823269</v>
      </c>
      <c r="I1358">
        <v>2.791207</v>
      </c>
      <c r="J1358">
        <v>0.032062</v>
      </c>
      <c r="K1358" s="4">
        <f t="shared" si="63"/>
        <v>0.011486786899001</v>
      </c>
      <c r="L1358" s="4">
        <f t="shared" si="64"/>
        <v>-0.0142742337234481</v>
      </c>
      <c r="M1358" s="18">
        <f t="shared" si="65"/>
        <v>-0.0403</v>
      </c>
    </row>
    <row r="1359" spans="1:13">
      <c r="A1359" t="s">
        <v>13</v>
      </c>
      <c r="B1359" t="s">
        <v>2727</v>
      </c>
      <c r="C1359" t="s">
        <v>2728</v>
      </c>
      <c r="D1359">
        <v>84079.2</v>
      </c>
      <c r="E1359">
        <v>86079.2</v>
      </c>
      <c r="F1359">
        <v>1.447</v>
      </c>
      <c r="G1359">
        <v>-2000</v>
      </c>
      <c r="H1359">
        <v>12.45566</v>
      </c>
      <c r="I1359">
        <v>12.810901</v>
      </c>
      <c r="J1359">
        <v>-0.355241</v>
      </c>
      <c r="K1359" s="4">
        <f t="shared" si="63"/>
        <v>-0.027729587481786</v>
      </c>
      <c r="L1359" s="4">
        <f t="shared" si="64"/>
        <v>-0.0232344166767349</v>
      </c>
      <c r="M1359" s="18">
        <f t="shared" si="65"/>
        <v>-0.2894</v>
      </c>
    </row>
    <row r="1360" spans="1:13">
      <c r="A1360" t="s">
        <v>13</v>
      </c>
      <c r="B1360" t="s">
        <v>2729</v>
      </c>
      <c r="C1360" t="s">
        <v>2730</v>
      </c>
      <c r="D1360">
        <v>517140.4</v>
      </c>
      <c r="E1360">
        <v>525390.4</v>
      </c>
      <c r="F1360">
        <v>1.838</v>
      </c>
      <c r="G1360">
        <v>-8250</v>
      </c>
      <c r="H1360">
        <v>96.566756</v>
      </c>
      <c r="I1360">
        <v>97.138855</v>
      </c>
      <c r="J1360">
        <v>-0.572099</v>
      </c>
      <c r="K1360" s="4">
        <f t="shared" si="63"/>
        <v>-0.00588949705038216</v>
      </c>
      <c r="L1360" s="4">
        <f t="shared" si="64"/>
        <v>-0.0157026089551693</v>
      </c>
      <c r="M1360" s="18">
        <f t="shared" si="65"/>
        <v>-1.51635</v>
      </c>
    </row>
    <row r="1361" spans="1:13">
      <c r="A1361" t="s">
        <v>13</v>
      </c>
      <c r="B1361" t="s">
        <v>2731</v>
      </c>
      <c r="C1361" t="s">
        <v>2732</v>
      </c>
      <c r="D1361">
        <v>8941.74</v>
      </c>
      <c r="E1361">
        <v>8941.74</v>
      </c>
      <c r="F1361">
        <v>0.614</v>
      </c>
      <c r="G1361">
        <v>0</v>
      </c>
      <c r="H1361">
        <v>0.549023</v>
      </c>
      <c r="I1361">
        <v>0.559753</v>
      </c>
      <c r="J1361">
        <v>-0.01073</v>
      </c>
      <c r="K1361" s="4">
        <f t="shared" si="63"/>
        <v>-0.0191691692585837</v>
      </c>
      <c r="L1361" s="4">
        <f t="shared" si="64"/>
        <v>0</v>
      </c>
      <c r="M1361" s="18">
        <f t="shared" si="65"/>
        <v>0</v>
      </c>
    </row>
    <row r="1362" spans="1:13">
      <c r="A1362" t="s">
        <v>13</v>
      </c>
      <c r="B1362" t="s">
        <v>2733</v>
      </c>
      <c r="C1362" t="s">
        <v>2734</v>
      </c>
      <c r="D1362">
        <v>4468.07</v>
      </c>
      <c r="E1362">
        <v>4468.07</v>
      </c>
      <c r="F1362">
        <v>1.435</v>
      </c>
      <c r="G1362">
        <v>0</v>
      </c>
      <c r="H1362">
        <v>0.641168</v>
      </c>
      <c r="I1362">
        <v>0.630444</v>
      </c>
      <c r="J1362">
        <v>0.010724</v>
      </c>
      <c r="K1362" s="4">
        <f t="shared" si="63"/>
        <v>0.0170102340572676</v>
      </c>
      <c r="L1362" s="4">
        <f t="shared" si="64"/>
        <v>0</v>
      </c>
      <c r="M1362" s="18">
        <f t="shared" si="65"/>
        <v>0</v>
      </c>
    </row>
    <row r="1363" spans="1:13">
      <c r="A1363" t="s">
        <v>13</v>
      </c>
      <c r="B1363" t="s">
        <v>2735</v>
      </c>
      <c r="C1363" t="s">
        <v>2736</v>
      </c>
      <c r="D1363">
        <v>16294.78</v>
      </c>
      <c r="E1363">
        <v>16494.78</v>
      </c>
      <c r="F1363">
        <v>0.909</v>
      </c>
      <c r="G1363">
        <v>-200</v>
      </c>
      <c r="H1363">
        <v>1.499375</v>
      </c>
      <c r="I1363">
        <v>1.513444</v>
      </c>
      <c r="J1363">
        <v>-0.014069</v>
      </c>
      <c r="K1363" s="4">
        <f t="shared" si="63"/>
        <v>-0.00929601623846009</v>
      </c>
      <c r="L1363" s="4">
        <f t="shared" si="64"/>
        <v>-0.0121250480455028</v>
      </c>
      <c r="M1363" s="18">
        <f t="shared" si="65"/>
        <v>-0.01818</v>
      </c>
    </row>
    <row r="1364" spans="1:13">
      <c r="A1364" t="s">
        <v>13</v>
      </c>
      <c r="B1364" t="s">
        <v>2737</v>
      </c>
      <c r="C1364" t="s">
        <v>2738</v>
      </c>
      <c r="D1364">
        <v>26553.97</v>
      </c>
      <c r="E1364">
        <v>26553.97</v>
      </c>
      <c r="F1364">
        <v>1.138</v>
      </c>
      <c r="G1364">
        <v>0</v>
      </c>
      <c r="H1364">
        <v>3.021842</v>
      </c>
      <c r="I1364">
        <v>2.940262</v>
      </c>
      <c r="J1364">
        <v>0.08158</v>
      </c>
      <c r="K1364" s="4">
        <f t="shared" si="63"/>
        <v>0.0277458267324477</v>
      </c>
      <c r="L1364" s="4">
        <f t="shared" si="64"/>
        <v>0</v>
      </c>
      <c r="M1364" s="18">
        <f t="shared" si="65"/>
        <v>0</v>
      </c>
    </row>
    <row r="1365" spans="1:13">
      <c r="A1365" t="s">
        <v>13</v>
      </c>
      <c r="B1365" t="s">
        <v>2739</v>
      </c>
      <c r="C1365" t="s">
        <v>2740</v>
      </c>
      <c r="D1365">
        <v>3818.52</v>
      </c>
      <c r="E1365">
        <v>3818.52</v>
      </c>
      <c r="F1365">
        <v>1.411</v>
      </c>
      <c r="G1365">
        <v>0</v>
      </c>
      <c r="H1365">
        <v>0.538793</v>
      </c>
      <c r="I1365">
        <v>0.527719</v>
      </c>
      <c r="J1365">
        <v>0.011074</v>
      </c>
      <c r="K1365" s="4">
        <f t="shared" si="63"/>
        <v>0.0209846528171243</v>
      </c>
      <c r="L1365" s="4">
        <f t="shared" si="64"/>
        <v>0</v>
      </c>
      <c r="M1365" s="18">
        <f t="shared" si="65"/>
        <v>0</v>
      </c>
    </row>
    <row r="1366" spans="1:13">
      <c r="A1366" t="s">
        <v>13</v>
      </c>
      <c r="B1366" t="s">
        <v>2741</v>
      </c>
      <c r="C1366" t="s">
        <v>2742</v>
      </c>
      <c r="D1366">
        <v>5533.71</v>
      </c>
      <c r="E1366">
        <v>5333.71</v>
      </c>
      <c r="F1366">
        <v>0.721</v>
      </c>
      <c r="G1366">
        <v>200</v>
      </c>
      <c r="H1366">
        <v>0.384561</v>
      </c>
      <c r="I1366">
        <v>0.390961</v>
      </c>
      <c r="J1366">
        <v>-0.0064</v>
      </c>
      <c r="K1366" s="4">
        <f t="shared" si="63"/>
        <v>-0.0163699192502577</v>
      </c>
      <c r="L1366" s="4">
        <f t="shared" si="64"/>
        <v>0.0374973517495327</v>
      </c>
      <c r="M1366" s="18">
        <f t="shared" si="65"/>
        <v>0.01442</v>
      </c>
    </row>
    <row r="1367" spans="1:13">
      <c r="A1367" t="s">
        <v>13</v>
      </c>
      <c r="B1367" t="s">
        <v>2743</v>
      </c>
      <c r="C1367" t="s">
        <v>2744</v>
      </c>
      <c r="D1367">
        <v>48899.35</v>
      </c>
      <c r="E1367">
        <v>48899.35</v>
      </c>
      <c r="F1367">
        <v>1.442</v>
      </c>
      <c r="G1367">
        <v>0</v>
      </c>
      <c r="H1367">
        <v>7.051286</v>
      </c>
      <c r="I1367">
        <v>7.212653</v>
      </c>
      <c r="J1367">
        <v>-0.161367</v>
      </c>
      <c r="K1367" s="4">
        <f t="shared" si="63"/>
        <v>-0.0223727663038829</v>
      </c>
      <c r="L1367" s="4">
        <f t="shared" si="64"/>
        <v>0</v>
      </c>
      <c r="M1367" s="18">
        <f t="shared" si="65"/>
        <v>0</v>
      </c>
    </row>
    <row r="1368" spans="1:13">
      <c r="A1368" t="s">
        <v>13</v>
      </c>
      <c r="B1368" t="s">
        <v>2745</v>
      </c>
      <c r="C1368" t="s">
        <v>2746</v>
      </c>
      <c r="D1368">
        <v>6062.32</v>
      </c>
      <c r="E1368">
        <v>6062.32</v>
      </c>
      <c r="F1368">
        <v>1.282</v>
      </c>
      <c r="G1368">
        <v>0</v>
      </c>
      <c r="H1368">
        <v>0.77719</v>
      </c>
      <c r="I1368">
        <v>0.79529</v>
      </c>
      <c r="J1368">
        <v>-0.0181</v>
      </c>
      <c r="K1368" s="4">
        <f t="shared" si="63"/>
        <v>-0.0227589935746709</v>
      </c>
      <c r="L1368" s="4">
        <f t="shared" si="64"/>
        <v>0</v>
      </c>
      <c r="M1368" s="18">
        <f t="shared" si="65"/>
        <v>0</v>
      </c>
    </row>
    <row r="1369" spans="1:13">
      <c r="A1369" t="s">
        <v>13</v>
      </c>
      <c r="B1369" t="s">
        <v>2747</v>
      </c>
      <c r="C1369" t="s">
        <v>2748</v>
      </c>
      <c r="D1369">
        <v>4798.79</v>
      </c>
      <c r="E1369">
        <v>4798.79</v>
      </c>
      <c r="F1369">
        <v>0.749</v>
      </c>
      <c r="G1369">
        <v>0</v>
      </c>
      <c r="H1369">
        <v>0.359429</v>
      </c>
      <c r="I1369">
        <v>0.35511</v>
      </c>
      <c r="J1369">
        <v>0.004319</v>
      </c>
      <c r="K1369" s="4">
        <f t="shared" si="63"/>
        <v>0.0121624285432683</v>
      </c>
      <c r="L1369" s="4">
        <f t="shared" si="64"/>
        <v>0</v>
      </c>
      <c r="M1369" s="18">
        <f t="shared" si="65"/>
        <v>0</v>
      </c>
    </row>
    <row r="1370" spans="1:13">
      <c r="A1370" t="s">
        <v>13</v>
      </c>
      <c r="B1370" t="s">
        <v>2749</v>
      </c>
      <c r="C1370" t="s">
        <v>2750</v>
      </c>
      <c r="D1370">
        <v>85771.63</v>
      </c>
      <c r="E1370">
        <v>82231.63</v>
      </c>
      <c r="G1370">
        <v>3540</v>
      </c>
      <c r="H1370">
        <v>76.34385</v>
      </c>
      <c r="I1370">
        <v>75.082931</v>
      </c>
      <c r="J1370">
        <v>1.260919</v>
      </c>
      <c r="K1370" s="4">
        <f t="shared" si="63"/>
        <v>0.0167936837734798</v>
      </c>
      <c r="L1370" s="4">
        <f t="shared" si="64"/>
        <v>0.0430491284193199</v>
      </c>
      <c r="M1370" s="18">
        <f t="shared" si="65"/>
        <v>0</v>
      </c>
    </row>
    <row r="1371" spans="1:13">
      <c r="A1371" t="s">
        <v>13</v>
      </c>
      <c r="B1371" t="s">
        <v>2751</v>
      </c>
      <c r="C1371" t="s">
        <v>2752</v>
      </c>
      <c r="D1371">
        <v>94395.27</v>
      </c>
      <c r="E1371">
        <v>94305.27</v>
      </c>
      <c r="F1371">
        <v>8.931</v>
      </c>
      <c r="G1371">
        <v>90</v>
      </c>
      <c r="H1371">
        <v>84.224034</v>
      </c>
      <c r="I1371">
        <v>84.597207</v>
      </c>
      <c r="J1371">
        <v>-0.373173</v>
      </c>
      <c r="K1371" s="4">
        <f t="shared" si="63"/>
        <v>-0.00441117400010617</v>
      </c>
      <c r="L1371" s="4">
        <f t="shared" si="64"/>
        <v>0.000954347514195124</v>
      </c>
      <c r="M1371" s="18">
        <f t="shared" si="65"/>
        <v>0.080379</v>
      </c>
    </row>
    <row r="1372" spans="1:13">
      <c r="A1372" t="s">
        <v>13</v>
      </c>
      <c r="B1372" t="s">
        <v>2753</v>
      </c>
      <c r="C1372" t="s">
        <v>2754</v>
      </c>
      <c r="D1372">
        <v>79086.95</v>
      </c>
      <c r="E1372">
        <v>79496.95</v>
      </c>
      <c r="F1372">
        <v>9.324</v>
      </c>
      <c r="G1372">
        <v>-410</v>
      </c>
      <c r="H1372">
        <v>74.122958</v>
      </c>
      <c r="I1372">
        <v>74.472142</v>
      </c>
      <c r="J1372">
        <v>-0.349184</v>
      </c>
      <c r="K1372" s="4">
        <f t="shared" si="63"/>
        <v>-0.00468878684864469</v>
      </c>
      <c r="L1372" s="4">
        <f t="shared" si="64"/>
        <v>-0.00515743056809098</v>
      </c>
      <c r="M1372" s="18">
        <f t="shared" si="65"/>
        <v>-0.382284</v>
      </c>
    </row>
    <row r="1373" spans="1:13">
      <c r="A1373" t="s">
        <v>13</v>
      </c>
      <c r="B1373" t="s">
        <v>2755</v>
      </c>
      <c r="C1373" t="s">
        <v>2756</v>
      </c>
      <c r="D1373">
        <v>378247.92</v>
      </c>
      <c r="E1373">
        <v>379477.92</v>
      </c>
      <c r="F1373">
        <v>9.339</v>
      </c>
      <c r="G1373">
        <v>-1230</v>
      </c>
      <c r="H1373">
        <v>354.394431</v>
      </c>
      <c r="I1373">
        <v>355.96424</v>
      </c>
      <c r="J1373">
        <v>-1.569809</v>
      </c>
      <c r="K1373" s="4">
        <f t="shared" si="63"/>
        <v>-0.00441001882661022</v>
      </c>
      <c r="L1373" s="4">
        <f t="shared" si="64"/>
        <v>-0.00324129530382163</v>
      </c>
      <c r="M1373" s="18">
        <f t="shared" si="65"/>
        <v>-1.148697</v>
      </c>
    </row>
    <row r="1374" spans="1:13">
      <c r="A1374" t="s">
        <v>13</v>
      </c>
      <c r="B1374" t="s">
        <v>2757</v>
      </c>
      <c r="C1374" t="s">
        <v>2758</v>
      </c>
      <c r="D1374">
        <v>179107.87</v>
      </c>
      <c r="E1374">
        <v>179557.87</v>
      </c>
      <c r="F1374">
        <v>8.992</v>
      </c>
      <c r="G1374">
        <v>-450</v>
      </c>
      <c r="H1374">
        <v>161.458436</v>
      </c>
      <c r="I1374">
        <v>162.428439</v>
      </c>
      <c r="J1374">
        <v>-0.970003</v>
      </c>
      <c r="K1374" s="4">
        <f t="shared" si="63"/>
        <v>-0.00597187909932447</v>
      </c>
      <c r="L1374" s="4">
        <f t="shared" si="64"/>
        <v>-0.00250615581483563</v>
      </c>
      <c r="M1374" s="18">
        <f t="shared" si="65"/>
        <v>-0.40464</v>
      </c>
    </row>
    <row r="1375" spans="1:13">
      <c r="A1375" t="s">
        <v>13</v>
      </c>
      <c r="B1375" t="s">
        <v>2759</v>
      </c>
      <c r="C1375" t="s">
        <v>2760</v>
      </c>
      <c r="D1375">
        <v>48885.98</v>
      </c>
      <c r="E1375">
        <v>49095.98</v>
      </c>
      <c r="F1375">
        <v>8.937</v>
      </c>
      <c r="G1375">
        <v>-210</v>
      </c>
      <c r="H1375">
        <v>43.87708</v>
      </c>
      <c r="I1375">
        <v>44.098012</v>
      </c>
      <c r="J1375">
        <v>-0.220932</v>
      </c>
      <c r="K1375" s="4">
        <f t="shared" si="63"/>
        <v>-0.00501002176696764</v>
      </c>
      <c r="L1375" s="4">
        <f t="shared" si="64"/>
        <v>-0.00427733594481666</v>
      </c>
      <c r="M1375" s="18">
        <f t="shared" si="65"/>
        <v>-0.187677</v>
      </c>
    </row>
    <row r="1376" spans="1:13">
      <c r="A1376" t="s">
        <v>13</v>
      </c>
      <c r="B1376" t="s">
        <v>2761</v>
      </c>
      <c r="C1376" t="s">
        <v>2762</v>
      </c>
      <c r="D1376">
        <v>1082864.08</v>
      </c>
      <c r="E1376">
        <v>1085814.08</v>
      </c>
      <c r="F1376">
        <v>8.908</v>
      </c>
      <c r="G1376">
        <v>-2950</v>
      </c>
      <c r="H1376">
        <v>967.243187</v>
      </c>
      <c r="I1376">
        <v>973.190666</v>
      </c>
      <c r="J1376">
        <v>-5.947479</v>
      </c>
      <c r="K1376" s="4">
        <f t="shared" si="63"/>
        <v>-0.00611131940305724</v>
      </c>
      <c r="L1376" s="4">
        <f t="shared" si="64"/>
        <v>-0.00271685554123594</v>
      </c>
      <c r="M1376" s="18">
        <f t="shared" si="65"/>
        <v>-2.62786</v>
      </c>
    </row>
    <row r="1377" spans="1:13">
      <c r="A1377" t="s">
        <v>13</v>
      </c>
      <c r="B1377" t="s">
        <v>2763</v>
      </c>
      <c r="C1377" t="s">
        <v>2764</v>
      </c>
      <c r="D1377">
        <v>40675.48</v>
      </c>
      <c r="E1377">
        <v>40825.48</v>
      </c>
      <c r="F1377">
        <v>8.922</v>
      </c>
      <c r="G1377">
        <v>-150</v>
      </c>
      <c r="H1377">
        <v>36.424497</v>
      </c>
      <c r="I1377">
        <v>36.624542</v>
      </c>
      <c r="J1377">
        <v>-0.200045</v>
      </c>
      <c r="K1377" s="4">
        <f t="shared" si="63"/>
        <v>-0.00546204782574482</v>
      </c>
      <c r="L1377" s="4">
        <f t="shared" si="64"/>
        <v>-0.00367417602928367</v>
      </c>
      <c r="M1377" s="18">
        <f t="shared" si="65"/>
        <v>-0.13383</v>
      </c>
    </row>
    <row r="1378" spans="1:13">
      <c r="A1378" t="s">
        <v>13</v>
      </c>
      <c r="B1378" t="s">
        <v>2765</v>
      </c>
      <c r="C1378" t="s">
        <v>2766</v>
      </c>
      <c r="D1378">
        <v>198080.5</v>
      </c>
      <c r="E1378">
        <v>196730.5</v>
      </c>
      <c r="F1378">
        <v>1.201</v>
      </c>
      <c r="G1378">
        <v>1350</v>
      </c>
      <c r="H1378">
        <v>23.627333</v>
      </c>
      <c r="I1378">
        <v>23.273218</v>
      </c>
      <c r="J1378">
        <v>0.354115</v>
      </c>
      <c r="K1378" s="4">
        <f t="shared" si="63"/>
        <v>0.0152155580719435</v>
      </c>
      <c r="L1378" s="4">
        <f t="shared" si="64"/>
        <v>0.0068621794790335</v>
      </c>
      <c r="M1378" s="18">
        <f t="shared" si="65"/>
        <v>0.162135</v>
      </c>
    </row>
    <row r="1379" spans="1:13">
      <c r="A1379" t="s">
        <v>13</v>
      </c>
      <c r="B1379" t="s">
        <v>2767</v>
      </c>
      <c r="C1379" t="s">
        <v>2768</v>
      </c>
      <c r="D1379">
        <v>22572.8</v>
      </c>
      <c r="E1379">
        <v>22572.8</v>
      </c>
      <c r="F1379">
        <v>0.723</v>
      </c>
      <c r="G1379">
        <v>0</v>
      </c>
      <c r="H1379">
        <v>1.632013</v>
      </c>
      <c r="I1379">
        <v>1.616212</v>
      </c>
      <c r="J1379">
        <v>0.015801</v>
      </c>
      <c r="K1379" s="4">
        <f t="shared" si="63"/>
        <v>0.00977656396561837</v>
      </c>
      <c r="L1379" s="4">
        <f t="shared" si="64"/>
        <v>0</v>
      </c>
      <c r="M1379" s="18">
        <f t="shared" si="65"/>
        <v>0</v>
      </c>
    </row>
    <row r="1380" spans="1:13">
      <c r="A1380" t="s">
        <v>13</v>
      </c>
      <c r="B1380" t="s">
        <v>2769</v>
      </c>
      <c r="C1380" t="s">
        <v>2770</v>
      </c>
      <c r="D1380">
        <v>5410.6</v>
      </c>
      <c r="E1380">
        <v>5410.6</v>
      </c>
      <c r="F1380">
        <v>0.929</v>
      </c>
      <c r="G1380">
        <v>0</v>
      </c>
      <c r="H1380">
        <v>0.502645</v>
      </c>
      <c r="I1380">
        <v>0.51563</v>
      </c>
      <c r="J1380">
        <v>-0.012985</v>
      </c>
      <c r="K1380" s="4">
        <f t="shared" si="63"/>
        <v>-0.0251827861063165</v>
      </c>
      <c r="L1380" s="4">
        <f t="shared" si="64"/>
        <v>0</v>
      </c>
      <c r="M1380" s="18">
        <f t="shared" si="65"/>
        <v>0</v>
      </c>
    </row>
    <row r="1381" spans="1:13">
      <c r="A1381" t="s">
        <v>13</v>
      </c>
      <c r="B1381" t="s">
        <v>2771</v>
      </c>
      <c r="C1381" t="s">
        <v>2772</v>
      </c>
      <c r="D1381">
        <v>26277.6</v>
      </c>
      <c r="E1381">
        <v>26277.6</v>
      </c>
      <c r="F1381">
        <v>0.789</v>
      </c>
      <c r="G1381">
        <v>0</v>
      </c>
      <c r="H1381">
        <v>2.073303</v>
      </c>
      <c r="I1381">
        <v>2.107464</v>
      </c>
      <c r="J1381">
        <v>-0.034161</v>
      </c>
      <c r="K1381" s="4">
        <f t="shared" si="63"/>
        <v>-0.0162095295578003</v>
      </c>
      <c r="L1381" s="4">
        <f t="shared" si="64"/>
        <v>0</v>
      </c>
      <c r="M1381" s="18">
        <f t="shared" si="65"/>
        <v>0</v>
      </c>
    </row>
    <row r="1382" spans="1:13">
      <c r="A1382" t="s">
        <v>13</v>
      </c>
      <c r="B1382" t="s">
        <v>2773</v>
      </c>
      <c r="C1382" t="s">
        <v>2774</v>
      </c>
      <c r="D1382">
        <v>104552.4</v>
      </c>
      <c r="E1382">
        <v>104352.4</v>
      </c>
      <c r="F1382">
        <v>1.077</v>
      </c>
      <c r="G1382">
        <v>200</v>
      </c>
      <c r="H1382">
        <v>11.238753</v>
      </c>
      <c r="I1382">
        <v>11.551811</v>
      </c>
      <c r="J1382">
        <v>-0.313058</v>
      </c>
      <c r="K1382" s="4">
        <f t="shared" si="63"/>
        <v>-0.0271003395052083</v>
      </c>
      <c r="L1382" s="4">
        <f t="shared" si="64"/>
        <v>0.00191658265646023</v>
      </c>
      <c r="M1382" s="18">
        <f t="shared" si="65"/>
        <v>0.02154</v>
      </c>
    </row>
    <row r="1383" spans="1:13">
      <c r="A1383" t="s">
        <v>13</v>
      </c>
      <c r="B1383" t="s">
        <v>2775</v>
      </c>
      <c r="C1383" t="s">
        <v>2776</v>
      </c>
      <c r="D1383">
        <v>70041.9</v>
      </c>
      <c r="E1383">
        <v>70041.9</v>
      </c>
      <c r="F1383">
        <v>0.774</v>
      </c>
      <c r="G1383">
        <v>0</v>
      </c>
      <c r="H1383">
        <v>5.421243</v>
      </c>
      <c r="I1383">
        <v>5.547318</v>
      </c>
      <c r="J1383">
        <v>-0.126075</v>
      </c>
      <c r="K1383" s="4">
        <f t="shared" si="63"/>
        <v>-0.0227271989815619</v>
      </c>
      <c r="L1383" s="4">
        <f t="shared" si="64"/>
        <v>0</v>
      </c>
      <c r="M1383" s="18">
        <f t="shared" si="65"/>
        <v>0</v>
      </c>
    </row>
    <row r="1384" spans="1:13">
      <c r="A1384" t="s">
        <v>13</v>
      </c>
      <c r="B1384" t="s">
        <v>2777</v>
      </c>
      <c r="C1384" t="s">
        <v>2778</v>
      </c>
      <c r="D1384">
        <v>361687.6</v>
      </c>
      <c r="E1384">
        <v>361687.6</v>
      </c>
      <c r="G1384">
        <v>0</v>
      </c>
      <c r="H1384">
        <v>26.511701</v>
      </c>
      <c r="I1384">
        <v>26.981895</v>
      </c>
      <c r="J1384">
        <v>-0.470194</v>
      </c>
      <c r="K1384" s="4">
        <f t="shared" si="63"/>
        <v>-0.0174262778800377</v>
      </c>
      <c r="L1384" s="4">
        <f t="shared" si="64"/>
        <v>0</v>
      </c>
      <c r="M1384" s="18">
        <f t="shared" si="65"/>
        <v>0</v>
      </c>
    </row>
    <row r="1385" spans="1:13">
      <c r="A1385" t="s">
        <v>13</v>
      </c>
      <c r="B1385" t="s">
        <v>2779</v>
      </c>
      <c r="C1385" t="s">
        <v>2780</v>
      </c>
      <c r="D1385">
        <v>29498.39</v>
      </c>
      <c r="E1385">
        <v>29498.39</v>
      </c>
      <c r="F1385">
        <v>0.968</v>
      </c>
      <c r="G1385">
        <v>0</v>
      </c>
      <c r="H1385">
        <v>2.855444</v>
      </c>
      <c r="I1385">
        <v>2.849544</v>
      </c>
      <c r="J1385">
        <v>0.0059</v>
      </c>
      <c r="K1385" s="4">
        <f t="shared" si="63"/>
        <v>0.00207050671967164</v>
      </c>
      <c r="L1385" s="4">
        <f t="shared" si="64"/>
        <v>0</v>
      </c>
      <c r="M1385" s="18">
        <f t="shared" si="65"/>
        <v>0</v>
      </c>
    </row>
    <row r="1386" spans="1:13">
      <c r="A1386" t="s">
        <v>13</v>
      </c>
      <c r="B1386" t="s">
        <v>2781</v>
      </c>
      <c r="C1386" t="s">
        <v>2782</v>
      </c>
      <c r="D1386">
        <v>22223.5</v>
      </c>
      <c r="E1386">
        <v>22223.5</v>
      </c>
      <c r="F1386">
        <v>0.787</v>
      </c>
      <c r="G1386">
        <v>0</v>
      </c>
      <c r="H1386">
        <v>1.748989</v>
      </c>
      <c r="I1386">
        <v>1.77788</v>
      </c>
      <c r="J1386">
        <v>-0.028891</v>
      </c>
      <c r="K1386" s="4">
        <f t="shared" si="63"/>
        <v>-0.0162502531104462</v>
      </c>
      <c r="L1386" s="4">
        <f t="shared" si="64"/>
        <v>0</v>
      </c>
      <c r="M1386" s="18">
        <f t="shared" si="65"/>
        <v>0</v>
      </c>
    </row>
    <row r="1387" spans="1:13">
      <c r="A1387" t="s">
        <v>13</v>
      </c>
      <c r="B1387" t="s">
        <v>2783</v>
      </c>
      <c r="C1387" t="s">
        <v>2784</v>
      </c>
      <c r="D1387">
        <v>38336.8</v>
      </c>
      <c r="E1387">
        <v>38336.8</v>
      </c>
      <c r="F1387">
        <v>1.077</v>
      </c>
      <c r="G1387">
        <v>0</v>
      </c>
      <c r="H1387">
        <v>4.128873</v>
      </c>
      <c r="I1387">
        <v>4.236216</v>
      </c>
      <c r="J1387">
        <v>-0.107343</v>
      </c>
      <c r="K1387" s="4">
        <f t="shared" si="63"/>
        <v>-0.0253393594660895</v>
      </c>
      <c r="L1387" s="4">
        <f t="shared" si="64"/>
        <v>0</v>
      </c>
      <c r="M1387" s="18">
        <f t="shared" si="65"/>
        <v>0</v>
      </c>
    </row>
    <row r="1388" spans="1:13">
      <c r="A1388" t="s">
        <v>13</v>
      </c>
      <c r="B1388" t="s">
        <v>2785</v>
      </c>
      <c r="C1388" t="s">
        <v>2786</v>
      </c>
      <c r="D1388">
        <v>28696.3</v>
      </c>
      <c r="E1388">
        <v>28696.3</v>
      </c>
      <c r="F1388">
        <v>0.895</v>
      </c>
      <c r="G1388">
        <v>0</v>
      </c>
      <c r="H1388">
        <v>2.568319</v>
      </c>
      <c r="I1388">
        <v>2.628581</v>
      </c>
      <c r="J1388">
        <v>-0.060262</v>
      </c>
      <c r="K1388" s="4">
        <f t="shared" si="63"/>
        <v>-0.0229256773901965</v>
      </c>
      <c r="L1388" s="4">
        <f t="shared" si="64"/>
        <v>0</v>
      </c>
      <c r="M1388" s="18">
        <f t="shared" si="65"/>
        <v>0</v>
      </c>
    </row>
    <row r="1389" spans="1:13">
      <c r="A1389" t="s">
        <v>13</v>
      </c>
      <c r="B1389" t="s">
        <v>2787</v>
      </c>
      <c r="C1389" t="s">
        <v>2788</v>
      </c>
      <c r="D1389">
        <v>34940.9</v>
      </c>
      <c r="E1389">
        <v>34940.9</v>
      </c>
      <c r="F1389">
        <v>0.79</v>
      </c>
      <c r="G1389">
        <v>0</v>
      </c>
      <c r="H1389">
        <v>2.760331</v>
      </c>
      <c r="I1389">
        <v>2.833707</v>
      </c>
      <c r="J1389">
        <v>-0.073376</v>
      </c>
      <c r="K1389" s="4">
        <f t="shared" si="63"/>
        <v>-0.0258939968034804</v>
      </c>
      <c r="L1389" s="4">
        <f t="shared" si="64"/>
        <v>0</v>
      </c>
      <c r="M1389" s="18">
        <f t="shared" si="65"/>
        <v>0</v>
      </c>
    </row>
    <row r="1390" spans="1:13">
      <c r="A1390" t="s">
        <v>13</v>
      </c>
      <c r="B1390" t="s">
        <v>2789</v>
      </c>
      <c r="C1390" t="s">
        <v>2790</v>
      </c>
      <c r="D1390">
        <v>44711</v>
      </c>
      <c r="E1390">
        <v>44561</v>
      </c>
      <c r="F1390">
        <v>0.644</v>
      </c>
      <c r="G1390">
        <v>150</v>
      </c>
      <c r="H1390">
        <v>2.869728</v>
      </c>
      <c r="I1390">
        <v>2.954394</v>
      </c>
      <c r="J1390">
        <v>-0.084666</v>
      </c>
      <c r="K1390" s="4">
        <f t="shared" si="63"/>
        <v>-0.0286576536507995</v>
      </c>
      <c r="L1390" s="4">
        <f t="shared" si="64"/>
        <v>0.00336617221337044</v>
      </c>
      <c r="M1390" s="18">
        <f t="shared" si="65"/>
        <v>0.00966</v>
      </c>
    </row>
    <row r="1391" spans="1:13">
      <c r="A1391" t="s">
        <v>13</v>
      </c>
      <c r="B1391" t="s">
        <v>2791</v>
      </c>
      <c r="C1391" t="s">
        <v>2792</v>
      </c>
      <c r="D1391">
        <v>232775.5</v>
      </c>
      <c r="E1391">
        <v>232775.5</v>
      </c>
      <c r="G1391">
        <v>0</v>
      </c>
      <c r="H1391">
        <v>13.663922</v>
      </c>
      <c r="I1391">
        <v>14.063498</v>
      </c>
      <c r="J1391">
        <v>-0.399576</v>
      </c>
      <c r="K1391" s="4">
        <f t="shared" si="63"/>
        <v>-0.0284122769456077</v>
      </c>
      <c r="L1391" s="4">
        <f t="shared" si="64"/>
        <v>0</v>
      </c>
      <c r="M1391" s="18">
        <f t="shared" si="65"/>
        <v>0</v>
      </c>
    </row>
    <row r="1392" spans="1:13">
      <c r="A1392" t="s">
        <v>13</v>
      </c>
      <c r="B1392" t="s">
        <v>2793</v>
      </c>
      <c r="C1392" t="s">
        <v>2794</v>
      </c>
      <c r="D1392">
        <v>238648.55</v>
      </c>
      <c r="E1392">
        <v>238648.55</v>
      </c>
      <c r="F1392">
        <v>0.963</v>
      </c>
      <c r="G1392">
        <v>0</v>
      </c>
      <c r="H1392">
        <v>22.981855</v>
      </c>
      <c r="I1392">
        <v>23.578477</v>
      </c>
      <c r="J1392">
        <v>-0.596622</v>
      </c>
      <c r="K1392" s="4">
        <f t="shared" si="63"/>
        <v>-0.0253036699528981</v>
      </c>
      <c r="L1392" s="4">
        <f t="shared" si="64"/>
        <v>0</v>
      </c>
      <c r="M1392" s="18">
        <f t="shared" si="65"/>
        <v>0</v>
      </c>
    </row>
    <row r="1393" spans="1:13">
      <c r="A1393" t="s">
        <v>13</v>
      </c>
      <c r="B1393" t="s">
        <v>2795</v>
      </c>
      <c r="C1393" t="s">
        <v>2796</v>
      </c>
      <c r="D1393">
        <v>23842.81</v>
      </c>
      <c r="E1393">
        <v>23842.81</v>
      </c>
      <c r="F1393">
        <v>0.773</v>
      </c>
      <c r="G1393">
        <v>0</v>
      </c>
      <c r="H1393">
        <v>1.843049</v>
      </c>
      <c r="I1393">
        <v>1.885966</v>
      </c>
      <c r="J1393">
        <v>-0.042917</v>
      </c>
      <c r="K1393" s="4">
        <f t="shared" si="63"/>
        <v>-0.0227559775732967</v>
      </c>
      <c r="L1393" s="4">
        <f t="shared" si="64"/>
        <v>0</v>
      </c>
      <c r="M1393" s="18">
        <f t="shared" si="65"/>
        <v>0</v>
      </c>
    </row>
    <row r="1394" spans="1:13">
      <c r="A1394" t="s">
        <v>13</v>
      </c>
      <c r="B1394" t="s">
        <v>2797</v>
      </c>
      <c r="C1394" t="s">
        <v>2798</v>
      </c>
      <c r="D1394">
        <v>6636.9</v>
      </c>
      <c r="E1394">
        <v>6636.9</v>
      </c>
      <c r="F1394">
        <v>0.867</v>
      </c>
      <c r="G1394">
        <v>0</v>
      </c>
      <c r="H1394">
        <v>0.575419</v>
      </c>
      <c r="I1394">
        <v>0.590684</v>
      </c>
      <c r="J1394">
        <v>-0.015265</v>
      </c>
      <c r="K1394" s="4">
        <f t="shared" si="63"/>
        <v>-0.0258429210880945</v>
      </c>
      <c r="L1394" s="4">
        <f t="shared" si="64"/>
        <v>0</v>
      </c>
      <c r="M1394" s="18">
        <f t="shared" si="65"/>
        <v>0</v>
      </c>
    </row>
    <row r="1395" spans="1:13">
      <c r="A1395" t="s">
        <v>13</v>
      </c>
      <c r="B1395" t="s">
        <v>2799</v>
      </c>
      <c r="C1395" t="s">
        <v>2800</v>
      </c>
      <c r="D1395">
        <v>75345.4</v>
      </c>
      <c r="E1395">
        <v>75345.4</v>
      </c>
      <c r="G1395">
        <v>0</v>
      </c>
      <c r="H1395">
        <v>4.709088</v>
      </c>
      <c r="I1395">
        <v>4.678949</v>
      </c>
      <c r="J1395">
        <v>0.030139</v>
      </c>
      <c r="K1395" s="4">
        <f t="shared" si="63"/>
        <v>0.0064414038280819</v>
      </c>
      <c r="L1395" s="4">
        <f t="shared" si="64"/>
        <v>0</v>
      </c>
      <c r="M1395" s="18">
        <f t="shared" si="65"/>
        <v>0</v>
      </c>
    </row>
    <row r="1396" spans="1:13">
      <c r="A1396" t="s">
        <v>13</v>
      </c>
      <c r="B1396" t="s">
        <v>2801</v>
      </c>
      <c r="C1396" t="s">
        <v>2802</v>
      </c>
      <c r="D1396">
        <v>54607.6</v>
      </c>
      <c r="E1396">
        <v>54607.6</v>
      </c>
      <c r="G1396">
        <v>0</v>
      </c>
      <c r="H1396">
        <v>6.722196</v>
      </c>
      <c r="I1396">
        <v>6.60752</v>
      </c>
      <c r="J1396">
        <v>0.114676</v>
      </c>
      <c r="K1396" s="4">
        <f t="shared" si="63"/>
        <v>0.0173553769038913</v>
      </c>
      <c r="L1396" s="4">
        <f t="shared" si="64"/>
        <v>0</v>
      </c>
      <c r="M1396" s="18">
        <f t="shared" si="65"/>
        <v>0</v>
      </c>
    </row>
    <row r="1397" spans="1:13">
      <c r="A1397" t="s">
        <v>13</v>
      </c>
      <c r="B1397" t="s">
        <v>2803</v>
      </c>
      <c r="C1397" t="s">
        <v>2804</v>
      </c>
      <c r="D1397">
        <v>10902.9</v>
      </c>
      <c r="E1397">
        <v>10902.9</v>
      </c>
      <c r="F1397">
        <v>1.029</v>
      </c>
      <c r="G1397">
        <v>0</v>
      </c>
      <c r="H1397">
        <v>1.121908</v>
      </c>
      <c r="I1397">
        <v>1.12627</v>
      </c>
      <c r="J1397">
        <v>-0.004362</v>
      </c>
      <c r="K1397" s="4">
        <f t="shared" si="63"/>
        <v>-0.0038729611904783</v>
      </c>
      <c r="L1397" s="4">
        <f t="shared" si="64"/>
        <v>0</v>
      </c>
      <c r="M1397" s="18">
        <f t="shared" si="65"/>
        <v>0</v>
      </c>
    </row>
    <row r="1398" spans="1:13">
      <c r="A1398" t="s">
        <v>13</v>
      </c>
      <c r="B1398" t="s">
        <v>2805</v>
      </c>
      <c r="C1398" t="s">
        <v>2806</v>
      </c>
      <c r="D1398">
        <v>13394.2</v>
      </c>
      <c r="E1398">
        <v>13394.2</v>
      </c>
      <c r="F1398">
        <v>0.792</v>
      </c>
      <c r="G1398">
        <v>0</v>
      </c>
      <c r="H1398">
        <v>1.060821</v>
      </c>
      <c r="I1398">
        <v>1.088948</v>
      </c>
      <c r="J1398">
        <v>-0.028127</v>
      </c>
      <c r="K1398" s="4">
        <f t="shared" si="63"/>
        <v>-0.0258295161936107</v>
      </c>
      <c r="L1398" s="4">
        <f t="shared" si="64"/>
        <v>0</v>
      </c>
      <c r="M1398" s="18">
        <f t="shared" si="65"/>
        <v>0</v>
      </c>
    </row>
    <row r="1399" spans="1:13">
      <c r="A1399" t="s">
        <v>13</v>
      </c>
      <c r="B1399" t="s">
        <v>2807</v>
      </c>
      <c r="C1399" t="s">
        <v>2808</v>
      </c>
      <c r="D1399">
        <v>14339.44</v>
      </c>
      <c r="E1399">
        <v>14639.44</v>
      </c>
      <c r="F1399">
        <v>0.809</v>
      </c>
      <c r="G1399">
        <v>-300</v>
      </c>
      <c r="H1399">
        <v>1.184331</v>
      </c>
      <c r="I1399">
        <v>1.230744</v>
      </c>
      <c r="J1399">
        <v>-0.046413</v>
      </c>
      <c r="K1399" s="4">
        <f t="shared" si="63"/>
        <v>-0.0377113355823794</v>
      </c>
      <c r="L1399" s="4">
        <f t="shared" si="64"/>
        <v>-0.0204925871481423</v>
      </c>
      <c r="M1399" s="18">
        <f t="shared" si="65"/>
        <v>-0.02427</v>
      </c>
    </row>
    <row r="1400" spans="1:13">
      <c r="A1400" t="s">
        <v>13</v>
      </c>
      <c r="B1400" t="s">
        <v>2809</v>
      </c>
      <c r="C1400" t="s">
        <v>2810</v>
      </c>
      <c r="D1400">
        <v>20746.6</v>
      </c>
      <c r="E1400">
        <v>20746.6</v>
      </c>
      <c r="F1400">
        <v>0.76</v>
      </c>
      <c r="G1400">
        <v>0</v>
      </c>
      <c r="H1400">
        <v>1.576742</v>
      </c>
      <c r="I1400">
        <v>1.555995</v>
      </c>
      <c r="J1400">
        <v>0.020747</v>
      </c>
      <c r="K1400" s="4">
        <f t="shared" si="63"/>
        <v>0.0133335904035681</v>
      </c>
      <c r="L1400" s="4">
        <f t="shared" si="64"/>
        <v>0</v>
      </c>
      <c r="M1400" s="18">
        <f t="shared" si="65"/>
        <v>0</v>
      </c>
    </row>
    <row r="1401" spans="1:13">
      <c r="A1401" t="s">
        <v>13</v>
      </c>
      <c r="B1401" t="s">
        <v>2811</v>
      </c>
      <c r="C1401" t="s">
        <v>2812</v>
      </c>
      <c r="D1401">
        <v>22737.38</v>
      </c>
      <c r="E1401">
        <v>25237.38</v>
      </c>
      <c r="F1401">
        <v>0.875</v>
      </c>
      <c r="G1401">
        <v>-2500</v>
      </c>
      <c r="H1401">
        <v>2.208271</v>
      </c>
      <c r="I1401">
        <v>2.339296</v>
      </c>
      <c r="J1401">
        <v>-0.131025</v>
      </c>
      <c r="K1401" s="4">
        <f t="shared" si="63"/>
        <v>-0.0560104407479857</v>
      </c>
      <c r="L1401" s="4">
        <f t="shared" si="64"/>
        <v>-0.099059411079914</v>
      </c>
      <c r="M1401" s="18">
        <f t="shared" si="65"/>
        <v>-0.21875</v>
      </c>
    </row>
    <row r="1402" spans="1:13">
      <c r="A1402" t="s">
        <v>13</v>
      </c>
      <c r="B1402" t="s">
        <v>2813</v>
      </c>
      <c r="C1402" t="s">
        <v>2814</v>
      </c>
      <c r="D1402">
        <v>3646</v>
      </c>
      <c r="E1402">
        <v>3646</v>
      </c>
      <c r="F1402">
        <v>0.874</v>
      </c>
      <c r="G1402">
        <v>0</v>
      </c>
      <c r="H1402">
        <v>0.31866</v>
      </c>
      <c r="I1402">
        <v>0.326317</v>
      </c>
      <c r="J1402">
        <v>-0.007657</v>
      </c>
      <c r="K1402" s="4">
        <f t="shared" si="63"/>
        <v>-0.0234649129527423</v>
      </c>
      <c r="L1402" s="4">
        <f t="shared" si="64"/>
        <v>0</v>
      </c>
      <c r="M1402" s="18">
        <f t="shared" si="65"/>
        <v>0</v>
      </c>
    </row>
    <row r="1403" spans="1:13">
      <c r="A1403" t="s">
        <v>13</v>
      </c>
      <c r="B1403" t="s">
        <v>2815</v>
      </c>
      <c r="C1403" t="s">
        <v>2816</v>
      </c>
      <c r="D1403">
        <v>37707.5</v>
      </c>
      <c r="E1403">
        <v>37207.5</v>
      </c>
      <c r="F1403">
        <v>0.804</v>
      </c>
      <c r="G1403">
        <v>500</v>
      </c>
      <c r="H1403">
        <v>2.991483</v>
      </c>
      <c r="I1403">
        <v>3.072501</v>
      </c>
      <c r="J1403">
        <v>-0.081018</v>
      </c>
      <c r="K1403" s="4">
        <f t="shared" si="63"/>
        <v>-0.0263687465032558</v>
      </c>
      <c r="L1403" s="4">
        <f t="shared" si="64"/>
        <v>0.0134381509104347</v>
      </c>
      <c r="M1403" s="18">
        <f t="shared" si="65"/>
        <v>0.0402</v>
      </c>
    </row>
    <row r="1404" spans="1:13">
      <c r="A1404" t="s">
        <v>13</v>
      </c>
      <c r="B1404" t="s">
        <v>2817</v>
      </c>
      <c r="C1404" t="s">
        <v>2818</v>
      </c>
      <c r="D1404">
        <v>28436</v>
      </c>
      <c r="E1404">
        <v>28236</v>
      </c>
      <c r="F1404">
        <v>0.979</v>
      </c>
      <c r="G1404">
        <v>200</v>
      </c>
      <c r="H1404">
        <v>2.764304</v>
      </c>
      <c r="I1404">
        <v>2.840542</v>
      </c>
      <c r="J1404">
        <v>-0.076238</v>
      </c>
      <c r="K1404" s="4">
        <f t="shared" si="63"/>
        <v>-0.0268392440597604</v>
      </c>
      <c r="L1404" s="4">
        <f t="shared" si="64"/>
        <v>0.00708315625442697</v>
      </c>
      <c r="M1404" s="18">
        <f t="shared" si="65"/>
        <v>0.01958</v>
      </c>
    </row>
    <row r="1405" spans="1:13">
      <c r="A1405" t="s">
        <v>13</v>
      </c>
      <c r="B1405" t="s">
        <v>2819</v>
      </c>
      <c r="C1405" t="s">
        <v>2820</v>
      </c>
      <c r="D1405">
        <v>6868.2</v>
      </c>
      <c r="E1405">
        <v>6868.2</v>
      </c>
      <c r="F1405">
        <v>0.871</v>
      </c>
      <c r="G1405">
        <v>0</v>
      </c>
      <c r="H1405">
        <v>0.59822</v>
      </c>
      <c r="I1405">
        <v>0.609896</v>
      </c>
      <c r="J1405">
        <v>-0.011676</v>
      </c>
      <c r="K1405" s="4">
        <f t="shared" si="63"/>
        <v>-0.0191442475438435</v>
      </c>
      <c r="L1405" s="4">
        <f t="shared" si="64"/>
        <v>0</v>
      </c>
      <c r="M1405" s="18">
        <f t="shared" si="65"/>
        <v>0</v>
      </c>
    </row>
    <row r="1406" spans="1:13">
      <c r="A1406" t="s">
        <v>13</v>
      </c>
      <c r="B1406" t="s">
        <v>2821</v>
      </c>
      <c r="C1406" t="s">
        <v>2822</v>
      </c>
      <c r="D1406">
        <v>122261.9</v>
      </c>
      <c r="E1406">
        <v>122911.9</v>
      </c>
      <c r="F1406">
        <v>0.905</v>
      </c>
      <c r="G1406">
        <v>-650</v>
      </c>
      <c r="H1406">
        <v>11.123527</v>
      </c>
      <c r="I1406">
        <v>11.10346</v>
      </c>
      <c r="J1406">
        <v>0.020067</v>
      </c>
      <c r="K1406" s="4">
        <f t="shared" si="63"/>
        <v>0.00180727448921327</v>
      </c>
      <c r="L1406" s="4">
        <f t="shared" si="64"/>
        <v>-0.00528834067327899</v>
      </c>
      <c r="M1406" s="18">
        <f t="shared" si="65"/>
        <v>-0.058825</v>
      </c>
    </row>
    <row r="1407" spans="1:13">
      <c r="A1407" t="s">
        <v>13</v>
      </c>
      <c r="B1407" t="s">
        <v>2823</v>
      </c>
      <c r="C1407" t="s">
        <v>2824</v>
      </c>
      <c r="D1407">
        <v>129254.9</v>
      </c>
      <c r="E1407">
        <v>129354.9</v>
      </c>
      <c r="F1407">
        <v>0.76</v>
      </c>
      <c r="G1407">
        <v>-100</v>
      </c>
      <c r="H1407">
        <v>9.830972</v>
      </c>
      <c r="I1407">
        <v>10.12718</v>
      </c>
      <c r="J1407">
        <v>-0.296208</v>
      </c>
      <c r="K1407" s="4">
        <f t="shared" si="63"/>
        <v>-0.0292488135887779</v>
      </c>
      <c r="L1407" s="4">
        <f t="shared" si="64"/>
        <v>-0.000773066965379742</v>
      </c>
      <c r="M1407" s="18">
        <f t="shared" si="65"/>
        <v>-0.0076</v>
      </c>
    </row>
    <row r="1408" spans="1:13">
      <c r="A1408" t="s">
        <v>13</v>
      </c>
      <c r="B1408" t="s">
        <v>2825</v>
      </c>
      <c r="C1408" t="s">
        <v>2826</v>
      </c>
      <c r="D1408">
        <v>17524.96</v>
      </c>
      <c r="E1408">
        <v>17524.96</v>
      </c>
      <c r="F1408">
        <v>0.683</v>
      </c>
      <c r="G1408">
        <v>0</v>
      </c>
      <c r="H1408">
        <v>1.196954</v>
      </c>
      <c r="I1408">
        <v>1.188192</v>
      </c>
      <c r="J1408">
        <v>0.008762</v>
      </c>
      <c r="K1408" s="4">
        <f t="shared" si="63"/>
        <v>0.00737422908082196</v>
      </c>
      <c r="L1408" s="4">
        <f t="shared" si="64"/>
        <v>0</v>
      </c>
      <c r="M1408" s="18">
        <f t="shared" si="65"/>
        <v>0</v>
      </c>
    </row>
    <row r="1409" spans="1:13">
      <c r="A1409" t="s">
        <v>13</v>
      </c>
      <c r="B1409" t="s">
        <v>2827</v>
      </c>
      <c r="C1409" t="s">
        <v>2828</v>
      </c>
      <c r="D1409">
        <v>37419.5</v>
      </c>
      <c r="E1409">
        <v>37419.5</v>
      </c>
      <c r="G1409">
        <v>0</v>
      </c>
      <c r="H1409">
        <v>2.836398</v>
      </c>
      <c r="I1409">
        <v>2.885043</v>
      </c>
      <c r="J1409">
        <v>-0.048645</v>
      </c>
      <c r="K1409" s="4">
        <f t="shared" si="63"/>
        <v>-0.0168611005104603</v>
      </c>
      <c r="L1409" s="4">
        <f t="shared" si="64"/>
        <v>0</v>
      </c>
      <c r="M1409" s="18">
        <f t="shared" si="65"/>
        <v>0</v>
      </c>
    </row>
    <row r="1410" spans="1:13">
      <c r="A1410" t="s">
        <v>13</v>
      </c>
      <c r="B1410" t="s">
        <v>2829</v>
      </c>
      <c r="C1410" t="s">
        <v>2830</v>
      </c>
      <c r="D1410">
        <v>55147.72</v>
      </c>
      <c r="E1410">
        <v>55097.72</v>
      </c>
      <c r="F1410">
        <v>1.068</v>
      </c>
      <c r="G1410">
        <v>50</v>
      </c>
      <c r="H1410">
        <v>5.884436</v>
      </c>
      <c r="I1410">
        <v>5.873591</v>
      </c>
      <c r="J1410">
        <v>0.010845</v>
      </c>
      <c r="K1410" s="4">
        <f t="shared" ref="K1410:K1473" si="66">IFERROR(J1410/I1410,"")</f>
        <v>0.00184640026859208</v>
      </c>
      <c r="L1410" s="4">
        <f t="shared" ref="L1410:L1473" si="67">IFERROR((D1410-E1410)/E1410,"")</f>
        <v>0.0009074785671712</v>
      </c>
      <c r="M1410" s="18">
        <f t="shared" ref="M1410:M1473" si="68">IFERROR(F1410*G1410/10000,"")</f>
        <v>0.00534</v>
      </c>
    </row>
    <row r="1411" spans="1:13">
      <c r="A1411" t="s">
        <v>13</v>
      </c>
      <c r="B1411" t="s">
        <v>2831</v>
      </c>
      <c r="C1411" t="s">
        <v>2832</v>
      </c>
      <c r="D1411">
        <v>609761.8</v>
      </c>
      <c r="E1411">
        <v>609761.8</v>
      </c>
      <c r="F1411">
        <v>0.386</v>
      </c>
      <c r="G1411">
        <v>0</v>
      </c>
      <c r="H1411">
        <v>23.536805</v>
      </c>
      <c r="I1411">
        <v>23.239545</v>
      </c>
      <c r="J1411">
        <v>0.29726</v>
      </c>
      <c r="K1411" s="4">
        <f t="shared" si="66"/>
        <v>0.0127911282256172</v>
      </c>
      <c r="L1411" s="4">
        <f t="shared" si="67"/>
        <v>0</v>
      </c>
      <c r="M1411" s="18">
        <f t="shared" si="68"/>
        <v>0</v>
      </c>
    </row>
    <row r="1412" spans="1:13">
      <c r="A1412" t="s">
        <v>13</v>
      </c>
      <c r="B1412" t="s">
        <v>2833</v>
      </c>
      <c r="C1412" t="s">
        <v>2834</v>
      </c>
      <c r="D1412">
        <v>7200.8</v>
      </c>
      <c r="E1412">
        <v>7200.8</v>
      </c>
      <c r="F1412">
        <v>1.299</v>
      </c>
      <c r="G1412">
        <v>0</v>
      </c>
      <c r="H1412">
        <v>0.935384</v>
      </c>
      <c r="I1412">
        <v>0.962027</v>
      </c>
      <c r="J1412">
        <v>-0.026643</v>
      </c>
      <c r="K1412" s="4">
        <f t="shared" si="66"/>
        <v>-0.0276946489027855</v>
      </c>
      <c r="L1412" s="4">
        <f t="shared" si="67"/>
        <v>0</v>
      </c>
      <c r="M1412" s="18">
        <f t="shared" si="68"/>
        <v>0</v>
      </c>
    </row>
    <row r="1413" spans="1:13">
      <c r="A1413" t="s">
        <v>13</v>
      </c>
      <c r="B1413" t="s">
        <v>2835</v>
      </c>
      <c r="C1413" t="s">
        <v>2836</v>
      </c>
      <c r="D1413">
        <v>177367.5</v>
      </c>
      <c r="E1413">
        <v>177417.5</v>
      </c>
      <c r="F1413">
        <v>0.969</v>
      </c>
      <c r="G1413">
        <v>-50</v>
      </c>
      <c r="H1413">
        <v>17.191756</v>
      </c>
      <c r="I1413">
        <v>17.180638</v>
      </c>
      <c r="J1413">
        <v>0.011118</v>
      </c>
      <c r="K1413" s="4">
        <f t="shared" si="66"/>
        <v>0.000647123814610377</v>
      </c>
      <c r="L1413" s="4">
        <f t="shared" si="67"/>
        <v>-0.000281821128129976</v>
      </c>
      <c r="M1413" s="18">
        <f t="shared" si="68"/>
        <v>-0.004845</v>
      </c>
    </row>
    <row r="1414" spans="1:13">
      <c r="A1414" t="s">
        <v>13</v>
      </c>
      <c r="B1414" t="s">
        <v>2837</v>
      </c>
      <c r="C1414" t="s">
        <v>2838</v>
      </c>
      <c r="D1414">
        <v>81444.5</v>
      </c>
      <c r="E1414">
        <v>81444.5</v>
      </c>
      <c r="G1414">
        <v>0</v>
      </c>
      <c r="H1414">
        <v>5.049559</v>
      </c>
      <c r="I1414">
        <v>5.196159</v>
      </c>
      <c r="J1414">
        <v>-0.1466</v>
      </c>
      <c r="K1414" s="4">
        <f t="shared" si="66"/>
        <v>-0.028213147442178</v>
      </c>
      <c r="L1414" s="4">
        <f t="shared" si="67"/>
        <v>0</v>
      </c>
      <c r="M1414" s="18">
        <f t="shared" si="68"/>
        <v>0</v>
      </c>
    </row>
    <row r="1415" spans="1:13">
      <c r="A1415" t="s">
        <v>13</v>
      </c>
      <c r="B1415" t="s">
        <v>2839</v>
      </c>
      <c r="C1415" t="s">
        <v>2840</v>
      </c>
      <c r="D1415">
        <v>2012901.9</v>
      </c>
      <c r="E1415">
        <v>2023401.9</v>
      </c>
      <c r="G1415">
        <v>-10500</v>
      </c>
      <c r="H1415">
        <v>137.591329</v>
      </c>
      <c r="I1415">
        <v>140.266221</v>
      </c>
      <c r="J1415">
        <v>-2.674892</v>
      </c>
      <c r="K1415" s="4">
        <f t="shared" si="66"/>
        <v>-0.0190701081196163</v>
      </c>
      <c r="L1415" s="4">
        <f t="shared" si="67"/>
        <v>-0.00518928048846846</v>
      </c>
      <c r="M1415" s="18">
        <f t="shared" si="68"/>
        <v>0</v>
      </c>
    </row>
    <row r="1416" spans="1:13">
      <c r="A1416" t="s">
        <v>13</v>
      </c>
      <c r="B1416" t="s">
        <v>2841</v>
      </c>
      <c r="C1416" t="s">
        <v>2842</v>
      </c>
      <c r="D1416">
        <v>12873.3</v>
      </c>
      <c r="E1416">
        <v>12873.3</v>
      </c>
      <c r="F1416">
        <v>0.759</v>
      </c>
      <c r="G1416">
        <v>0</v>
      </c>
      <c r="H1416">
        <v>0.977083</v>
      </c>
      <c r="I1416">
        <v>0.96421</v>
      </c>
      <c r="J1416">
        <v>0.012873</v>
      </c>
      <c r="K1416" s="4">
        <f t="shared" si="66"/>
        <v>0.0133508260648614</v>
      </c>
      <c r="L1416" s="4">
        <f t="shared" si="67"/>
        <v>0</v>
      </c>
      <c r="M1416" s="18">
        <f t="shared" si="68"/>
        <v>0</v>
      </c>
    </row>
    <row r="1417" spans="1:13">
      <c r="A1417" t="s">
        <v>13</v>
      </c>
      <c r="B1417" t="s">
        <v>2843</v>
      </c>
      <c r="C1417" t="s">
        <v>2844</v>
      </c>
      <c r="D1417">
        <v>2429.7</v>
      </c>
      <c r="E1417">
        <v>2429.7</v>
      </c>
      <c r="F1417">
        <v>0.944</v>
      </c>
      <c r="G1417">
        <v>0</v>
      </c>
      <c r="H1417">
        <v>0.229364</v>
      </c>
      <c r="I1417">
        <v>0.233251</v>
      </c>
      <c r="J1417">
        <v>-0.003887</v>
      </c>
      <c r="K1417" s="4">
        <f t="shared" si="66"/>
        <v>-0.0166644515993501</v>
      </c>
      <c r="L1417" s="4">
        <f t="shared" si="67"/>
        <v>0</v>
      </c>
      <c r="M1417" s="18">
        <f t="shared" si="68"/>
        <v>0</v>
      </c>
    </row>
    <row r="1418" spans="1:13">
      <c r="A1418" t="s">
        <v>13</v>
      </c>
      <c r="B1418" t="s">
        <v>2845</v>
      </c>
      <c r="C1418" t="s">
        <v>2846</v>
      </c>
      <c r="D1418">
        <v>37142.1</v>
      </c>
      <c r="E1418">
        <v>37142.1</v>
      </c>
      <c r="F1418">
        <v>0.793</v>
      </c>
      <c r="G1418">
        <v>0</v>
      </c>
      <c r="H1418">
        <v>2.945369</v>
      </c>
      <c r="I1418">
        <v>3.012224</v>
      </c>
      <c r="J1418">
        <v>-0.066855</v>
      </c>
      <c r="K1418" s="4">
        <f t="shared" si="66"/>
        <v>-0.0221945645476565</v>
      </c>
      <c r="L1418" s="4">
        <f t="shared" si="67"/>
        <v>0</v>
      </c>
      <c r="M1418" s="18">
        <f t="shared" si="68"/>
        <v>0</v>
      </c>
    </row>
    <row r="1419" spans="1:13">
      <c r="A1419" t="s">
        <v>13</v>
      </c>
      <c r="B1419" t="s">
        <v>2847</v>
      </c>
      <c r="C1419" t="s">
        <v>2848</v>
      </c>
      <c r="D1419">
        <v>6660.34</v>
      </c>
      <c r="E1419">
        <v>6660.34</v>
      </c>
      <c r="F1419">
        <v>0.857</v>
      </c>
      <c r="G1419">
        <v>0</v>
      </c>
      <c r="H1419">
        <v>0.570792</v>
      </c>
      <c r="I1419">
        <v>0.600966</v>
      </c>
      <c r="J1419">
        <v>-0.030174</v>
      </c>
      <c r="K1419" s="4">
        <f t="shared" si="66"/>
        <v>-0.0502091632471721</v>
      </c>
      <c r="L1419" s="4">
        <f t="shared" si="67"/>
        <v>0</v>
      </c>
      <c r="M1419" s="18">
        <f t="shared" si="68"/>
        <v>0</v>
      </c>
    </row>
    <row r="1420" spans="1:13">
      <c r="A1420" t="s">
        <v>13</v>
      </c>
      <c r="B1420" t="s">
        <v>2849</v>
      </c>
      <c r="C1420" t="s">
        <v>2850</v>
      </c>
      <c r="D1420">
        <v>135835.8</v>
      </c>
      <c r="E1420">
        <v>136235.8</v>
      </c>
      <c r="F1420">
        <v>0.687</v>
      </c>
      <c r="G1420">
        <v>-400</v>
      </c>
      <c r="H1420">
        <v>9.359399</v>
      </c>
      <c r="I1420">
        <v>9.182293</v>
      </c>
      <c r="J1420">
        <v>0.177106</v>
      </c>
      <c r="K1420" s="4">
        <f t="shared" si="66"/>
        <v>0.0192877748510094</v>
      </c>
      <c r="L1420" s="4">
        <f t="shared" si="67"/>
        <v>-0.00293608581591623</v>
      </c>
      <c r="M1420" s="18">
        <f t="shared" si="68"/>
        <v>-0.02748</v>
      </c>
    </row>
    <row r="1421" spans="1:13">
      <c r="A1421" t="s">
        <v>13</v>
      </c>
      <c r="B1421" t="s">
        <v>2851</v>
      </c>
      <c r="C1421" t="s">
        <v>2852</v>
      </c>
      <c r="D1421">
        <v>390038.7</v>
      </c>
      <c r="E1421">
        <v>390038.7</v>
      </c>
      <c r="F1421">
        <v>0.872</v>
      </c>
      <c r="G1421">
        <v>0</v>
      </c>
      <c r="H1421">
        <v>34.011375</v>
      </c>
      <c r="I1421">
        <v>34.713444</v>
      </c>
      <c r="J1421">
        <v>-0.702069</v>
      </c>
      <c r="K1421" s="4">
        <f t="shared" si="66"/>
        <v>-0.0202247002631027</v>
      </c>
      <c r="L1421" s="4">
        <f t="shared" si="67"/>
        <v>0</v>
      </c>
      <c r="M1421" s="18">
        <f t="shared" si="68"/>
        <v>0</v>
      </c>
    </row>
    <row r="1422" spans="1:13">
      <c r="A1422" t="s">
        <v>13</v>
      </c>
      <c r="B1422" t="s">
        <v>2853</v>
      </c>
      <c r="C1422" t="s">
        <v>2854</v>
      </c>
      <c r="D1422">
        <v>413447.05</v>
      </c>
      <c r="E1422">
        <v>416647.05</v>
      </c>
      <c r="F1422">
        <v>0.952</v>
      </c>
      <c r="G1422">
        <v>-3200</v>
      </c>
      <c r="H1422">
        <v>39.664799</v>
      </c>
      <c r="I1422">
        <v>40.794347</v>
      </c>
      <c r="J1422">
        <v>-1.129548</v>
      </c>
      <c r="K1422" s="4">
        <f t="shared" si="66"/>
        <v>-0.0276888363968665</v>
      </c>
      <c r="L1422" s="4">
        <f t="shared" si="67"/>
        <v>-0.00768036159142372</v>
      </c>
      <c r="M1422" s="18">
        <f t="shared" si="68"/>
        <v>-0.30464</v>
      </c>
    </row>
    <row r="1423" spans="1:13">
      <c r="A1423" t="s">
        <v>13</v>
      </c>
      <c r="B1423" t="s">
        <v>2855</v>
      </c>
      <c r="C1423" t="s">
        <v>2856</v>
      </c>
      <c r="D1423">
        <v>8614.2</v>
      </c>
      <c r="E1423">
        <v>8614.2</v>
      </c>
      <c r="F1423">
        <v>1.354</v>
      </c>
      <c r="G1423">
        <v>0</v>
      </c>
      <c r="H1423">
        <v>1.166363</v>
      </c>
      <c r="I1423">
        <v>1.168086</v>
      </c>
      <c r="J1423">
        <v>-0.001723</v>
      </c>
      <c r="K1423" s="4">
        <f t="shared" si="66"/>
        <v>-0.00147506262381366</v>
      </c>
      <c r="L1423" s="4">
        <f t="shared" si="67"/>
        <v>0</v>
      </c>
      <c r="M1423" s="18">
        <f t="shared" si="68"/>
        <v>0</v>
      </c>
    </row>
    <row r="1424" spans="1:13">
      <c r="A1424" t="s">
        <v>13</v>
      </c>
      <c r="B1424" t="s">
        <v>2857</v>
      </c>
      <c r="C1424" t="s">
        <v>2858</v>
      </c>
      <c r="D1424">
        <v>8745.8</v>
      </c>
      <c r="E1424">
        <v>8745.8</v>
      </c>
      <c r="F1424">
        <v>0.79</v>
      </c>
      <c r="G1424">
        <v>0</v>
      </c>
      <c r="H1424">
        <v>0.690918</v>
      </c>
      <c r="I1424">
        <v>0.691742</v>
      </c>
      <c r="J1424">
        <v>-0.000824</v>
      </c>
      <c r="K1424" s="4">
        <f t="shared" si="66"/>
        <v>-0.00119119556135091</v>
      </c>
      <c r="L1424" s="4">
        <f t="shared" si="67"/>
        <v>0</v>
      </c>
      <c r="M1424" s="18">
        <f t="shared" si="68"/>
        <v>0</v>
      </c>
    </row>
    <row r="1425" spans="1:13">
      <c r="A1425" t="s">
        <v>13</v>
      </c>
      <c r="B1425" t="s">
        <v>2859</v>
      </c>
      <c r="C1425" t="s">
        <v>2860</v>
      </c>
      <c r="D1425">
        <v>6363</v>
      </c>
      <c r="E1425">
        <v>6363</v>
      </c>
      <c r="F1425">
        <v>1.221</v>
      </c>
      <c r="G1425">
        <v>0</v>
      </c>
      <c r="H1425">
        <v>0.776922</v>
      </c>
      <c r="I1425">
        <v>0.780104</v>
      </c>
      <c r="J1425">
        <v>-0.003182</v>
      </c>
      <c r="K1425" s="4">
        <f t="shared" si="66"/>
        <v>-0.0040789433203778</v>
      </c>
      <c r="L1425" s="4">
        <f t="shared" si="67"/>
        <v>0</v>
      </c>
      <c r="M1425" s="18">
        <f t="shared" si="68"/>
        <v>0</v>
      </c>
    </row>
    <row r="1426" spans="1:13">
      <c r="A1426" t="s">
        <v>13</v>
      </c>
      <c r="B1426" t="s">
        <v>2861</v>
      </c>
      <c r="C1426" t="s">
        <v>2862</v>
      </c>
      <c r="D1426">
        <v>10637.7</v>
      </c>
      <c r="E1426">
        <v>10637.7</v>
      </c>
      <c r="F1426">
        <v>0.927</v>
      </c>
      <c r="G1426">
        <v>0</v>
      </c>
      <c r="H1426">
        <v>0.986115</v>
      </c>
      <c r="I1426">
        <v>1.008454</v>
      </c>
      <c r="J1426">
        <v>-0.022339</v>
      </c>
      <c r="K1426" s="4">
        <f t="shared" si="66"/>
        <v>-0.0221517292806613</v>
      </c>
      <c r="L1426" s="4">
        <f t="shared" si="67"/>
        <v>0</v>
      </c>
      <c r="M1426" s="18">
        <f t="shared" si="68"/>
        <v>0</v>
      </c>
    </row>
    <row r="1427" spans="1:13">
      <c r="A1427" t="s">
        <v>13</v>
      </c>
      <c r="B1427" t="s">
        <v>2863</v>
      </c>
      <c r="C1427" t="s">
        <v>2864</v>
      </c>
      <c r="D1427">
        <v>97102.94</v>
      </c>
      <c r="E1427">
        <v>97102.94</v>
      </c>
      <c r="F1427">
        <v>1.374</v>
      </c>
      <c r="G1427">
        <v>0</v>
      </c>
      <c r="H1427">
        <v>13.341945</v>
      </c>
      <c r="I1427">
        <v>13.332234</v>
      </c>
      <c r="J1427">
        <v>0.009711</v>
      </c>
      <c r="K1427" s="4">
        <f t="shared" si="66"/>
        <v>0.000728385055347813</v>
      </c>
      <c r="L1427" s="4">
        <f t="shared" si="67"/>
        <v>0</v>
      </c>
      <c r="M1427" s="18">
        <f t="shared" si="68"/>
        <v>0</v>
      </c>
    </row>
    <row r="1428" spans="1:13">
      <c r="A1428" t="s">
        <v>13</v>
      </c>
      <c r="B1428" t="s">
        <v>2865</v>
      </c>
      <c r="C1428" t="s">
        <v>2866</v>
      </c>
      <c r="D1428">
        <v>12881.3</v>
      </c>
      <c r="E1428">
        <v>13181.3</v>
      </c>
      <c r="F1428">
        <v>1.174</v>
      </c>
      <c r="G1428">
        <v>-300</v>
      </c>
      <c r="H1428">
        <v>1.547485</v>
      </c>
      <c r="I1428">
        <v>1.546166</v>
      </c>
      <c r="J1428">
        <v>0.001319</v>
      </c>
      <c r="K1428" s="4">
        <f t="shared" si="66"/>
        <v>0.000853077871328176</v>
      </c>
      <c r="L1428" s="4">
        <f t="shared" si="67"/>
        <v>-0.0227595153740526</v>
      </c>
      <c r="M1428" s="18">
        <f t="shared" si="68"/>
        <v>-0.03522</v>
      </c>
    </row>
    <row r="1429" spans="1:13">
      <c r="A1429" t="s">
        <v>13</v>
      </c>
      <c r="B1429" t="s">
        <v>2867</v>
      </c>
      <c r="C1429" t="s">
        <v>2868</v>
      </c>
      <c r="D1429">
        <v>22819.3</v>
      </c>
      <c r="E1429">
        <v>23119.3</v>
      </c>
      <c r="F1429">
        <v>1.016</v>
      </c>
      <c r="G1429">
        <v>-300</v>
      </c>
      <c r="H1429">
        <v>2.348921</v>
      </c>
      <c r="I1429">
        <v>2.498859</v>
      </c>
      <c r="J1429">
        <v>-0.149938</v>
      </c>
      <c r="K1429" s="4">
        <f t="shared" si="66"/>
        <v>-0.0600025851798761</v>
      </c>
      <c r="L1429" s="4">
        <f t="shared" si="67"/>
        <v>-0.0129761714238753</v>
      </c>
      <c r="M1429" s="18">
        <f t="shared" si="68"/>
        <v>-0.03048</v>
      </c>
    </row>
    <row r="1430" spans="1:13">
      <c r="A1430" t="s">
        <v>13</v>
      </c>
      <c r="B1430" t="s">
        <v>2869</v>
      </c>
      <c r="C1430" t="s">
        <v>2870</v>
      </c>
      <c r="D1430">
        <v>2891.7</v>
      </c>
      <c r="E1430">
        <v>2891.7</v>
      </c>
      <c r="F1430">
        <v>1.243</v>
      </c>
      <c r="G1430">
        <v>0</v>
      </c>
      <c r="H1430">
        <v>0.359438</v>
      </c>
      <c r="I1430">
        <v>0.359438</v>
      </c>
      <c r="J1430">
        <v>0</v>
      </c>
      <c r="K1430" s="4">
        <f t="shared" si="66"/>
        <v>0</v>
      </c>
      <c r="L1430" s="4">
        <f t="shared" si="67"/>
        <v>0</v>
      </c>
      <c r="M1430" s="18">
        <f t="shared" si="68"/>
        <v>0</v>
      </c>
    </row>
    <row r="1431" spans="1:13">
      <c r="A1431" t="s">
        <v>13</v>
      </c>
      <c r="B1431" t="s">
        <v>2871</v>
      </c>
      <c r="C1431" t="s">
        <v>2872</v>
      </c>
      <c r="D1431">
        <v>12869.6</v>
      </c>
      <c r="E1431">
        <v>12869.6</v>
      </c>
      <c r="F1431">
        <v>1.312</v>
      </c>
      <c r="G1431">
        <v>0</v>
      </c>
      <c r="H1431">
        <v>1.688492</v>
      </c>
      <c r="I1431">
        <v>1.727702</v>
      </c>
      <c r="J1431">
        <v>-0.03921</v>
      </c>
      <c r="K1431" s="4">
        <f t="shared" si="66"/>
        <v>-0.0226948860393748</v>
      </c>
      <c r="L1431" s="4">
        <f t="shared" si="67"/>
        <v>0</v>
      </c>
      <c r="M1431" s="18">
        <f t="shared" si="68"/>
        <v>0</v>
      </c>
    </row>
    <row r="1432" spans="1:13">
      <c r="A1432" t="s">
        <v>13</v>
      </c>
      <c r="B1432" t="s">
        <v>2873</v>
      </c>
      <c r="C1432" t="s">
        <v>2874</v>
      </c>
      <c r="D1432">
        <v>6795.2</v>
      </c>
      <c r="E1432">
        <v>6395.2</v>
      </c>
      <c r="F1432">
        <v>1.219</v>
      </c>
      <c r="G1432">
        <v>400</v>
      </c>
      <c r="H1432">
        <v>0.779575</v>
      </c>
      <c r="I1432">
        <v>0.803955</v>
      </c>
      <c r="J1432">
        <v>-0.02438</v>
      </c>
      <c r="K1432" s="4">
        <f t="shared" si="66"/>
        <v>-0.0303250803838523</v>
      </c>
      <c r="L1432" s="4">
        <f t="shared" si="67"/>
        <v>0.062546910182637</v>
      </c>
      <c r="M1432" s="18">
        <f t="shared" si="68"/>
        <v>0.04876</v>
      </c>
    </row>
    <row r="1433" spans="1:13">
      <c r="A1433" t="s">
        <v>13</v>
      </c>
      <c r="B1433" t="s">
        <v>2875</v>
      </c>
      <c r="C1433" t="s">
        <v>2876</v>
      </c>
      <c r="D1433">
        <v>3443.4</v>
      </c>
      <c r="E1433">
        <v>3443.4</v>
      </c>
      <c r="F1433">
        <v>1.231</v>
      </c>
      <c r="G1433">
        <v>0</v>
      </c>
      <c r="H1433">
        <v>0.423883</v>
      </c>
      <c r="I1433">
        <v>0.423194</v>
      </c>
      <c r="J1433">
        <v>0.000689</v>
      </c>
      <c r="K1433" s="4">
        <f t="shared" si="66"/>
        <v>0.00162809491627953</v>
      </c>
      <c r="L1433" s="4">
        <f t="shared" si="67"/>
        <v>0</v>
      </c>
      <c r="M1433" s="18">
        <f t="shared" si="68"/>
        <v>0</v>
      </c>
    </row>
    <row r="1434" spans="1:13">
      <c r="A1434" t="s">
        <v>13</v>
      </c>
      <c r="B1434" t="s">
        <v>2877</v>
      </c>
      <c r="C1434" t="s">
        <v>2878</v>
      </c>
      <c r="D1434">
        <v>3764.3</v>
      </c>
      <c r="E1434">
        <v>3764.3</v>
      </c>
      <c r="F1434">
        <v>1.249</v>
      </c>
      <c r="G1434">
        <v>0</v>
      </c>
      <c r="H1434">
        <v>0.470161</v>
      </c>
      <c r="I1434">
        <v>0.469032</v>
      </c>
      <c r="J1434">
        <v>0.001129</v>
      </c>
      <c r="K1434" s="4">
        <f t="shared" si="66"/>
        <v>0.00240708523085845</v>
      </c>
      <c r="L1434" s="4">
        <f t="shared" si="67"/>
        <v>0</v>
      </c>
      <c r="M1434" s="18">
        <f t="shared" si="68"/>
        <v>0</v>
      </c>
    </row>
    <row r="1435" spans="1:13">
      <c r="A1435" t="s">
        <v>13</v>
      </c>
      <c r="B1435" t="s">
        <v>2879</v>
      </c>
      <c r="C1435" t="s">
        <v>2880</v>
      </c>
      <c r="D1435">
        <v>15870.5</v>
      </c>
      <c r="E1435">
        <v>15870.5</v>
      </c>
      <c r="F1435">
        <v>1.161</v>
      </c>
      <c r="G1435">
        <v>0</v>
      </c>
      <c r="H1435">
        <v>1.842565</v>
      </c>
      <c r="I1435">
        <v>1.837804</v>
      </c>
      <c r="J1435">
        <v>0.004761</v>
      </c>
      <c r="K1435" s="4">
        <f t="shared" si="66"/>
        <v>0.00259059181501401</v>
      </c>
      <c r="L1435" s="4">
        <f t="shared" si="67"/>
        <v>0</v>
      </c>
      <c r="M1435" s="18">
        <f t="shared" si="68"/>
        <v>0</v>
      </c>
    </row>
    <row r="1436" spans="1:13">
      <c r="A1436" t="s">
        <v>13</v>
      </c>
      <c r="B1436" t="s">
        <v>2881</v>
      </c>
      <c r="C1436" t="s">
        <v>2882</v>
      </c>
      <c r="D1436">
        <v>15846</v>
      </c>
      <c r="E1436">
        <v>15846</v>
      </c>
      <c r="F1436">
        <v>1.304</v>
      </c>
      <c r="G1436">
        <v>0</v>
      </c>
      <c r="H1436">
        <v>2.066318</v>
      </c>
      <c r="I1436">
        <v>2.05998</v>
      </c>
      <c r="J1436">
        <v>0.006338</v>
      </c>
      <c r="K1436" s="4">
        <f t="shared" si="66"/>
        <v>0.00307672890028059</v>
      </c>
      <c r="L1436" s="4">
        <f t="shared" si="67"/>
        <v>0</v>
      </c>
      <c r="M1436" s="18">
        <f t="shared" si="68"/>
        <v>0</v>
      </c>
    </row>
    <row r="1437" spans="1:13">
      <c r="A1437" t="s">
        <v>13</v>
      </c>
      <c r="B1437" t="s">
        <v>2883</v>
      </c>
      <c r="C1437" t="s">
        <v>2884</v>
      </c>
      <c r="D1437">
        <v>5714.9</v>
      </c>
      <c r="E1437">
        <v>5914.9</v>
      </c>
      <c r="G1437">
        <v>-200</v>
      </c>
      <c r="H1437">
        <v>0.710971</v>
      </c>
      <c r="I1437">
        <v>0.710971</v>
      </c>
      <c r="J1437">
        <v>0</v>
      </c>
      <c r="K1437" s="4">
        <f t="shared" si="66"/>
        <v>0</v>
      </c>
      <c r="L1437" s="4">
        <f t="shared" si="67"/>
        <v>-0.0338129131515326</v>
      </c>
      <c r="M1437" s="18">
        <f t="shared" si="68"/>
        <v>0</v>
      </c>
    </row>
    <row r="1438" spans="1:13">
      <c r="A1438" t="s">
        <v>13</v>
      </c>
      <c r="B1438" t="s">
        <v>2885</v>
      </c>
      <c r="C1438" t="s">
        <v>2886</v>
      </c>
      <c r="D1438">
        <v>12089.19</v>
      </c>
      <c r="E1438">
        <v>12289.19</v>
      </c>
      <c r="G1438">
        <v>-200</v>
      </c>
      <c r="H1438">
        <v>1.458727</v>
      </c>
      <c r="I1438">
        <v>1.455041</v>
      </c>
      <c r="J1438">
        <v>0.003686</v>
      </c>
      <c r="K1438" s="4">
        <f t="shared" si="66"/>
        <v>0.00253326194931964</v>
      </c>
      <c r="L1438" s="4">
        <f t="shared" si="67"/>
        <v>-0.0162744656075787</v>
      </c>
      <c r="M1438" s="18">
        <f t="shared" si="68"/>
        <v>0</v>
      </c>
    </row>
    <row r="1439" spans="1:13">
      <c r="A1439" t="s">
        <v>13</v>
      </c>
      <c r="B1439" t="s">
        <v>2887</v>
      </c>
      <c r="C1439" t="s">
        <v>2888</v>
      </c>
      <c r="D1439">
        <v>1620.18</v>
      </c>
      <c r="E1439">
        <v>1620.18</v>
      </c>
      <c r="F1439">
        <v>1.237</v>
      </c>
      <c r="G1439">
        <v>0</v>
      </c>
      <c r="H1439">
        <v>0.200417</v>
      </c>
      <c r="I1439">
        <v>0.200579</v>
      </c>
      <c r="J1439">
        <v>-0.000162</v>
      </c>
      <c r="K1439" s="4">
        <f t="shared" si="66"/>
        <v>-0.000807661819033897</v>
      </c>
      <c r="L1439" s="4">
        <f t="shared" si="67"/>
        <v>0</v>
      </c>
      <c r="M1439" s="18">
        <f t="shared" si="68"/>
        <v>0</v>
      </c>
    </row>
    <row r="1440" spans="1:13">
      <c r="A1440" t="s">
        <v>13</v>
      </c>
      <c r="B1440" t="s">
        <v>2889</v>
      </c>
      <c r="C1440" t="s">
        <v>2890</v>
      </c>
      <c r="D1440">
        <v>4933.6</v>
      </c>
      <c r="E1440">
        <v>5583.6</v>
      </c>
      <c r="F1440">
        <v>1.017</v>
      </c>
      <c r="G1440">
        <v>-650</v>
      </c>
      <c r="H1440">
        <v>0.567852</v>
      </c>
      <c r="I1440">
        <v>0.580136</v>
      </c>
      <c r="J1440">
        <v>-0.012284</v>
      </c>
      <c r="K1440" s="4">
        <f t="shared" si="66"/>
        <v>-0.0211743453259236</v>
      </c>
      <c r="L1440" s="4">
        <f t="shared" si="67"/>
        <v>-0.116412350454904</v>
      </c>
      <c r="M1440" s="18">
        <f t="shared" si="68"/>
        <v>-0.066105</v>
      </c>
    </row>
    <row r="1441" spans="1:13">
      <c r="A1441" t="s">
        <v>13</v>
      </c>
      <c r="B1441" t="s">
        <v>2891</v>
      </c>
      <c r="C1441" t="s">
        <v>2892</v>
      </c>
      <c r="D1441">
        <v>8004.81</v>
      </c>
      <c r="E1441">
        <v>8004.81</v>
      </c>
      <c r="F1441">
        <v>101.569</v>
      </c>
      <c r="G1441">
        <v>0</v>
      </c>
      <c r="H1441">
        <v>81.304053</v>
      </c>
      <c r="I1441">
        <v>81.255223</v>
      </c>
      <c r="J1441">
        <v>0.04883</v>
      </c>
      <c r="K1441" s="4">
        <f t="shared" si="66"/>
        <v>0.000600945984727652</v>
      </c>
      <c r="L1441" s="4">
        <f t="shared" si="67"/>
        <v>0</v>
      </c>
      <c r="M1441" s="18">
        <f t="shared" si="68"/>
        <v>0</v>
      </c>
    </row>
    <row r="1442" spans="1:13">
      <c r="A1442" t="s">
        <v>13</v>
      </c>
      <c r="B1442" t="s">
        <v>2893</v>
      </c>
      <c r="C1442" t="s">
        <v>2894</v>
      </c>
      <c r="D1442">
        <v>17622</v>
      </c>
      <c r="E1442">
        <v>17562</v>
      </c>
      <c r="F1442">
        <v>101.5</v>
      </c>
      <c r="G1442">
        <v>60</v>
      </c>
      <c r="H1442">
        <v>178.254259</v>
      </c>
      <c r="I1442">
        <v>177.758897</v>
      </c>
      <c r="J1442">
        <v>0.495362</v>
      </c>
      <c r="K1442" s="4">
        <f t="shared" si="66"/>
        <v>0.0027867072104976</v>
      </c>
      <c r="L1442" s="4">
        <f t="shared" si="67"/>
        <v>0.00341646737273659</v>
      </c>
      <c r="M1442" s="18">
        <f t="shared" si="68"/>
        <v>0.609</v>
      </c>
    </row>
    <row r="1443" spans="1:13">
      <c r="A1443" t="s">
        <v>13</v>
      </c>
      <c r="B1443" t="s">
        <v>2895</v>
      </c>
      <c r="C1443" t="s">
        <v>2896</v>
      </c>
      <c r="D1443">
        <v>5823.1</v>
      </c>
      <c r="E1443">
        <v>5803.1</v>
      </c>
      <c r="F1443">
        <v>101.515</v>
      </c>
      <c r="G1443">
        <v>20</v>
      </c>
      <c r="H1443">
        <v>58.910119</v>
      </c>
      <c r="I1443">
        <v>58.5871</v>
      </c>
      <c r="J1443">
        <v>0.323019</v>
      </c>
      <c r="K1443" s="4">
        <f t="shared" si="66"/>
        <v>0.00551348334360294</v>
      </c>
      <c r="L1443" s="4">
        <f t="shared" si="67"/>
        <v>0.00344643380262274</v>
      </c>
      <c r="M1443" s="18">
        <f t="shared" si="68"/>
        <v>0.20303</v>
      </c>
    </row>
    <row r="1444" spans="1:13">
      <c r="A1444" t="s">
        <v>13</v>
      </c>
      <c r="B1444" t="s">
        <v>2897</v>
      </c>
      <c r="C1444" t="s">
        <v>2898</v>
      </c>
      <c r="D1444">
        <v>4886.75</v>
      </c>
      <c r="E1444">
        <v>5086.75</v>
      </c>
      <c r="F1444">
        <v>101.79</v>
      </c>
      <c r="G1444">
        <v>-200</v>
      </c>
      <c r="H1444">
        <v>51.778069</v>
      </c>
      <c r="I1444">
        <v>53.779505</v>
      </c>
      <c r="J1444">
        <v>-2.001436</v>
      </c>
      <c r="K1444" s="4">
        <f t="shared" si="66"/>
        <v>-0.0372155898422643</v>
      </c>
      <c r="L1444" s="4">
        <f t="shared" si="67"/>
        <v>-0.0393178355531528</v>
      </c>
      <c r="M1444" s="18">
        <f t="shared" si="68"/>
        <v>-2.0358</v>
      </c>
    </row>
    <row r="1445" spans="1:13">
      <c r="A1445" t="s">
        <v>13</v>
      </c>
      <c r="B1445" t="s">
        <v>2899</v>
      </c>
      <c r="C1445" t="s">
        <v>2900</v>
      </c>
      <c r="D1445">
        <v>10652</v>
      </c>
      <c r="E1445">
        <v>10627</v>
      </c>
      <c r="F1445">
        <v>101.819</v>
      </c>
      <c r="G1445">
        <v>25</v>
      </c>
      <c r="H1445">
        <v>108.203094</v>
      </c>
      <c r="I1445">
        <v>108.151022</v>
      </c>
      <c r="J1445">
        <v>0.052072</v>
      </c>
      <c r="K1445" s="4">
        <f t="shared" si="66"/>
        <v>0.000481474876862467</v>
      </c>
      <c r="L1445" s="4">
        <f t="shared" si="67"/>
        <v>0.00235249835325115</v>
      </c>
      <c r="M1445" s="18">
        <f t="shared" si="68"/>
        <v>0.2545475</v>
      </c>
    </row>
    <row r="1446" spans="1:13">
      <c r="A1446" t="s">
        <v>13</v>
      </c>
      <c r="B1446" t="s">
        <v>2901</v>
      </c>
      <c r="C1446" t="s">
        <v>2902</v>
      </c>
      <c r="D1446">
        <v>12599.61</v>
      </c>
      <c r="E1446">
        <v>12279.61</v>
      </c>
      <c r="F1446">
        <v>101.969</v>
      </c>
      <c r="G1446">
        <v>320</v>
      </c>
      <c r="H1446">
        <v>125.214</v>
      </c>
      <c r="I1446">
        <v>124.649122</v>
      </c>
      <c r="J1446">
        <v>0.564878</v>
      </c>
      <c r="K1446" s="4">
        <f t="shared" si="66"/>
        <v>0.00453174471618019</v>
      </c>
      <c r="L1446" s="4">
        <f t="shared" si="67"/>
        <v>0.0260594595430962</v>
      </c>
      <c r="M1446" s="18">
        <f t="shared" si="68"/>
        <v>3.263008</v>
      </c>
    </row>
    <row r="1447" spans="1:13">
      <c r="A1447" t="s">
        <v>13</v>
      </c>
      <c r="B1447" t="s">
        <v>2903</v>
      </c>
      <c r="C1447" t="s">
        <v>2904</v>
      </c>
      <c r="D1447">
        <v>18502.16</v>
      </c>
      <c r="E1447">
        <v>18502.16</v>
      </c>
      <c r="F1447">
        <v>101.644</v>
      </c>
      <c r="G1447">
        <v>0</v>
      </c>
      <c r="H1447">
        <v>188.063392</v>
      </c>
      <c r="I1447">
        <v>175.339098</v>
      </c>
      <c r="J1447">
        <v>12.724294</v>
      </c>
      <c r="K1447" s="4">
        <f t="shared" si="66"/>
        <v>0.0725696330432817</v>
      </c>
      <c r="L1447" s="4">
        <f t="shared" si="67"/>
        <v>0</v>
      </c>
      <c r="M1447" s="18">
        <f t="shared" si="68"/>
        <v>0</v>
      </c>
    </row>
    <row r="1448" spans="1:13">
      <c r="A1448" t="s">
        <v>13</v>
      </c>
      <c r="B1448" t="s">
        <v>2905</v>
      </c>
      <c r="C1448" t="s">
        <v>2906</v>
      </c>
      <c r="D1448">
        <v>16614.82</v>
      </c>
      <c r="E1448">
        <v>16613.82</v>
      </c>
      <c r="F1448">
        <v>101.362</v>
      </c>
      <c r="G1448">
        <v>1</v>
      </c>
      <c r="H1448">
        <v>168.400982</v>
      </c>
      <c r="I1448">
        <v>168.133542</v>
      </c>
      <c r="J1448">
        <v>0.26744</v>
      </c>
      <c r="K1448" s="4">
        <f t="shared" si="66"/>
        <v>0.0015906403732338</v>
      </c>
      <c r="L1448" s="4">
        <f t="shared" si="67"/>
        <v>6.01908531571908e-5</v>
      </c>
      <c r="M1448" s="18">
        <f t="shared" si="68"/>
        <v>0.0101362</v>
      </c>
    </row>
    <row r="1449" spans="1:13">
      <c r="A1449" t="s">
        <v>13</v>
      </c>
      <c r="B1449" t="s">
        <v>2907</v>
      </c>
      <c r="C1449" t="s">
        <v>2908</v>
      </c>
      <c r="D1449">
        <v>17060.88</v>
      </c>
      <c r="E1449">
        <v>17045.88</v>
      </c>
      <c r="F1449">
        <v>101.545</v>
      </c>
      <c r="G1449">
        <v>15</v>
      </c>
      <c r="H1449">
        <v>173.092374</v>
      </c>
      <c r="I1449">
        <v>172.55865</v>
      </c>
      <c r="J1449">
        <v>0.533724</v>
      </c>
      <c r="K1449" s="4">
        <f t="shared" si="66"/>
        <v>0.00309300055372478</v>
      </c>
      <c r="L1449" s="4">
        <f t="shared" si="67"/>
        <v>0.000879978035748228</v>
      </c>
      <c r="M1449" s="18">
        <f t="shared" si="68"/>
        <v>0.1523175</v>
      </c>
    </row>
    <row r="1450" spans="1:13">
      <c r="A1450" t="s">
        <v>13</v>
      </c>
      <c r="B1450" t="s">
        <v>2909</v>
      </c>
      <c r="C1450" t="s">
        <v>2910</v>
      </c>
      <c r="D1450">
        <v>11377.68</v>
      </c>
      <c r="E1450">
        <v>11108.68</v>
      </c>
      <c r="F1450">
        <v>101.855</v>
      </c>
      <c r="G1450">
        <v>269</v>
      </c>
      <c r="H1450">
        <v>113.147414</v>
      </c>
      <c r="I1450">
        <v>113.089649</v>
      </c>
      <c r="J1450">
        <v>0.057765</v>
      </c>
      <c r="K1450" s="4">
        <f t="shared" si="66"/>
        <v>0.0005107894534185</v>
      </c>
      <c r="L1450" s="4">
        <f t="shared" si="67"/>
        <v>0.0242152983072696</v>
      </c>
      <c r="M1450" s="18">
        <f t="shared" si="68"/>
        <v>2.7398995</v>
      </c>
    </row>
    <row r="1451" spans="1:13">
      <c r="A1451" t="s">
        <v>13</v>
      </c>
      <c r="B1451" t="s">
        <v>2911</v>
      </c>
      <c r="C1451" t="s">
        <v>2912</v>
      </c>
      <c r="D1451">
        <v>12046.14</v>
      </c>
      <c r="E1451">
        <v>12046.14</v>
      </c>
      <c r="F1451">
        <v>100.72</v>
      </c>
      <c r="G1451">
        <v>0</v>
      </c>
      <c r="H1451">
        <v>121.32874</v>
      </c>
      <c r="I1451">
        <v>121.286579</v>
      </c>
      <c r="J1451">
        <v>0.042161</v>
      </c>
      <c r="K1451" s="4">
        <f t="shared" si="66"/>
        <v>0.000347614718360553</v>
      </c>
      <c r="L1451" s="4">
        <f t="shared" si="67"/>
        <v>0</v>
      </c>
      <c r="M1451" s="18">
        <f t="shared" si="68"/>
        <v>0</v>
      </c>
    </row>
    <row r="1452" spans="1:13">
      <c r="A1452" t="s">
        <v>13</v>
      </c>
      <c r="B1452" t="s">
        <v>2913</v>
      </c>
      <c r="C1452" t="s">
        <v>2914</v>
      </c>
      <c r="D1452">
        <v>14250.17</v>
      </c>
      <c r="E1452">
        <v>14230.17</v>
      </c>
      <c r="F1452">
        <v>101.424</v>
      </c>
      <c r="G1452">
        <v>20</v>
      </c>
      <c r="H1452">
        <v>144.328025</v>
      </c>
      <c r="I1452">
        <v>143.964113</v>
      </c>
      <c r="J1452">
        <v>0.363912</v>
      </c>
      <c r="K1452" s="4">
        <f t="shared" si="66"/>
        <v>0.00252779663220653</v>
      </c>
      <c r="L1452" s="4">
        <f t="shared" si="67"/>
        <v>0.00140546458686017</v>
      </c>
      <c r="M1452" s="18">
        <f t="shared" si="68"/>
        <v>0.202848</v>
      </c>
    </row>
    <row r="1453" spans="1:13">
      <c r="A1453" t="s">
        <v>13</v>
      </c>
      <c r="B1453" t="s">
        <v>2915</v>
      </c>
      <c r="C1453" t="s">
        <v>2916</v>
      </c>
      <c r="D1453">
        <v>702.29</v>
      </c>
      <c r="E1453">
        <v>702.29</v>
      </c>
      <c r="F1453">
        <v>0.939</v>
      </c>
      <c r="G1453">
        <v>0</v>
      </c>
      <c r="H1453">
        <v>0.065945</v>
      </c>
      <c r="I1453">
        <v>0.065945</v>
      </c>
      <c r="J1453">
        <v>0</v>
      </c>
      <c r="K1453" s="4">
        <f t="shared" si="66"/>
        <v>0</v>
      </c>
      <c r="L1453" s="4">
        <f t="shared" si="67"/>
        <v>0</v>
      </c>
      <c r="M1453" s="18">
        <f t="shared" si="68"/>
        <v>0</v>
      </c>
    </row>
    <row r="1454" spans="1:13">
      <c r="A1454" t="s">
        <v>13</v>
      </c>
      <c r="B1454" t="s">
        <v>2917</v>
      </c>
      <c r="C1454" t="s">
        <v>2918</v>
      </c>
      <c r="D1454">
        <v>107262.17</v>
      </c>
      <c r="E1454">
        <v>99062.17</v>
      </c>
      <c r="G1454">
        <v>8200</v>
      </c>
      <c r="H1454">
        <v>35.999194</v>
      </c>
      <c r="I1454">
        <v>32.377341</v>
      </c>
      <c r="J1454">
        <v>3.621853</v>
      </c>
      <c r="K1454" s="4">
        <f t="shared" si="66"/>
        <v>0.111863818588438</v>
      </c>
      <c r="L1454" s="4">
        <f t="shared" si="67"/>
        <v>0.0827763009835137</v>
      </c>
      <c r="M1454" s="18">
        <f t="shared" si="68"/>
        <v>0</v>
      </c>
    </row>
    <row r="1455" spans="1:13">
      <c r="A1455" t="s">
        <v>13</v>
      </c>
      <c r="B1455" t="s">
        <v>2919</v>
      </c>
      <c r="C1455" t="s">
        <v>2920</v>
      </c>
      <c r="D1455">
        <v>11456.2</v>
      </c>
      <c r="E1455">
        <v>11356.2</v>
      </c>
      <c r="F1455">
        <v>1.056</v>
      </c>
      <c r="G1455">
        <v>100</v>
      </c>
      <c r="H1455">
        <v>1.199215</v>
      </c>
      <c r="I1455">
        <v>1.220792</v>
      </c>
      <c r="J1455">
        <v>-0.021577</v>
      </c>
      <c r="K1455" s="4">
        <f t="shared" si="66"/>
        <v>-0.0176745915766158</v>
      </c>
      <c r="L1455" s="4">
        <f t="shared" si="67"/>
        <v>0.00880576249097409</v>
      </c>
      <c r="M1455" s="18">
        <f t="shared" si="68"/>
        <v>0.01056</v>
      </c>
    </row>
    <row r="1456" spans="1:13">
      <c r="A1456" t="s">
        <v>13</v>
      </c>
      <c r="B1456" t="s">
        <v>2921</v>
      </c>
      <c r="C1456" t="s">
        <v>2922</v>
      </c>
      <c r="D1456">
        <v>2343.2</v>
      </c>
      <c r="E1456">
        <v>2343.2</v>
      </c>
      <c r="F1456">
        <v>1.237</v>
      </c>
      <c r="G1456">
        <v>0</v>
      </c>
      <c r="H1456">
        <v>0.289854</v>
      </c>
      <c r="I1456">
        <v>0.298055</v>
      </c>
      <c r="J1456">
        <v>-0.008201</v>
      </c>
      <c r="K1456" s="4">
        <f t="shared" si="66"/>
        <v>-0.0275150559460502</v>
      </c>
      <c r="L1456" s="4">
        <f t="shared" si="67"/>
        <v>0</v>
      </c>
      <c r="M1456" s="18">
        <f t="shared" si="68"/>
        <v>0</v>
      </c>
    </row>
    <row r="1457" spans="1:13">
      <c r="A1457" t="s">
        <v>13</v>
      </c>
      <c r="B1457" t="s">
        <v>2923</v>
      </c>
      <c r="C1457" t="s">
        <v>2924</v>
      </c>
      <c r="D1457">
        <v>241243.44</v>
      </c>
      <c r="E1457">
        <v>238493.44</v>
      </c>
      <c r="G1457">
        <v>2750</v>
      </c>
      <c r="H1457">
        <v>27.593691</v>
      </c>
      <c r="I1457">
        <v>27.31695</v>
      </c>
      <c r="J1457">
        <v>0.276741</v>
      </c>
      <c r="K1457" s="4">
        <f t="shared" si="66"/>
        <v>0.0101307430002251</v>
      </c>
      <c r="L1457" s="4">
        <f t="shared" si="67"/>
        <v>0.0115307154779603</v>
      </c>
      <c r="M1457" s="18">
        <f t="shared" si="68"/>
        <v>0</v>
      </c>
    </row>
    <row r="1458" spans="1:13">
      <c r="A1458" t="s">
        <v>13</v>
      </c>
      <c r="B1458" t="s">
        <v>2925</v>
      </c>
      <c r="C1458" t="s">
        <v>2926</v>
      </c>
      <c r="D1458">
        <v>7709</v>
      </c>
      <c r="E1458">
        <v>7709</v>
      </c>
      <c r="F1458">
        <v>1.006</v>
      </c>
      <c r="G1458">
        <v>0</v>
      </c>
      <c r="H1458">
        <v>0.775525</v>
      </c>
      <c r="I1458">
        <v>0.778609</v>
      </c>
      <c r="J1458">
        <v>-0.003084</v>
      </c>
      <c r="K1458" s="4">
        <f t="shared" si="66"/>
        <v>-0.00396090977628052</v>
      </c>
      <c r="L1458" s="4">
        <f t="shared" si="67"/>
        <v>0</v>
      </c>
      <c r="M1458" s="18">
        <f t="shared" si="68"/>
        <v>0</v>
      </c>
    </row>
    <row r="1459" spans="1:13">
      <c r="A1459" t="s">
        <v>13</v>
      </c>
      <c r="B1459" t="s">
        <v>2927</v>
      </c>
      <c r="C1459" t="s">
        <v>2928</v>
      </c>
      <c r="D1459">
        <v>13036.23</v>
      </c>
      <c r="E1459">
        <v>13036.23</v>
      </c>
      <c r="F1459">
        <v>1.111</v>
      </c>
      <c r="G1459">
        <v>0</v>
      </c>
      <c r="H1459">
        <v>1.448325</v>
      </c>
      <c r="I1459">
        <v>1.482669</v>
      </c>
      <c r="J1459">
        <v>-0.034344</v>
      </c>
      <c r="K1459" s="4">
        <f t="shared" si="66"/>
        <v>-0.0231636326111897</v>
      </c>
      <c r="L1459" s="4">
        <f t="shared" si="67"/>
        <v>0</v>
      </c>
      <c r="M1459" s="18">
        <f t="shared" si="68"/>
        <v>0</v>
      </c>
    </row>
    <row r="1460" spans="1:13">
      <c r="A1460" t="s">
        <v>13</v>
      </c>
      <c r="B1460" t="s">
        <v>2929</v>
      </c>
      <c r="C1460" t="s">
        <v>2930</v>
      </c>
      <c r="D1460">
        <v>264476.5</v>
      </c>
      <c r="E1460">
        <v>265926.5</v>
      </c>
      <c r="F1460">
        <v>0.896</v>
      </c>
      <c r="G1460">
        <v>-1450</v>
      </c>
      <c r="H1460">
        <v>23.827014</v>
      </c>
      <c r="I1460">
        <v>23.90539</v>
      </c>
      <c r="J1460">
        <v>-0.078376</v>
      </c>
      <c r="K1460" s="4">
        <f t="shared" si="66"/>
        <v>-0.00327859114618084</v>
      </c>
      <c r="L1460" s="4">
        <f t="shared" si="67"/>
        <v>-0.00545263446854676</v>
      </c>
      <c r="M1460" s="18">
        <f t="shared" si="68"/>
        <v>-0.12992</v>
      </c>
    </row>
    <row r="1461" spans="1:13">
      <c r="A1461" t="s">
        <v>13</v>
      </c>
      <c r="B1461" t="s">
        <v>2931</v>
      </c>
      <c r="C1461" t="s">
        <v>2932</v>
      </c>
      <c r="D1461">
        <v>230586.5</v>
      </c>
      <c r="E1461">
        <v>230986.5</v>
      </c>
      <c r="F1461">
        <v>1.127</v>
      </c>
      <c r="G1461">
        <v>-400</v>
      </c>
      <c r="H1461">
        <v>26.032179</v>
      </c>
      <c r="I1461">
        <v>26.985834</v>
      </c>
      <c r="J1461">
        <v>-0.953655</v>
      </c>
      <c r="K1461" s="4">
        <f t="shared" si="66"/>
        <v>-0.0353390968016775</v>
      </c>
      <c r="L1461" s="4">
        <f t="shared" si="67"/>
        <v>-0.00173170293502001</v>
      </c>
      <c r="M1461" s="18">
        <f t="shared" si="68"/>
        <v>-0.04508</v>
      </c>
    </row>
    <row r="1462" spans="1:13">
      <c r="A1462" t="s">
        <v>13</v>
      </c>
      <c r="B1462" t="s">
        <v>2933</v>
      </c>
      <c r="C1462" t="s">
        <v>2934</v>
      </c>
      <c r="D1462">
        <v>5958.03</v>
      </c>
      <c r="E1462">
        <v>5958.03</v>
      </c>
      <c r="F1462">
        <v>1.469</v>
      </c>
      <c r="G1462">
        <v>0</v>
      </c>
      <c r="H1462">
        <v>0.875235</v>
      </c>
      <c r="I1462">
        <v>0.869873</v>
      </c>
      <c r="J1462">
        <v>0.005362</v>
      </c>
      <c r="K1462" s="4">
        <f t="shared" si="66"/>
        <v>0.00616411821035944</v>
      </c>
      <c r="L1462" s="4">
        <f t="shared" si="67"/>
        <v>0</v>
      </c>
      <c r="M1462" s="18">
        <f t="shared" si="68"/>
        <v>0</v>
      </c>
    </row>
    <row r="1463" spans="1:13">
      <c r="A1463" t="s">
        <v>13</v>
      </c>
      <c r="B1463" t="s">
        <v>2935</v>
      </c>
      <c r="C1463" t="s">
        <v>2936</v>
      </c>
      <c r="D1463">
        <v>13390.35</v>
      </c>
      <c r="E1463">
        <v>13390.35</v>
      </c>
      <c r="F1463">
        <v>1.31</v>
      </c>
      <c r="G1463">
        <v>0</v>
      </c>
      <c r="H1463">
        <v>1.754136</v>
      </c>
      <c r="I1463">
        <v>1.740746</v>
      </c>
      <c r="J1463">
        <v>0.01339</v>
      </c>
      <c r="K1463" s="4">
        <f t="shared" si="66"/>
        <v>0.00769210441959941</v>
      </c>
      <c r="L1463" s="4">
        <f t="shared" si="67"/>
        <v>0</v>
      </c>
      <c r="M1463" s="18">
        <f t="shared" si="68"/>
        <v>0</v>
      </c>
    </row>
    <row r="1464" spans="1:13">
      <c r="A1464" t="s">
        <v>13</v>
      </c>
      <c r="B1464" t="s">
        <v>2937</v>
      </c>
      <c r="C1464" t="s">
        <v>2938</v>
      </c>
      <c r="D1464">
        <v>68468.9</v>
      </c>
      <c r="E1464">
        <v>69668.9</v>
      </c>
      <c r="F1464">
        <v>1.158</v>
      </c>
      <c r="G1464">
        <v>-1200</v>
      </c>
      <c r="H1464">
        <v>8.067659</v>
      </c>
      <c r="I1464">
        <v>8.277676</v>
      </c>
      <c r="J1464">
        <v>-0.210017</v>
      </c>
      <c r="K1464" s="4">
        <f t="shared" si="66"/>
        <v>-0.0253714931582246</v>
      </c>
      <c r="L1464" s="4">
        <f t="shared" si="67"/>
        <v>-0.0172243282153156</v>
      </c>
      <c r="M1464" s="18">
        <f t="shared" si="68"/>
        <v>-0.13896</v>
      </c>
    </row>
    <row r="1465" spans="1:13">
      <c r="A1465" t="s">
        <v>13</v>
      </c>
      <c r="B1465" t="s">
        <v>2939</v>
      </c>
      <c r="C1465" t="s">
        <v>2940</v>
      </c>
      <c r="D1465">
        <v>7477.62</v>
      </c>
      <c r="E1465">
        <v>7477.62</v>
      </c>
      <c r="F1465">
        <v>0.875</v>
      </c>
      <c r="G1465">
        <v>0</v>
      </c>
      <c r="H1465">
        <v>0.654292</v>
      </c>
      <c r="I1465">
        <v>0.663265</v>
      </c>
      <c r="J1465">
        <v>-0.008973</v>
      </c>
      <c r="K1465" s="4">
        <f t="shared" si="66"/>
        <v>-0.0135285293208597</v>
      </c>
      <c r="L1465" s="4">
        <f t="shared" si="67"/>
        <v>0</v>
      </c>
      <c r="M1465" s="18">
        <f t="shared" si="68"/>
        <v>0</v>
      </c>
    </row>
    <row r="1466" spans="1:13">
      <c r="A1466" t="s">
        <v>13</v>
      </c>
      <c r="B1466" t="s">
        <v>2941</v>
      </c>
      <c r="C1466" t="s">
        <v>2942</v>
      </c>
      <c r="D1466">
        <v>68327.93</v>
      </c>
      <c r="E1466">
        <v>68327.93</v>
      </c>
      <c r="F1466">
        <v>1.074</v>
      </c>
      <c r="G1466">
        <v>0</v>
      </c>
      <c r="H1466">
        <v>7.338419</v>
      </c>
      <c r="I1466">
        <v>7.502406</v>
      </c>
      <c r="J1466">
        <v>-0.163987</v>
      </c>
      <c r="K1466" s="4">
        <f t="shared" si="66"/>
        <v>-0.0218579213121764</v>
      </c>
      <c r="L1466" s="4">
        <f t="shared" si="67"/>
        <v>0</v>
      </c>
      <c r="M1466" s="18">
        <f t="shared" si="68"/>
        <v>0</v>
      </c>
    </row>
    <row r="1467" spans="1:13">
      <c r="A1467" t="s">
        <v>13</v>
      </c>
      <c r="B1467" t="s">
        <v>2943</v>
      </c>
      <c r="C1467" t="s">
        <v>2944</v>
      </c>
      <c r="D1467">
        <v>12270.6</v>
      </c>
      <c r="E1467">
        <v>12370.6</v>
      </c>
      <c r="F1467">
        <v>0.881</v>
      </c>
      <c r="G1467">
        <v>-100</v>
      </c>
      <c r="H1467">
        <v>1.08985</v>
      </c>
      <c r="I1467">
        <v>1.103458</v>
      </c>
      <c r="J1467">
        <v>-0.013608</v>
      </c>
      <c r="K1467" s="4">
        <f t="shared" si="66"/>
        <v>-0.0123321413230046</v>
      </c>
      <c r="L1467" s="4">
        <f t="shared" si="67"/>
        <v>-0.00808368227895171</v>
      </c>
      <c r="M1467" s="18">
        <f t="shared" si="68"/>
        <v>-0.00881</v>
      </c>
    </row>
    <row r="1468" spans="1:13">
      <c r="A1468" t="s">
        <v>13</v>
      </c>
      <c r="B1468" t="s">
        <v>2945</v>
      </c>
      <c r="C1468" t="s">
        <v>2946</v>
      </c>
      <c r="D1468">
        <v>28499.55</v>
      </c>
      <c r="E1468">
        <v>28099.55</v>
      </c>
      <c r="F1468">
        <v>1.429</v>
      </c>
      <c r="G1468">
        <v>400</v>
      </c>
      <c r="H1468">
        <v>4.015426</v>
      </c>
      <c r="I1468">
        <v>3.858417</v>
      </c>
      <c r="J1468">
        <v>0.157009</v>
      </c>
      <c r="K1468" s="4">
        <f t="shared" si="66"/>
        <v>0.0406925949165163</v>
      </c>
      <c r="L1468" s="4">
        <f t="shared" si="67"/>
        <v>0.0142351034091293</v>
      </c>
      <c r="M1468" s="18">
        <f t="shared" si="68"/>
        <v>0.05716</v>
      </c>
    </row>
    <row r="1469" spans="1:13">
      <c r="A1469" t="s">
        <v>13</v>
      </c>
      <c r="B1469" t="s">
        <v>2947</v>
      </c>
      <c r="C1469" t="s">
        <v>2948</v>
      </c>
      <c r="D1469">
        <v>1560.3</v>
      </c>
      <c r="E1469">
        <v>1560.3</v>
      </c>
      <c r="F1469">
        <v>1.259</v>
      </c>
      <c r="G1469">
        <v>0</v>
      </c>
      <c r="H1469">
        <v>0.196442</v>
      </c>
      <c r="I1469">
        <v>0.195974</v>
      </c>
      <c r="J1469">
        <v>0.000468</v>
      </c>
      <c r="K1469" s="4">
        <f t="shared" si="66"/>
        <v>0.00238807188708706</v>
      </c>
      <c r="L1469" s="4">
        <f t="shared" si="67"/>
        <v>0</v>
      </c>
      <c r="M1469" s="18">
        <f t="shared" si="68"/>
        <v>0</v>
      </c>
    </row>
    <row r="1470" spans="1:13">
      <c r="A1470" t="s">
        <v>13</v>
      </c>
      <c r="B1470" t="s">
        <v>2949</v>
      </c>
      <c r="C1470" t="s">
        <v>2950</v>
      </c>
      <c r="D1470">
        <v>2033.4</v>
      </c>
      <c r="E1470">
        <v>2133.4</v>
      </c>
      <c r="F1470">
        <v>1.038</v>
      </c>
      <c r="G1470">
        <v>-100</v>
      </c>
      <c r="H1470">
        <v>0.221447</v>
      </c>
      <c r="I1470">
        <v>0.239867</v>
      </c>
      <c r="J1470">
        <v>-0.01842</v>
      </c>
      <c r="K1470" s="4">
        <f t="shared" si="66"/>
        <v>-0.0767925558747139</v>
      </c>
      <c r="L1470" s="4">
        <f t="shared" si="67"/>
        <v>-0.0468735352020249</v>
      </c>
      <c r="M1470" s="18">
        <f t="shared" si="68"/>
        <v>-0.01038</v>
      </c>
    </row>
    <row r="1471" spans="1:13">
      <c r="A1471" t="s">
        <v>13</v>
      </c>
      <c r="B1471" t="s">
        <v>2951</v>
      </c>
      <c r="C1471" t="s">
        <v>2952</v>
      </c>
      <c r="D1471">
        <v>58052.2</v>
      </c>
      <c r="E1471">
        <v>58952.2</v>
      </c>
      <c r="F1471">
        <v>0.736</v>
      </c>
      <c r="G1471">
        <v>-900</v>
      </c>
      <c r="H1471">
        <v>4.338882</v>
      </c>
      <c r="I1471">
        <v>4.427674</v>
      </c>
      <c r="J1471">
        <v>-0.088792</v>
      </c>
      <c r="K1471" s="4">
        <f t="shared" si="66"/>
        <v>-0.0200538702713885</v>
      </c>
      <c r="L1471" s="4">
        <f t="shared" si="67"/>
        <v>-0.0152666058264153</v>
      </c>
      <c r="M1471" s="18">
        <f t="shared" si="68"/>
        <v>-0.06624</v>
      </c>
    </row>
    <row r="1472" spans="1:13">
      <c r="A1472" t="s">
        <v>13</v>
      </c>
      <c r="B1472" t="s">
        <v>2953</v>
      </c>
      <c r="C1472" t="s">
        <v>2954</v>
      </c>
      <c r="D1472">
        <v>4871.7</v>
      </c>
      <c r="E1472">
        <v>4871.7</v>
      </c>
      <c r="F1472">
        <v>1.574</v>
      </c>
      <c r="G1472">
        <v>0</v>
      </c>
      <c r="H1472">
        <v>0.766806</v>
      </c>
      <c r="I1472">
        <v>0.76096</v>
      </c>
      <c r="J1472">
        <v>0.005846</v>
      </c>
      <c r="K1472" s="4">
        <f t="shared" si="66"/>
        <v>0.00768240117746005</v>
      </c>
      <c r="L1472" s="4">
        <f t="shared" si="67"/>
        <v>0</v>
      </c>
      <c r="M1472" s="18">
        <f t="shared" si="68"/>
        <v>0</v>
      </c>
    </row>
    <row r="1473" spans="1:13">
      <c r="A1473" t="s">
        <v>13</v>
      </c>
      <c r="B1473" t="s">
        <v>2955</v>
      </c>
      <c r="C1473" t="s">
        <v>2956</v>
      </c>
      <c r="D1473">
        <v>8388.9</v>
      </c>
      <c r="E1473">
        <v>8588.9</v>
      </c>
      <c r="F1473">
        <v>0.919</v>
      </c>
      <c r="G1473">
        <v>-200</v>
      </c>
      <c r="H1473">
        <v>0.78932</v>
      </c>
      <c r="I1473">
        <v>0.817368</v>
      </c>
      <c r="J1473">
        <v>-0.028048</v>
      </c>
      <c r="K1473" s="4">
        <f t="shared" si="66"/>
        <v>-0.0343150208963404</v>
      </c>
      <c r="L1473" s="4">
        <f t="shared" si="67"/>
        <v>-0.0232858689704153</v>
      </c>
      <c r="M1473" s="18">
        <f t="shared" si="68"/>
        <v>-0.01838</v>
      </c>
    </row>
    <row r="1474" spans="1:13">
      <c r="A1474" t="s">
        <v>13</v>
      </c>
      <c r="B1474" t="s">
        <v>2957</v>
      </c>
      <c r="C1474" t="s">
        <v>2958</v>
      </c>
      <c r="D1474">
        <v>29983.3</v>
      </c>
      <c r="E1474">
        <v>30433.3</v>
      </c>
      <c r="F1474">
        <v>0.93</v>
      </c>
      <c r="G1474">
        <v>-450</v>
      </c>
      <c r="H1474">
        <v>2.830297</v>
      </c>
      <c r="I1474">
        <v>2.877889</v>
      </c>
      <c r="J1474">
        <v>-0.047592</v>
      </c>
      <c r="K1474" s="4">
        <f t="shared" ref="K1474:K1537" si="69">IFERROR(J1474/I1474,"")</f>
        <v>-0.0165371214803629</v>
      </c>
      <c r="L1474" s="4">
        <f t="shared" ref="L1474:L1537" si="70">IFERROR((D1474-E1474)/E1474,"")</f>
        <v>-0.0147864345963139</v>
      </c>
      <c r="M1474" s="18">
        <f t="shared" ref="M1474:M1537" si="71">IFERROR(F1474*G1474/10000,"")</f>
        <v>-0.04185</v>
      </c>
    </row>
    <row r="1475" spans="1:13">
      <c r="A1475" t="s">
        <v>13</v>
      </c>
      <c r="B1475" t="s">
        <v>2959</v>
      </c>
      <c r="C1475" t="s">
        <v>2960</v>
      </c>
      <c r="D1475">
        <v>188066.47</v>
      </c>
      <c r="E1475">
        <v>188066.47</v>
      </c>
      <c r="F1475">
        <v>0.745</v>
      </c>
      <c r="G1475">
        <v>0</v>
      </c>
      <c r="H1475">
        <v>14.010952</v>
      </c>
      <c r="I1475">
        <v>13.878492</v>
      </c>
      <c r="J1475">
        <v>0.13246</v>
      </c>
      <c r="K1475" s="4">
        <f t="shared" si="69"/>
        <v>0.00954426460742277</v>
      </c>
      <c r="L1475" s="4">
        <f t="shared" si="70"/>
        <v>0</v>
      </c>
      <c r="M1475" s="18">
        <f t="shared" si="71"/>
        <v>0</v>
      </c>
    </row>
    <row r="1476" spans="1:13">
      <c r="A1476" t="s">
        <v>13</v>
      </c>
      <c r="B1476" t="s">
        <v>2961</v>
      </c>
      <c r="C1476" t="s">
        <v>2962</v>
      </c>
      <c r="D1476">
        <v>15493.9</v>
      </c>
      <c r="E1476">
        <v>14393.9</v>
      </c>
      <c r="F1476">
        <v>0.995</v>
      </c>
      <c r="G1476">
        <v>1100</v>
      </c>
      <c r="H1476">
        <v>1.432193</v>
      </c>
      <c r="I1476">
        <v>1.473119</v>
      </c>
      <c r="J1476">
        <v>-0.040926</v>
      </c>
      <c r="K1476" s="4">
        <f t="shared" si="69"/>
        <v>-0.0277818696249251</v>
      </c>
      <c r="L1476" s="4">
        <f t="shared" si="70"/>
        <v>0.0764212617845059</v>
      </c>
      <c r="M1476" s="18">
        <f t="shared" si="71"/>
        <v>0.10945</v>
      </c>
    </row>
    <row r="1477" spans="1:13">
      <c r="A1477" t="s">
        <v>13</v>
      </c>
      <c r="B1477" t="s">
        <v>2963</v>
      </c>
      <c r="C1477" t="s">
        <v>2964</v>
      </c>
      <c r="D1477">
        <v>199425.2</v>
      </c>
      <c r="E1477">
        <v>199775.2</v>
      </c>
      <c r="F1477">
        <v>1.648</v>
      </c>
      <c r="G1477">
        <v>-350</v>
      </c>
      <c r="H1477">
        <v>32.922953</v>
      </c>
      <c r="I1477">
        <v>33.482658</v>
      </c>
      <c r="J1477">
        <v>-0.559705</v>
      </c>
      <c r="K1477" s="4">
        <f t="shared" si="69"/>
        <v>-0.0167162654768925</v>
      </c>
      <c r="L1477" s="4">
        <f t="shared" si="70"/>
        <v>-0.00175196921339586</v>
      </c>
      <c r="M1477" s="18">
        <f t="shared" si="71"/>
        <v>-0.05768</v>
      </c>
    </row>
    <row r="1478" spans="1:13">
      <c r="A1478" t="s">
        <v>13</v>
      </c>
      <c r="B1478" t="s">
        <v>2965</v>
      </c>
      <c r="C1478" t="s">
        <v>2966</v>
      </c>
      <c r="D1478">
        <v>25269.4</v>
      </c>
      <c r="E1478">
        <v>25269.4</v>
      </c>
      <c r="F1478">
        <v>0.886</v>
      </c>
      <c r="G1478">
        <v>0</v>
      </c>
      <c r="H1478">
        <v>2.238869</v>
      </c>
      <c r="I1478">
        <v>2.217424</v>
      </c>
      <c r="J1478">
        <v>0.021445</v>
      </c>
      <c r="K1478" s="4">
        <f t="shared" si="69"/>
        <v>0.00967113190801579</v>
      </c>
      <c r="L1478" s="4">
        <f t="shared" si="70"/>
        <v>0</v>
      </c>
      <c r="M1478" s="18">
        <f t="shared" si="71"/>
        <v>0</v>
      </c>
    </row>
    <row r="1479" spans="1:13">
      <c r="A1479" t="s">
        <v>13</v>
      </c>
      <c r="B1479" t="s">
        <v>2967</v>
      </c>
      <c r="C1479" t="s">
        <v>2968</v>
      </c>
      <c r="D1479">
        <v>3080.34</v>
      </c>
      <c r="E1479">
        <v>3080.34</v>
      </c>
      <c r="F1479">
        <v>2.521</v>
      </c>
      <c r="G1479">
        <v>0</v>
      </c>
      <c r="H1479">
        <v>0.776553</v>
      </c>
      <c r="I1479">
        <v>0.771008</v>
      </c>
      <c r="J1479">
        <v>0.005545</v>
      </c>
      <c r="K1479" s="4">
        <f t="shared" si="69"/>
        <v>0.00719188387150328</v>
      </c>
      <c r="L1479" s="4">
        <f t="shared" si="70"/>
        <v>0</v>
      </c>
      <c r="M1479" s="18">
        <f t="shared" si="71"/>
        <v>0</v>
      </c>
    </row>
    <row r="1480" spans="1:13">
      <c r="A1480" t="s">
        <v>13</v>
      </c>
      <c r="B1480" t="s">
        <v>2969</v>
      </c>
      <c r="C1480" t="s">
        <v>2970</v>
      </c>
      <c r="D1480">
        <v>18612.2</v>
      </c>
      <c r="E1480">
        <v>18512.2</v>
      </c>
      <c r="F1480">
        <v>0.917</v>
      </c>
      <c r="G1480">
        <v>100</v>
      </c>
      <c r="H1480">
        <v>1.697569</v>
      </c>
      <c r="I1480">
        <v>1.716081</v>
      </c>
      <c r="J1480">
        <v>-0.018512</v>
      </c>
      <c r="K1480" s="4">
        <f t="shared" si="69"/>
        <v>-0.0107873695938595</v>
      </c>
      <c r="L1480" s="4">
        <f t="shared" si="70"/>
        <v>0.00540184310886875</v>
      </c>
      <c r="M1480" s="18">
        <f t="shared" si="71"/>
        <v>0.00917</v>
      </c>
    </row>
    <row r="1481" spans="1:13">
      <c r="A1481" t="s">
        <v>13</v>
      </c>
      <c r="B1481" t="s">
        <v>2971</v>
      </c>
      <c r="C1481" t="s">
        <v>2972</v>
      </c>
      <c r="D1481">
        <v>17133.2</v>
      </c>
      <c r="E1481">
        <v>17333.2</v>
      </c>
      <c r="F1481">
        <v>0.89</v>
      </c>
      <c r="G1481">
        <v>-200</v>
      </c>
      <c r="H1481">
        <v>1.542655</v>
      </c>
      <c r="I1481">
        <v>1.570731</v>
      </c>
      <c r="J1481">
        <v>-0.028076</v>
      </c>
      <c r="K1481" s="4">
        <f t="shared" si="69"/>
        <v>-0.0178744800987566</v>
      </c>
      <c r="L1481" s="4">
        <f t="shared" si="70"/>
        <v>-0.0115385502965407</v>
      </c>
      <c r="M1481" s="18">
        <f t="shared" si="71"/>
        <v>-0.0178</v>
      </c>
    </row>
    <row r="1482" spans="1:13">
      <c r="A1482" t="s">
        <v>13</v>
      </c>
      <c r="B1482" t="s">
        <v>2973</v>
      </c>
      <c r="C1482" t="s">
        <v>2974</v>
      </c>
      <c r="D1482">
        <v>1713</v>
      </c>
      <c r="E1482">
        <v>1713</v>
      </c>
      <c r="F1482">
        <v>1.161</v>
      </c>
      <c r="G1482">
        <v>0</v>
      </c>
      <c r="H1482">
        <v>0.198879</v>
      </c>
      <c r="I1482">
        <v>0.20419</v>
      </c>
      <c r="J1482">
        <v>-0.005311</v>
      </c>
      <c r="K1482" s="4">
        <f t="shared" si="69"/>
        <v>-0.0260100886429306</v>
      </c>
      <c r="L1482" s="4">
        <f t="shared" si="70"/>
        <v>0</v>
      </c>
      <c r="M1482" s="18">
        <f t="shared" si="71"/>
        <v>0</v>
      </c>
    </row>
    <row r="1483" spans="1:13">
      <c r="A1483" t="s">
        <v>13</v>
      </c>
      <c r="B1483" t="s">
        <v>2975</v>
      </c>
      <c r="C1483" t="s">
        <v>2976</v>
      </c>
      <c r="D1483">
        <v>88153.21</v>
      </c>
      <c r="E1483">
        <v>90753.21</v>
      </c>
      <c r="F1483">
        <v>1.321</v>
      </c>
      <c r="G1483">
        <v>-2600</v>
      </c>
      <c r="H1483">
        <v>11.9885</v>
      </c>
      <c r="I1483">
        <v>12.27912</v>
      </c>
      <c r="J1483">
        <v>-0.29062</v>
      </c>
      <c r="K1483" s="4">
        <f t="shared" si="69"/>
        <v>-0.0236678198437673</v>
      </c>
      <c r="L1483" s="4">
        <f t="shared" si="70"/>
        <v>-0.028649124367061</v>
      </c>
      <c r="M1483" s="18">
        <f t="shared" si="71"/>
        <v>-0.34346</v>
      </c>
    </row>
    <row r="1484" spans="1:13">
      <c r="A1484" t="s">
        <v>13</v>
      </c>
      <c r="B1484" t="s">
        <v>2977</v>
      </c>
      <c r="C1484" t="s">
        <v>2978</v>
      </c>
      <c r="D1484">
        <v>20734.5</v>
      </c>
      <c r="E1484">
        <v>20934.5</v>
      </c>
      <c r="G1484">
        <v>-200</v>
      </c>
      <c r="H1484">
        <v>2.654495</v>
      </c>
      <c r="I1484">
        <v>2.63983</v>
      </c>
      <c r="J1484">
        <v>0.014665</v>
      </c>
      <c r="K1484" s="4">
        <f t="shared" si="69"/>
        <v>0.00555528196891467</v>
      </c>
      <c r="L1484" s="4">
        <f t="shared" si="70"/>
        <v>-0.00955360768110058</v>
      </c>
      <c r="M1484" s="18">
        <f t="shared" si="71"/>
        <v>0</v>
      </c>
    </row>
    <row r="1485" spans="1:13">
      <c r="A1485" t="s">
        <v>13</v>
      </c>
      <c r="B1485" t="s">
        <v>2979</v>
      </c>
      <c r="C1485" t="s">
        <v>2980</v>
      </c>
      <c r="D1485">
        <v>12158.4</v>
      </c>
      <c r="E1485">
        <v>12158.4</v>
      </c>
      <c r="F1485">
        <v>0.849</v>
      </c>
      <c r="G1485">
        <v>0</v>
      </c>
      <c r="H1485">
        <v>1.032248</v>
      </c>
      <c r="I1485">
        <v>1.059753</v>
      </c>
      <c r="J1485">
        <v>-0.027505</v>
      </c>
      <c r="K1485" s="4">
        <f t="shared" si="69"/>
        <v>-0.0259541610167652</v>
      </c>
      <c r="L1485" s="4">
        <f t="shared" si="70"/>
        <v>0</v>
      </c>
      <c r="M1485" s="18">
        <f t="shared" si="71"/>
        <v>0</v>
      </c>
    </row>
    <row r="1486" spans="1:13">
      <c r="A1486" t="s">
        <v>13</v>
      </c>
      <c r="B1486" t="s">
        <v>2981</v>
      </c>
      <c r="C1486" t="s">
        <v>2982</v>
      </c>
      <c r="D1486">
        <v>14686.1</v>
      </c>
      <c r="E1486">
        <v>14486.1</v>
      </c>
      <c r="F1486">
        <v>1.338</v>
      </c>
      <c r="G1486">
        <v>200</v>
      </c>
      <c r="H1486">
        <v>1.93824</v>
      </c>
      <c r="I1486">
        <v>1.922305</v>
      </c>
      <c r="J1486">
        <v>0.015935</v>
      </c>
      <c r="K1486" s="4">
        <f t="shared" si="69"/>
        <v>0.00828952741630491</v>
      </c>
      <c r="L1486" s="4">
        <f t="shared" si="70"/>
        <v>0.0138063384900008</v>
      </c>
      <c r="M1486" s="18">
        <f t="shared" si="71"/>
        <v>0.02676</v>
      </c>
    </row>
    <row r="1487" spans="1:13">
      <c r="A1487" t="s">
        <v>13</v>
      </c>
      <c r="B1487" t="s">
        <v>2983</v>
      </c>
      <c r="C1487" t="s">
        <v>2984</v>
      </c>
      <c r="D1487">
        <v>117725.8</v>
      </c>
      <c r="E1487">
        <v>122725.8</v>
      </c>
      <c r="F1487">
        <v>1.102</v>
      </c>
      <c r="G1487">
        <v>-5000</v>
      </c>
      <c r="H1487">
        <v>13.524383</v>
      </c>
      <c r="I1487">
        <v>13.63709</v>
      </c>
      <c r="J1487">
        <v>-0.112707</v>
      </c>
      <c r="K1487" s="4">
        <f t="shared" si="69"/>
        <v>-0.00826473976486186</v>
      </c>
      <c r="L1487" s="4">
        <f t="shared" si="70"/>
        <v>-0.0407412296354964</v>
      </c>
      <c r="M1487" s="18">
        <f t="shared" si="71"/>
        <v>-0.551</v>
      </c>
    </row>
    <row r="1488" spans="1:13">
      <c r="A1488" t="s">
        <v>13</v>
      </c>
      <c r="B1488" t="s">
        <v>2985</v>
      </c>
      <c r="C1488" t="s">
        <v>2986</v>
      </c>
      <c r="D1488">
        <v>23649.3</v>
      </c>
      <c r="E1488">
        <v>23649.3</v>
      </c>
      <c r="F1488">
        <v>0.95</v>
      </c>
      <c r="G1488">
        <v>0</v>
      </c>
      <c r="H1488">
        <v>2.246684</v>
      </c>
      <c r="I1488">
        <v>2.310537</v>
      </c>
      <c r="J1488">
        <v>-0.063853</v>
      </c>
      <c r="K1488" s="4">
        <f t="shared" si="69"/>
        <v>-0.0276355669699295</v>
      </c>
      <c r="L1488" s="4">
        <f t="shared" si="70"/>
        <v>0</v>
      </c>
      <c r="M1488" s="18">
        <f t="shared" si="71"/>
        <v>0</v>
      </c>
    </row>
    <row r="1489" spans="1:13">
      <c r="A1489" t="s">
        <v>13</v>
      </c>
      <c r="B1489" t="s">
        <v>2987</v>
      </c>
      <c r="C1489" t="s">
        <v>2988</v>
      </c>
      <c r="D1489">
        <v>6078.61</v>
      </c>
      <c r="E1489">
        <v>6078.61</v>
      </c>
      <c r="F1489">
        <v>1.053</v>
      </c>
      <c r="G1489">
        <v>0</v>
      </c>
      <c r="H1489">
        <v>0.640078</v>
      </c>
      <c r="I1489">
        <v>0.656168</v>
      </c>
      <c r="J1489">
        <v>-0.01609</v>
      </c>
      <c r="K1489" s="4">
        <f t="shared" si="69"/>
        <v>-0.0245211592153229</v>
      </c>
      <c r="L1489" s="4">
        <f t="shared" si="70"/>
        <v>0</v>
      </c>
      <c r="M1489" s="18">
        <f t="shared" si="71"/>
        <v>0</v>
      </c>
    </row>
    <row r="1490" spans="1:13">
      <c r="A1490" t="s">
        <v>13</v>
      </c>
      <c r="B1490" t="s">
        <v>2989</v>
      </c>
      <c r="C1490" t="s">
        <v>2990</v>
      </c>
      <c r="D1490">
        <v>16678.02</v>
      </c>
      <c r="E1490">
        <v>16778.02</v>
      </c>
      <c r="F1490">
        <v>0.889</v>
      </c>
      <c r="G1490">
        <v>-100</v>
      </c>
      <c r="H1490">
        <v>1.491566</v>
      </c>
      <c r="I1490">
        <v>1.522928</v>
      </c>
      <c r="J1490">
        <v>-0.031362</v>
      </c>
      <c r="K1490" s="4">
        <f t="shared" si="69"/>
        <v>-0.0205932256810565</v>
      </c>
      <c r="L1490" s="4">
        <f t="shared" si="70"/>
        <v>-0.00596017885304702</v>
      </c>
      <c r="M1490" s="18">
        <f t="shared" si="71"/>
        <v>-0.00889</v>
      </c>
    </row>
    <row r="1491" spans="1:13">
      <c r="A1491" t="s">
        <v>13</v>
      </c>
      <c r="B1491" t="s">
        <v>2991</v>
      </c>
      <c r="C1491" t="s">
        <v>2992</v>
      </c>
      <c r="D1491">
        <v>31456.9</v>
      </c>
      <c r="E1491">
        <v>28706.9</v>
      </c>
      <c r="F1491">
        <v>0.979</v>
      </c>
      <c r="G1491">
        <v>2750</v>
      </c>
      <c r="H1491">
        <v>2.810406</v>
      </c>
      <c r="I1491">
        <v>2.872554</v>
      </c>
      <c r="J1491">
        <v>-0.062148</v>
      </c>
      <c r="K1491" s="4">
        <f t="shared" si="69"/>
        <v>-0.0216351024210511</v>
      </c>
      <c r="L1491" s="4">
        <f t="shared" si="70"/>
        <v>0.0957957842887947</v>
      </c>
      <c r="M1491" s="18">
        <f t="shared" si="71"/>
        <v>0.269225</v>
      </c>
    </row>
    <row r="1492" spans="1:13">
      <c r="A1492" t="s">
        <v>13</v>
      </c>
      <c r="B1492" t="s">
        <v>2993</v>
      </c>
      <c r="C1492" t="s">
        <v>2994</v>
      </c>
      <c r="D1492">
        <v>34553.7</v>
      </c>
      <c r="E1492">
        <v>33453.7</v>
      </c>
      <c r="F1492">
        <v>0.942</v>
      </c>
      <c r="G1492">
        <v>1100</v>
      </c>
      <c r="H1492">
        <v>3.151339</v>
      </c>
      <c r="I1492">
        <v>3.269961</v>
      </c>
      <c r="J1492">
        <v>-0.118622</v>
      </c>
      <c r="K1492" s="4">
        <f t="shared" si="69"/>
        <v>-0.036276273631398</v>
      </c>
      <c r="L1492" s="4">
        <f t="shared" si="70"/>
        <v>0.032881265749379</v>
      </c>
      <c r="M1492" s="18">
        <f t="shared" si="71"/>
        <v>0.10362</v>
      </c>
    </row>
    <row r="1493" spans="1:13">
      <c r="A1493" t="s">
        <v>13</v>
      </c>
      <c r="B1493" t="s">
        <v>2995</v>
      </c>
      <c r="C1493" t="s">
        <v>2996</v>
      </c>
      <c r="D1493">
        <v>25934</v>
      </c>
      <c r="E1493">
        <v>25734</v>
      </c>
      <c r="F1493">
        <v>0.95</v>
      </c>
      <c r="G1493">
        <v>200</v>
      </c>
      <c r="H1493">
        <v>2.44473</v>
      </c>
      <c r="I1493">
        <v>2.428283</v>
      </c>
      <c r="J1493">
        <v>0.016447</v>
      </c>
      <c r="K1493" s="4">
        <f t="shared" si="69"/>
        <v>0.00677309852270102</v>
      </c>
      <c r="L1493" s="4">
        <f t="shared" si="70"/>
        <v>0.00777181938291754</v>
      </c>
      <c r="M1493" s="18">
        <f t="shared" si="71"/>
        <v>0.019</v>
      </c>
    </row>
    <row r="1494" spans="1:13">
      <c r="A1494" t="s">
        <v>13</v>
      </c>
      <c r="B1494" t="s">
        <v>2997</v>
      </c>
      <c r="C1494" t="s">
        <v>2998</v>
      </c>
      <c r="D1494">
        <v>14980.3</v>
      </c>
      <c r="E1494">
        <v>14980.3</v>
      </c>
      <c r="F1494">
        <v>0.939</v>
      </c>
      <c r="G1494">
        <v>0</v>
      </c>
      <c r="H1494">
        <v>1.40665</v>
      </c>
      <c r="I1494">
        <v>1.465805</v>
      </c>
      <c r="J1494">
        <v>-0.059155</v>
      </c>
      <c r="K1494" s="4">
        <f t="shared" si="69"/>
        <v>-0.0403566640856048</v>
      </c>
      <c r="L1494" s="4">
        <f t="shared" si="70"/>
        <v>0</v>
      </c>
      <c r="M1494" s="18">
        <f t="shared" si="71"/>
        <v>0</v>
      </c>
    </row>
    <row r="1495" spans="1:13">
      <c r="A1495" t="s">
        <v>13</v>
      </c>
      <c r="B1495" t="s">
        <v>2999</v>
      </c>
      <c r="C1495" t="s">
        <v>3000</v>
      </c>
      <c r="D1495">
        <v>12148.2</v>
      </c>
      <c r="E1495">
        <v>12548.2</v>
      </c>
      <c r="F1495">
        <v>1.053</v>
      </c>
      <c r="G1495">
        <v>-400</v>
      </c>
      <c r="H1495">
        <v>1.321325</v>
      </c>
      <c r="I1495">
        <v>1.347908</v>
      </c>
      <c r="J1495">
        <v>-0.026583</v>
      </c>
      <c r="K1495" s="4">
        <f t="shared" si="69"/>
        <v>-0.0197216723990065</v>
      </c>
      <c r="L1495" s="4">
        <f t="shared" si="70"/>
        <v>-0.0318770819719163</v>
      </c>
      <c r="M1495" s="18">
        <f t="shared" si="71"/>
        <v>-0.04212</v>
      </c>
    </row>
    <row r="1496" spans="1:13">
      <c r="A1496" t="s">
        <v>13</v>
      </c>
      <c r="B1496" t="s">
        <v>3001</v>
      </c>
      <c r="C1496" t="s">
        <v>3002</v>
      </c>
      <c r="D1496">
        <v>29533.9</v>
      </c>
      <c r="E1496">
        <v>29733.9</v>
      </c>
      <c r="F1496">
        <v>1.415</v>
      </c>
      <c r="G1496">
        <v>-200</v>
      </c>
      <c r="H1496">
        <v>4.207347</v>
      </c>
      <c r="I1496">
        <v>4.244627</v>
      </c>
      <c r="J1496">
        <v>-0.03728</v>
      </c>
      <c r="K1496" s="4">
        <f t="shared" si="69"/>
        <v>-0.00878286831799355</v>
      </c>
      <c r="L1496" s="4">
        <f t="shared" si="70"/>
        <v>-0.00672632920673037</v>
      </c>
      <c r="M1496" s="18">
        <f t="shared" si="71"/>
        <v>-0.0283</v>
      </c>
    </row>
    <row r="1497" spans="1:13">
      <c r="A1497" t="s">
        <v>13</v>
      </c>
      <c r="B1497" t="s">
        <v>3003</v>
      </c>
      <c r="C1497" t="s">
        <v>3004</v>
      </c>
      <c r="D1497">
        <v>241702.69</v>
      </c>
      <c r="E1497">
        <v>242602.69</v>
      </c>
      <c r="F1497">
        <v>1.294</v>
      </c>
      <c r="G1497">
        <v>-900</v>
      </c>
      <c r="H1497">
        <v>31.392789</v>
      </c>
      <c r="I1497">
        <v>31.251546</v>
      </c>
      <c r="J1497">
        <v>0.141243</v>
      </c>
      <c r="K1497" s="4">
        <f t="shared" si="69"/>
        <v>0.00451955240870324</v>
      </c>
      <c r="L1497" s="4">
        <f t="shared" si="70"/>
        <v>-0.00370976925276467</v>
      </c>
      <c r="M1497" s="18">
        <f t="shared" si="71"/>
        <v>-0.11646</v>
      </c>
    </row>
    <row r="1498" spans="1:13">
      <c r="A1498" t="s">
        <v>13</v>
      </c>
      <c r="B1498" t="s">
        <v>3005</v>
      </c>
      <c r="C1498" t="s">
        <v>3006</v>
      </c>
      <c r="D1498">
        <v>875.1</v>
      </c>
      <c r="E1498">
        <v>875.1</v>
      </c>
      <c r="F1498">
        <v>1.062</v>
      </c>
      <c r="G1498">
        <v>0</v>
      </c>
      <c r="H1498">
        <v>0.092936</v>
      </c>
      <c r="I1498">
        <v>0.094336</v>
      </c>
      <c r="J1498">
        <v>-0.0014</v>
      </c>
      <c r="K1498" s="4">
        <f t="shared" si="69"/>
        <v>-0.0148405698778833</v>
      </c>
      <c r="L1498" s="4">
        <f t="shared" si="70"/>
        <v>0</v>
      </c>
      <c r="M1498" s="18">
        <f t="shared" si="71"/>
        <v>0</v>
      </c>
    </row>
    <row r="1499" spans="1:13">
      <c r="A1499" t="s">
        <v>13</v>
      </c>
      <c r="B1499" t="s">
        <v>3007</v>
      </c>
      <c r="C1499" t="s">
        <v>3008</v>
      </c>
      <c r="D1499">
        <v>229062.37</v>
      </c>
      <c r="E1499">
        <v>230262.37</v>
      </c>
      <c r="F1499">
        <v>1.331</v>
      </c>
      <c r="G1499">
        <v>-1200</v>
      </c>
      <c r="H1499">
        <v>30.647921</v>
      </c>
      <c r="I1499">
        <v>30.622471</v>
      </c>
      <c r="J1499">
        <v>0.02545</v>
      </c>
      <c r="K1499" s="4">
        <f t="shared" si="69"/>
        <v>0.000831089039156899</v>
      </c>
      <c r="L1499" s="4">
        <f t="shared" si="70"/>
        <v>-0.00521144640350918</v>
      </c>
      <c r="M1499" s="18">
        <f t="shared" si="71"/>
        <v>-0.15972</v>
      </c>
    </row>
    <row r="1500" spans="1:13">
      <c r="A1500" t="s">
        <v>13</v>
      </c>
      <c r="B1500" t="s">
        <v>3009</v>
      </c>
      <c r="C1500" t="s">
        <v>3010</v>
      </c>
      <c r="D1500">
        <v>12959.74</v>
      </c>
      <c r="E1500">
        <v>12959.74</v>
      </c>
      <c r="F1500">
        <v>1.04</v>
      </c>
      <c r="G1500">
        <v>0</v>
      </c>
      <c r="H1500">
        <v>1.347813</v>
      </c>
      <c r="I1500">
        <v>1.362069</v>
      </c>
      <c r="J1500">
        <v>-0.014256</v>
      </c>
      <c r="K1500" s="4">
        <f t="shared" si="69"/>
        <v>-0.0104664301147739</v>
      </c>
      <c r="L1500" s="4">
        <f t="shared" si="70"/>
        <v>0</v>
      </c>
      <c r="M1500" s="18">
        <f t="shared" si="71"/>
        <v>0</v>
      </c>
    </row>
    <row r="1501" spans="1:13">
      <c r="A1501" t="s">
        <v>13</v>
      </c>
      <c r="B1501" t="s">
        <v>3011</v>
      </c>
      <c r="C1501" t="s">
        <v>3012</v>
      </c>
      <c r="D1501">
        <v>7019.01</v>
      </c>
      <c r="E1501">
        <v>7019.01</v>
      </c>
      <c r="F1501">
        <v>0.752</v>
      </c>
      <c r="G1501">
        <v>0</v>
      </c>
      <c r="H1501">
        <v>0.527829</v>
      </c>
      <c r="I1501">
        <v>0.532743</v>
      </c>
      <c r="J1501">
        <v>-0.004914</v>
      </c>
      <c r="K1501" s="4">
        <f t="shared" si="69"/>
        <v>-0.00922395977047094</v>
      </c>
      <c r="L1501" s="4">
        <f t="shared" si="70"/>
        <v>0</v>
      </c>
      <c r="M1501" s="18">
        <f t="shared" si="71"/>
        <v>0</v>
      </c>
    </row>
    <row r="1502" spans="1:13">
      <c r="A1502" t="s">
        <v>13</v>
      </c>
      <c r="B1502" t="s">
        <v>3013</v>
      </c>
      <c r="C1502" t="s">
        <v>3014</v>
      </c>
      <c r="D1502">
        <v>144954.12</v>
      </c>
      <c r="E1502">
        <v>144954.12</v>
      </c>
      <c r="F1502">
        <v>0.947</v>
      </c>
      <c r="G1502">
        <v>0</v>
      </c>
      <c r="H1502">
        <v>13.727155</v>
      </c>
      <c r="I1502">
        <v>13.954297</v>
      </c>
      <c r="J1502">
        <v>-0.227142</v>
      </c>
      <c r="K1502" s="4">
        <f t="shared" si="69"/>
        <v>-0.0162775666878812</v>
      </c>
      <c r="L1502" s="4">
        <f t="shared" si="70"/>
        <v>0</v>
      </c>
      <c r="M1502" s="18">
        <f t="shared" si="71"/>
        <v>0</v>
      </c>
    </row>
    <row r="1503" spans="1:13">
      <c r="A1503" t="s">
        <v>13</v>
      </c>
      <c r="B1503" t="s">
        <v>3015</v>
      </c>
      <c r="C1503" t="s">
        <v>3016</v>
      </c>
      <c r="D1503">
        <v>43700.3</v>
      </c>
      <c r="E1503">
        <v>43700.3</v>
      </c>
      <c r="F1503">
        <v>1.149</v>
      </c>
      <c r="G1503">
        <v>0</v>
      </c>
      <c r="H1503">
        <v>5.021164</v>
      </c>
      <c r="I1503">
        <v>5.195966</v>
      </c>
      <c r="J1503">
        <v>-0.174802</v>
      </c>
      <c r="K1503" s="4">
        <f t="shared" si="69"/>
        <v>-0.0336418675564852</v>
      </c>
      <c r="L1503" s="4">
        <f t="shared" si="70"/>
        <v>0</v>
      </c>
      <c r="M1503" s="18">
        <f t="shared" si="71"/>
        <v>0</v>
      </c>
    </row>
    <row r="1504" spans="1:13">
      <c r="A1504" t="s">
        <v>13</v>
      </c>
      <c r="B1504" t="s">
        <v>3017</v>
      </c>
      <c r="C1504" t="s">
        <v>3018</v>
      </c>
      <c r="D1504">
        <v>1671</v>
      </c>
      <c r="E1504">
        <v>1671</v>
      </c>
      <c r="F1504">
        <v>1.626</v>
      </c>
      <c r="G1504">
        <v>0</v>
      </c>
      <c r="H1504">
        <v>0.271705</v>
      </c>
      <c r="I1504">
        <v>0.268363</v>
      </c>
      <c r="J1504">
        <v>0.003342</v>
      </c>
      <c r="K1504" s="4">
        <f t="shared" si="69"/>
        <v>0.0124532815626595</v>
      </c>
      <c r="L1504" s="4">
        <f t="shared" si="70"/>
        <v>0</v>
      </c>
      <c r="M1504" s="18">
        <f t="shared" si="71"/>
        <v>0</v>
      </c>
    </row>
    <row r="1505" spans="1:13">
      <c r="A1505" t="s">
        <v>13</v>
      </c>
      <c r="B1505" t="s">
        <v>3019</v>
      </c>
      <c r="C1505" t="s">
        <v>3020</v>
      </c>
      <c r="D1505">
        <v>400098.84</v>
      </c>
      <c r="E1505">
        <v>400098.84</v>
      </c>
      <c r="G1505">
        <v>0</v>
      </c>
      <c r="H1505">
        <v>51.85281</v>
      </c>
      <c r="I1505">
        <v>51.531331</v>
      </c>
      <c r="J1505">
        <v>0.321479</v>
      </c>
      <c r="K1505" s="4">
        <f t="shared" si="69"/>
        <v>0.00623851536068416</v>
      </c>
      <c r="L1505" s="4">
        <f t="shared" si="70"/>
        <v>0</v>
      </c>
      <c r="M1505" s="18">
        <f t="shared" si="71"/>
        <v>0</v>
      </c>
    </row>
    <row r="1506" spans="1:13">
      <c r="A1506" t="s">
        <v>13</v>
      </c>
      <c r="B1506" t="s">
        <v>3021</v>
      </c>
      <c r="C1506" t="s">
        <v>3022</v>
      </c>
      <c r="D1506">
        <v>2586.7</v>
      </c>
      <c r="E1506">
        <v>2586.7</v>
      </c>
      <c r="F1506">
        <v>0.976</v>
      </c>
      <c r="G1506">
        <v>0</v>
      </c>
      <c r="H1506">
        <v>0.252462</v>
      </c>
      <c r="I1506">
        <v>0.260481</v>
      </c>
      <c r="J1506">
        <v>-0.008019</v>
      </c>
      <c r="K1506" s="4">
        <f t="shared" si="69"/>
        <v>-0.0307853547859537</v>
      </c>
      <c r="L1506" s="4">
        <f t="shared" si="70"/>
        <v>0</v>
      </c>
      <c r="M1506" s="18">
        <f t="shared" si="71"/>
        <v>0</v>
      </c>
    </row>
    <row r="1507" spans="1:13">
      <c r="A1507" t="s">
        <v>13</v>
      </c>
      <c r="B1507" t="s">
        <v>3023</v>
      </c>
      <c r="C1507" t="s">
        <v>3024</v>
      </c>
      <c r="D1507">
        <v>12339.4</v>
      </c>
      <c r="E1507">
        <v>12639.4</v>
      </c>
      <c r="G1507">
        <v>-300</v>
      </c>
      <c r="H1507">
        <v>1.658289</v>
      </c>
      <c r="I1507">
        <v>1.617843</v>
      </c>
      <c r="J1507">
        <v>0.040446</v>
      </c>
      <c r="K1507" s="4">
        <f t="shared" si="69"/>
        <v>0.0249999536419789</v>
      </c>
      <c r="L1507" s="4">
        <f t="shared" si="70"/>
        <v>-0.0237353038910075</v>
      </c>
      <c r="M1507" s="18">
        <f t="shared" si="71"/>
        <v>0</v>
      </c>
    </row>
    <row r="1508" spans="1:13">
      <c r="A1508" t="s">
        <v>13</v>
      </c>
      <c r="B1508" t="s">
        <v>3025</v>
      </c>
      <c r="C1508" t="s">
        <v>3026</v>
      </c>
      <c r="D1508">
        <v>491.92</v>
      </c>
      <c r="E1508">
        <v>491.92</v>
      </c>
      <c r="F1508">
        <v>1.077</v>
      </c>
      <c r="G1508">
        <v>0</v>
      </c>
      <c r="H1508">
        <v>0.05298</v>
      </c>
      <c r="I1508">
        <v>0.052931</v>
      </c>
      <c r="J1508">
        <v>4.9e-5</v>
      </c>
      <c r="K1508" s="4">
        <f t="shared" si="69"/>
        <v>0.000925733502106516</v>
      </c>
      <c r="L1508" s="4">
        <f t="shared" si="70"/>
        <v>0</v>
      </c>
      <c r="M1508" s="18">
        <f t="shared" si="71"/>
        <v>0</v>
      </c>
    </row>
    <row r="1509" spans="1:13">
      <c r="A1509" t="s">
        <v>13</v>
      </c>
      <c r="B1509" t="s">
        <v>3027</v>
      </c>
      <c r="C1509" t="s">
        <v>3028</v>
      </c>
      <c r="D1509">
        <v>12793.8</v>
      </c>
      <c r="E1509">
        <v>12993.8</v>
      </c>
      <c r="F1509">
        <v>1.191</v>
      </c>
      <c r="G1509">
        <v>-200</v>
      </c>
      <c r="H1509">
        <v>1.547562</v>
      </c>
      <c r="I1509">
        <v>1.499485</v>
      </c>
      <c r="J1509">
        <v>0.048077</v>
      </c>
      <c r="K1509" s="4">
        <f t="shared" si="69"/>
        <v>0.032062341403882</v>
      </c>
      <c r="L1509" s="4">
        <f t="shared" si="70"/>
        <v>-0.0153919561637088</v>
      </c>
      <c r="M1509" s="18">
        <f t="shared" si="71"/>
        <v>-0.02382</v>
      </c>
    </row>
    <row r="1510" spans="1:13">
      <c r="A1510" t="s">
        <v>13</v>
      </c>
      <c r="B1510" t="s">
        <v>3029</v>
      </c>
      <c r="C1510" t="s">
        <v>3030</v>
      </c>
      <c r="D1510">
        <v>8997.4</v>
      </c>
      <c r="E1510">
        <v>8997.4</v>
      </c>
      <c r="F1510">
        <v>0.983</v>
      </c>
      <c r="G1510">
        <v>0</v>
      </c>
      <c r="H1510">
        <v>0.884444</v>
      </c>
      <c r="I1510">
        <v>0.930288</v>
      </c>
      <c r="J1510">
        <v>-0.045844</v>
      </c>
      <c r="K1510" s="4">
        <f t="shared" si="69"/>
        <v>-0.0492793629499682</v>
      </c>
      <c r="L1510" s="4">
        <f t="shared" si="70"/>
        <v>0</v>
      </c>
      <c r="M1510" s="18">
        <f t="shared" si="71"/>
        <v>0</v>
      </c>
    </row>
    <row r="1511" spans="1:13">
      <c r="A1511" t="s">
        <v>13</v>
      </c>
      <c r="B1511" t="s">
        <v>3031</v>
      </c>
      <c r="C1511" t="s">
        <v>3032</v>
      </c>
      <c r="D1511">
        <v>32922.56</v>
      </c>
      <c r="E1511">
        <v>32922.56</v>
      </c>
      <c r="F1511">
        <v>0.686</v>
      </c>
      <c r="G1511">
        <v>0</v>
      </c>
      <c r="H1511">
        <v>2.258488</v>
      </c>
      <c r="I1511">
        <v>2.294079</v>
      </c>
      <c r="J1511">
        <v>-0.035591</v>
      </c>
      <c r="K1511" s="4">
        <f t="shared" si="69"/>
        <v>-0.0155142869970912</v>
      </c>
      <c r="L1511" s="4">
        <f t="shared" si="70"/>
        <v>0</v>
      </c>
      <c r="M1511" s="18">
        <f t="shared" si="71"/>
        <v>0</v>
      </c>
    </row>
    <row r="1512" spans="1:13">
      <c r="A1512" t="s">
        <v>13</v>
      </c>
      <c r="B1512" t="s">
        <v>3033</v>
      </c>
      <c r="C1512" t="s">
        <v>3034</v>
      </c>
      <c r="D1512">
        <v>1888.9</v>
      </c>
      <c r="E1512">
        <v>1888.9</v>
      </c>
      <c r="F1512">
        <v>2.424</v>
      </c>
      <c r="G1512">
        <v>0</v>
      </c>
      <c r="H1512">
        <v>0.457869</v>
      </c>
      <c r="I1512">
        <v>0.472318</v>
      </c>
      <c r="J1512">
        <v>-0.014449</v>
      </c>
      <c r="K1512" s="4">
        <f t="shared" si="69"/>
        <v>-0.0305916776409114</v>
      </c>
      <c r="L1512" s="4">
        <f t="shared" si="70"/>
        <v>0</v>
      </c>
      <c r="M1512" s="18">
        <f t="shared" si="71"/>
        <v>0</v>
      </c>
    </row>
    <row r="1513" spans="1:13">
      <c r="A1513" t="s">
        <v>13</v>
      </c>
      <c r="B1513" t="s">
        <v>3035</v>
      </c>
      <c r="C1513" t="s">
        <v>3036</v>
      </c>
      <c r="D1513">
        <v>36753.69</v>
      </c>
      <c r="E1513">
        <v>37053.69</v>
      </c>
      <c r="F1513">
        <v>1.129</v>
      </c>
      <c r="G1513">
        <v>-300</v>
      </c>
      <c r="H1513">
        <v>4.183361</v>
      </c>
      <c r="I1513">
        <v>4.27229</v>
      </c>
      <c r="J1513">
        <v>-0.088929</v>
      </c>
      <c r="K1513" s="4">
        <f t="shared" si="69"/>
        <v>-0.0208153004594726</v>
      </c>
      <c r="L1513" s="4">
        <f t="shared" si="70"/>
        <v>-0.00809635963381785</v>
      </c>
      <c r="M1513" s="18">
        <f t="shared" si="71"/>
        <v>-0.03387</v>
      </c>
    </row>
    <row r="1514" spans="1:13">
      <c r="A1514" t="s">
        <v>13</v>
      </c>
      <c r="B1514" t="s">
        <v>3037</v>
      </c>
      <c r="C1514" t="s">
        <v>3038</v>
      </c>
      <c r="D1514">
        <v>189558</v>
      </c>
      <c r="E1514">
        <v>188858</v>
      </c>
      <c r="F1514">
        <v>0.928</v>
      </c>
      <c r="G1514">
        <v>700</v>
      </c>
      <c r="H1514">
        <v>17.526022</v>
      </c>
      <c r="I1514">
        <v>17.21774</v>
      </c>
      <c r="J1514">
        <v>0.308282</v>
      </c>
      <c r="K1514" s="4">
        <f t="shared" si="69"/>
        <v>0.0179049050572259</v>
      </c>
      <c r="L1514" s="4">
        <f t="shared" si="70"/>
        <v>0.00370648847282085</v>
      </c>
      <c r="M1514" s="18">
        <f t="shared" si="71"/>
        <v>0.06496</v>
      </c>
    </row>
    <row r="1515" spans="1:13">
      <c r="A1515" t="s">
        <v>13</v>
      </c>
      <c r="B1515" t="s">
        <v>3039</v>
      </c>
      <c r="C1515" t="s">
        <v>3040</v>
      </c>
      <c r="D1515">
        <v>20254.8</v>
      </c>
      <c r="E1515">
        <v>20454.8</v>
      </c>
      <c r="F1515">
        <v>0.95</v>
      </c>
      <c r="G1515">
        <v>-200</v>
      </c>
      <c r="H1515">
        <v>1.943206</v>
      </c>
      <c r="I1515">
        <v>1.993188</v>
      </c>
      <c r="J1515">
        <v>-0.049982</v>
      </c>
      <c r="K1515" s="4">
        <f t="shared" si="69"/>
        <v>-0.0250764102533228</v>
      </c>
      <c r="L1515" s="4">
        <f t="shared" si="70"/>
        <v>-0.00977765610027964</v>
      </c>
      <c r="M1515" s="18">
        <f t="shared" si="71"/>
        <v>-0.019</v>
      </c>
    </row>
    <row r="1516" spans="1:13">
      <c r="A1516" t="s">
        <v>13</v>
      </c>
      <c r="B1516" t="s">
        <v>3041</v>
      </c>
      <c r="C1516" t="s">
        <v>3042</v>
      </c>
      <c r="D1516">
        <v>6655.48</v>
      </c>
      <c r="E1516">
        <v>6655.48</v>
      </c>
      <c r="G1516">
        <v>0</v>
      </c>
      <c r="H1516">
        <v>0.964378</v>
      </c>
      <c r="I1516">
        <v>0.957057</v>
      </c>
      <c r="J1516">
        <v>0.007321</v>
      </c>
      <c r="K1516" s="4">
        <f t="shared" si="69"/>
        <v>0.00764949214101146</v>
      </c>
      <c r="L1516" s="4">
        <f t="shared" si="70"/>
        <v>0</v>
      </c>
      <c r="M1516" s="18">
        <f t="shared" si="71"/>
        <v>0</v>
      </c>
    </row>
    <row r="1517" spans="1:13">
      <c r="A1517" t="s">
        <v>13</v>
      </c>
      <c r="B1517" t="s">
        <v>3043</v>
      </c>
      <c r="C1517" t="s">
        <v>3044</v>
      </c>
      <c r="D1517">
        <v>151813.3</v>
      </c>
      <c r="E1517">
        <v>153913.3</v>
      </c>
      <c r="F1517">
        <v>1.156</v>
      </c>
      <c r="G1517">
        <v>-2100</v>
      </c>
      <c r="H1517">
        <v>17.792377</v>
      </c>
      <c r="I1517">
        <v>17.426103</v>
      </c>
      <c r="J1517">
        <v>0.366274</v>
      </c>
      <c r="K1517" s="4">
        <f t="shared" si="69"/>
        <v>0.0210186982138232</v>
      </c>
      <c r="L1517" s="4">
        <f t="shared" si="70"/>
        <v>-0.0136440450565351</v>
      </c>
      <c r="M1517" s="18">
        <f t="shared" si="71"/>
        <v>-0.24276</v>
      </c>
    </row>
    <row r="1518" spans="1:13">
      <c r="A1518" t="s">
        <v>13</v>
      </c>
      <c r="B1518" t="s">
        <v>3045</v>
      </c>
      <c r="C1518" t="s">
        <v>3046</v>
      </c>
      <c r="D1518">
        <v>183349.6</v>
      </c>
      <c r="E1518">
        <v>178049.6</v>
      </c>
      <c r="F1518">
        <v>3.365</v>
      </c>
      <c r="G1518">
        <v>5300</v>
      </c>
      <c r="H1518">
        <v>59.91369</v>
      </c>
      <c r="I1518">
        <v>59.454392</v>
      </c>
      <c r="J1518">
        <v>0.459298</v>
      </c>
      <c r="K1518" s="4">
        <f t="shared" si="69"/>
        <v>0.00772521565774317</v>
      </c>
      <c r="L1518" s="4">
        <f t="shared" si="70"/>
        <v>0.029766986277981</v>
      </c>
      <c r="M1518" s="18">
        <f t="shared" si="71"/>
        <v>1.78345</v>
      </c>
    </row>
    <row r="1519" spans="1:13">
      <c r="A1519" t="s">
        <v>13</v>
      </c>
      <c r="B1519" t="s">
        <v>3047</v>
      </c>
      <c r="C1519" t="s">
        <v>3048</v>
      </c>
      <c r="D1519">
        <v>24745.59</v>
      </c>
      <c r="E1519">
        <v>25745.59</v>
      </c>
      <c r="F1519">
        <v>0.867</v>
      </c>
      <c r="G1519">
        <v>-1000</v>
      </c>
      <c r="H1519">
        <v>2.232143</v>
      </c>
      <c r="I1519">
        <v>2.214967</v>
      </c>
      <c r="J1519">
        <v>0.017176</v>
      </c>
      <c r="K1519" s="4">
        <f t="shared" si="69"/>
        <v>0.00775451733592419</v>
      </c>
      <c r="L1519" s="4">
        <f t="shared" si="70"/>
        <v>-0.0388416035522977</v>
      </c>
      <c r="M1519" s="18">
        <f t="shared" si="71"/>
        <v>-0.0867</v>
      </c>
    </row>
    <row r="1520" spans="1:13">
      <c r="A1520" t="s">
        <v>13</v>
      </c>
      <c r="B1520" t="s">
        <v>3049</v>
      </c>
      <c r="C1520" t="s">
        <v>3050</v>
      </c>
      <c r="D1520">
        <v>30595.11</v>
      </c>
      <c r="E1520">
        <v>30395.11</v>
      </c>
      <c r="F1520">
        <v>1.342</v>
      </c>
      <c r="G1520">
        <v>200</v>
      </c>
      <c r="H1520">
        <v>4.079024</v>
      </c>
      <c r="I1520">
        <v>3.981808</v>
      </c>
      <c r="J1520">
        <v>0.097216</v>
      </c>
      <c r="K1520" s="4">
        <f t="shared" si="69"/>
        <v>0.0244150396001013</v>
      </c>
      <c r="L1520" s="4">
        <f t="shared" si="70"/>
        <v>0.00658000579698511</v>
      </c>
      <c r="M1520" s="18">
        <f t="shared" si="71"/>
        <v>0.02684</v>
      </c>
    </row>
    <row r="1521" spans="1:13">
      <c r="A1521" t="s">
        <v>13</v>
      </c>
      <c r="B1521" t="s">
        <v>3051</v>
      </c>
      <c r="C1521" t="s">
        <v>3052</v>
      </c>
      <c r="D1521">
        <v>19711.6</v>
      </c>
      <c r="E1521">
        <v>19911.6</v>
      </c>
      <c r="F1521">
        <v>1.305</v>
      </c>
      <c r="G1521">
        <v>-200</v>
      </c>
      <c r="H1521">
        <v>2.598464</v>
      </c>
      <c r="I1521">
        <v>2.662851</v>
      </c>
      <c r="J1521">
        <v>-0.064387</v>
      </c>
      <c r="K1521" s="4">
        <f t="shared" si="69"/>
        <v>-0.0241797231613785</v>
      </c>
      <c r="L1521" s="4">
        <f t="shared" si="70"/>
        <v>-0.0100443962313425</v>
      </c>
      <c r="M1521" s="18">
        <f t="shared" si="71"/>
        <v>-0.0261</v>
      </c>
    </row>
    <row r="1522" spans="1:13">
      <c r="A1522" t="s">
        <v>13</v>
      </c>
      <c r="B1522" t="s">
        <v>3053</v>
      </c>
      <c r="C1522" t="s">
        <v>3054</v>
      </c>
      <c r="D1522">
        <v>4092.6</v>
      </c>
      <c r="E1522">
        <v>4092.6</v>
      </c>
      <c r="F1522">
        <v>1.239</v>
      </c>
      <c r="G1522">
        <v>0</v>
      </c>
      <c r="H1522">
        <v>0.507073</v>
      </c>
      <c r="I1522">
        <v>0.506664</v>
      </c>
      <c r="J1522">
        <v>0.000409</v>
      </c>
      <c r="K1522" s="4">
        <f t="shared" si="69"/>
        <v>0.000807241090742583</v>
      </c>
      <c r="L1522" s="4">
        <f t="shared" si="70"/>
        <v>0</v>
      </c>
      <c r="M1522" s="18">
        <f t="shared" si="71"/>
        <v>0</v>
      </c>
    </row>
    <row r="1523" spans="1:13">
      <c r="A1523" t="s">
        <v>13</v>
      </c>
      <c r="B1523" t="s">
        <v>3055</v>
      </c>
      <c r="C1523" t="s">
        <v>3056</v>
      </c>
      <c r="D1523">
        <v>79101.9</v>
      </c>
      <c r="E1523">
        <v>77701.9</v>
      </c>
      <c r="F1523">
        <v>0.942</v>
      </c>
      <c r="G1523">
        <v>1400</v>
      </c>
      <c r="H1523">
        <v>7.319519</v>
      </c>
      <c r="I1523">
        <v>7.61006</v>
      </c>
      <c r="J1523">
        <v>-0.290541</v>
      </c>
      <c r="K1523" s="4">
        <f t="shared" si="69"/>
        <v>-0.0381785426133303</v>
      </c>
      <c r="L1523" s="4">
        <f t="shared" si="70"/>
        <v>0.0180175774337564</v>
      </c>
      <c r="M1523" s="18">
        <f t="shared" si="71"/>
        <v>0.13188</v>
      </c>
    </row>
    <row r="1524" spans="1:13">
      <c r="A1524" t="s">
        <v>13</v>
      </c>
      <c r="B1524" t="s">
        <v>3057</v>
      </c>
      <c r="C1524" t="s">
        <v>3058</v>
      </c>
      <c r="D1524">
        <v>7916.4</v>
      </c>
      <c r="E1524">
        <v>8016.4</v>
      </c>
      <c r="F1524">
        <v>1.477</v>
      </c>
      <c r="G1524">
        <v>-100</v>
      </c>
      <c r="H1524">
        <v>1.184022</v>
      </c>
      <c r="I1524">
        <v>1.16318</v>
      </c>
      <c r="J1524">
        <v>0.020842</v>
      </c>
      <c r="K1524" s="4">
        <f t="shared" si="69"/>
        <v>0.0179181210130848</v>
      </c>
      <c r="L1524" s="4">
        <f t="shared" si="70"/>
        <v>-0.0124744274237812</v>
      </c>
      <c r="M1524" s="18">
        <f t="shared" si="71"/>
        <v>-0.01477</v>
      </c>
    </row>
    <row r="1525" spans="1:13">
      <c r="A1525" t="s">
        <v>13</v>
      </c>
      <c r="B1525" t="s">
        <v>3059</v>
      </c>
      <c r="C1525" t="s">
        <v>3060</v>
      </c>
      <c r="D1525">
        <v>626423.3</v>
      </c>
      <c r="E1525">
        <v>625323.3</v>
      </c>
      <c r="F1525">
        <v>1.783</v>
      </c>
      <c r="G1525">
        <v>1100</v>
      </c>
      <c r="H1525">
        <v>111.495144</v>
      </c>
      <c r="I1525">
        <v>108.885384</v>
      </c>
      <c r="J1525">
        <v>2.60976</v>
      </c>
      <c r="K1525" s="4">
        <f t="shared" si="69"/>
        <v>0.02396795514814</v>
      </c>
      <c r="L1525" s="4">
        <f t="shared" si="70"/>
        <v>0.00175909005789485</v>
      </c>
      <c r="M1525" s="18">
        <f t="shared" si="71"/>
        <v>0.19613</v>
      </c>
    </row>
    <row r="1526" spans="1:13">
      <c r="A1526" t="s">
        <v>13</v>
      </c>
      <c r="B1526" t="s">
        <v>3061</v>
      </c>
      <c r="C1526" t="s">
        <v>3062</v>
      </c>
      <c r="D1526">
        <v>12535.19</v>
      </c>
      <c r="E1526">
        <v>14735.19</v>
      </c>
      <c r="F1526">
        <v>1.022</v>
      </c>
      <c r="G1526">
        <v>-2200</v>
      </c>
      <c r="H1526">
        <v>1.505936</v>
      </c>
      <c r="I1526">
        <v>1.589254</v>
      </c>
      <c r="J1526">
        <v>-0.083318</v>
      </c>
      <c r="K1526" s="4">
        <f t="shared" si="69"/>
        <v>-0.0524258551496488</v>
      </c>
      <c r="L1526" s="4">
        <f t="shared" si="70"/>
        <v>-0.149302452157047</v>
      </c>
      <c r="M1526" s="18">
        <f t="shared" si="71"/>
        <v>-0.22484</v>
      </c>
    </row>
    <row r="1527" spans="1:13">
      <c r="A1527" t="s">
        <v>13</v>
      </c>
      <c r="B1527" t="s">
        <v>3063</v>
      </c>
      <c r="C1527" t="s">
        <v>3064</v>
      </c>
      <c r="D1527">
        <v>21773.2</v>
      </c>
      <c r="E1527">
        <v>21923.2</v>
      </c>
      <c r="F1527">
        <v>1.538</v>
      </c>
      <c r="G1527">
        <v>-150</v>
      </c>
      <c r="H1527">
        <v>3.371788</v>
      </c>
      <c r="I1527">
        <v>3.391519</v>
      </c>
      <c r="J1527">
        <v>-0.019731</v>
      </c>
      <c r="K1527" s="4">
        <f t="shared" si="69"/>
        <v>-0.00581774715105532</v>
      </c>
      <c r="L1527" s="4">
        <f t="shared" si="70"/>
        <v>-0.00684206685155452</v>
      </c>
      <c r="M1527" s="18">
        <f t="shared" si="71"/>
        <v>-0.02307</v>
      </c>
    </row>
    <row r="1528" spans="1:13">
      <c r="A1528" t="s">
        <v>13</v>
      </c>
      <c r="B1528" t="s">
        <v>3065</v>
      </c>
      <c r="C1528" t="s">
        <v>3066</v>
      </c>
      <c r="D1528">
        <v>19596.91</v>
      </c>
      <c r="E1528">
        <v>19796.91</v>
      </c>
      <c r="F1528">
        <v>0.793</v>
      </c>
      <c r="G1528">
        <v>-200</v>
      </c>
      <c r="H1528">
        <v>1.569895</v>
      </c>
      <c r="I1528">
        <v>1.526342</v>
      </c>
      <c r="J1528">
        <v>0.043553</v>
      </c>
      <c r="K1528" s="4">
        <f t="shared" si="69"/>
        <v>0.0285342341362552</v>
      </c>
      <c r="L1528" s="4">
        <f t="shared" si="70"/>
        <v>-0.0101025867168159</v>
      </c>
      <c r="M1528" s="18">
        <f t="shared" si="71"/>
        <v>-0.01586</v>
      </c>
    </row>
    <row r="1529" spans="1:13">
      <c r="A1529" t="s">
        <v>13</v>
      </c>
      <c r="B1529" t="s">
        <v>3067</v>
      </c>
      <c r="C1529" t="s">
        <v>3068</v>
      </c>
      <c r="D1529">
        <v>18872.1</v>
      </c>
      <c r="E1529">
        <v>18972.1</v>
      </c>
      <c r="F1529">
        <v>0.94</v>
      </c>
      <c r="G1529">
        <v>-100</v>
      </c>
      <c r="H1529">
        <v>1.783377</v>
      </c>
      <c r="I1529">
        <v>1.823141</v>
      </c>
      <c r="J1529">
        <v>-0.039764</v>
      </c>
      <c r="K1529" s="4">
        <f t="shared" si="69"/>
        <v>-0.0218107101974011</v>
      </c>
      <c r="L1529" s="4">
        <f t="shared" si="70"/>
        <v>-0.00527089779202092</v>
      </c>
      <c r="M1529" s="18">
        <f t="shared" si="71"/>
        <v>-0.0094</v>
      </c>
    </row>
    <row r="1530" spans="1:13">
      <c r="A1530" t="s">
        <v>13</v>
      </c>
      <c r="B1530" t="s">
        <v>3069</v>
      </c>
      <c r="C1530" t="s">
        <v>3070</v>
      </c>
      <c r="D1530">
        <v>21902.4</v>
      </c>
      <c r="E1530">
        <v>21602.4</v>
      </c>
      <c r="F1530">
        <v>0.922</v>
      </c>
      <c r="G1530">
        <v>300</v>
      </c>
      <c r="H1530">
        <v>1.991741</v>
      </c>
      <c r="I1530">
        <v>2.075179</v>
      </c>
      <c r="J1530">
        <v>-0.083438</v>
      </c>
      <c r="K1530" s="4">
        <f t="shared" si="69"/>
        <v>-0.0402076158249481</v>
      </c>
      <c r="L1530" s="4">
        <f t="shared" si="70"/>
        <v>0.0138873458504611</v>
      </c>
      <c r="M1530" s="18">
        <f t="shared" si="71"/>
        <v>0.02766</v>
      </c>
    </row>
    <row r="1531" spans="1:13">
      <c r="A1531" t="s">
        <v>13</v>
      </c>
      <c r="B1531" t="s">
        <v>3071</v>
      </c>
      <c r="C1531" t="s">
        <v>3072</v>
      </c>
      <c r="D1531">
        <v>1348.3</v>
      </c>
      <c r="E1531">
        <v>1348.3</v>
      </c>
      <c r="F1531">
        <v>1.46</v>
      </c>
      <c r="G1531">
        <v>0</v>
      </c>
      <c r="H1531">
        <v>0.196852</v>
      </c>
      <c r="I1531">
        <v>0.196987</v>
      </c>
      <c r="J1531">
        <v>-0.000135</v>
      </c>
      <c r="K1531" s="4">
        <f t="shared" si="69"/>
        <v>-0.000685324412270861</v>
      </c>
      <c r="L1531" s="4">
        <f t="shared" si="70"/>
        <v>0</v>
      </c>
      <c r="M1531" s="18">
        <f t="shared" si="71"/>
        <v>0</v>
      </c>
    </row>
    <row r="1532" spans="1:13">
      <c r="A1532" t="s">
        <v>13</v>
      </c>
      <c r="B1532" t="s">
        <v>3073</v>
      </c>
      <c r="C1532" t="s">
        <v>3074</v>
      </c>
      <c r="D1532">
        <v>10313.8</v>
      </c>
      <c r="E1532">
        <v>11313.8</v>
      </c>
      <c r="G1532">
        <v>-1000</v>
      </c>
      <c r="H1532">
        <v>1.180029</v>
      </c>
      <c r="I1532">
        <v>1.19506</v>
      </c>
      <c r="J1532">
        <v>-0.015031</v>
      </c>
      <c r="K1532" s="4">
        <f t="shared" si="69"/>
        <v>-0.0125776111659666</v>
      </c>
      <c r="L1532" s="4">
        <f t="shared" si="70"/>
        <v>-0.0883876328024183</v>
      </c>
      <c r="M1532" s="18">
        <f t="shared" si="71"/>
        <v>0</v>
      </c>
    </row>
    <row r="1533" spans="1:13">
      <c r="A1533" t="s">
        <v>13</v>
      </c>
      <c r="B1533" t="s">
        <v>3075</v>
      </c>
      <c r="C1533" t="s">
        <v>3076</v>
      </c>
      <c r="D1533">
        <v>37052.2</v>
      </c>
      <c r="E1533">
        <v>37652.2</v>
      </c>
      <c r="G1533">
        <v>-600</v>
      </c>
      <c r="H1533">
        <v>2.985819</v>
      </c>
      <c r="I1533">
        <v>2.9695</v>
      </c>
      <c r="J1533">
        <v>0.016319</v>
      </c>
      <c r="K1533" s="4">
        <f t="shared" si="69"/>
        <v>0.00549553796935511</v>
      </c>
      <c r="L1533" s="4">
        <f t="shared" si="70"/>
        <v>-0.0159353238323391</v>
      </c>
      <c r="M1533" s="18">
        <f t="shared" si="71"/>
        <v>0</v>
      </c>
    </row>
    <row r="1534" spans="1:13">
      <c r="A1534" t="s">
        <v>13</v>
      </c>
      <c r="B1534" t="s">
        <v>3077</v>
      </c>
      <c r="C1534" t="s">
        <v>3078</v>
      </c>
      <c r="D1534">
        <v>1318.71</v>
      </c>
      <c r="E1534">
        <v>1518.71</v>
      </c>
      <c r="F1534">
        <v>1.286</v>
      </c>
      <c r="G1534">
        <v>-200</v>
      </c>
      <c r="H1534">
        <v>0.195306</v>
      </c>
      <c r="I1534">
        <v>0.189079</v>
      </c>
      <c r="J1534">
        <v>0.006227</v>
      </c>
      <c r="K1534" s="4">
        <f t="shared" si="69"/>
        <v>0.0329333241660893</v>
      </c>
      <c r="L1534" s="4">
        <f t="shared" si="70"/>
        <v>-0.131690711195686</v>
      </c>
      <c r="M1534" s="18">
        <f t="shared" si="71"/>
        <v>-0.02572</v>
      </c>
    </row>
    <row r="1535" spans="1:13">
      <c r="A1535" t="s">
        <v>13</v>
      </c>
      <c r="B1535" t="s">
        <v>3079</v>
      </c>
      <c r="C1535" t="s">
        <v>3080</v>
      </c>
      <c r="D1535">
        <v>4742</v>
      </c>
      <c r="E1535">
        <v>4742</v>
      </c>
      <c r="F1535">
        <v>1.358</v>
      </c>
      <c r="G1535">
        <v>0</v>
      </c>
      <c r="H1535">
        <v>0.643964</v>
      </c>
      <c r="I1535">
        <v>0.636851</v>
      </c>
      <c r="J1535">
        <v>0.007113</v>
      </c>
      <c r="K1535" s="4">
        <f t="shared" si="69"/>
        <v>0.0111690175566969</v>
      </c>
      <c r="L1535" s="4">
        <f t="shared" si="70"/>
        <v>0</v>
      </c>
      <c r="M1535" s="18">
        <f t="shared" si="71"/>
        <v>0</v>
      </c>
    </row>
    <row r="1536" spans="1:13">
      <c r="A1536" t="s">
        <v>13</v>
      </c>
      <c r="B1536" t="s">
        <v>3081</v>
      </c>
      <c r="C1536" t="s">
        <v>3082</v>
      </c>
      <c r="D1536">
        <v>25235.6</v>
      </c>
      <c r="E1536">
        <v>25635.6</v>
      </c>
      <c r="G1536">
        <v>-400</v>
      </c>
      <c r="H1536">
        <v>2.363602</v>
      </c>
      <c r="I1536">
        <v>2.32227</v>
      </c>
      <c r="J1536">
        <v>0.041332</v>
      </c>
      <c r="K1536" s="4">
        <f t="shared" si="69"/>
        <v>0.0177981027184608</v>
      </c>
      <c r="L1536" s="4">
        <f t="shared" si="70"/>
        <v>-0.015603301658631</v>
      </c>
      <c r="M1536" s="18">
        <f t="shared" si="71"/>
        <v>0</v>
      </c>
    </row>
    <row r="1537" spans="1:13">
      <c r="A1537" t="s">
        <v>13</v>
      </c>
      <c r="B1537" t="s">
        <v>3083</v>
      </c>
      <c r="C1537" t="s">
        <v>3084</v>
      </c>
      <c r="D1537">
        <v>21055</v>
      </c>
      <c r="E1537">
        <v>21355</v>
      </c>
      <c r="F1537">
        <v>0.949</v>
      </c>
      <c r="G1537">
        <v>-300</v>
      </c>
      <c r="H1537">
        <v>2.02659</v>
      </c>
      <c r="I1537">
        <v>2.047725</v>
      </c>
      <c r="J1537">
        <v>-0.021135</v>
      </c>
      <c r="K1537" s="4">
        <f t="shared" si="69"/>
        <v>-0.0103212101234297</v>
      </c>
      <c r="L1537" s="4">
        <f t="shared" si="70"/>
        <v>-0.0140482322641068</v>
      </c>
      <c r="M1537" s="18">
        <f t="shared" si="71"/>
        <v>-0.02847</v>
      </c>
    </row>
    <row r="1538" spans="1:13">
      <c r="A1538" t="s">
        <v>13</v>
      </c>
      <c r="B1538" t="s">
        <v>3085</v>
      </c>
      <c r="C1538" t="s">
        <v>3086</v>
      </c>
      <c r="D1538">
        <v>18625</v>
      </c>
      <c r="E1538">
        <v>19825</v>
      </c>
      <c r="F1538">
        <v>1.07</v>
      </c>
      <c r="G1538">
        <v>-1200</v>
      </c>
      <c r="H1538">
        <v>2.121275</v>
      </c>
      <c r="I1538">
        <v>2.14871</v>
      </c>
      <c r="J1538">
        <v>-0.027435</v>
      </c>
      <c r="K1538" s="4">
        <f t="shared" ref="K1538:K1601" si="72">IFERROR(J1538/I1538,"")</f>
        <v>-0.0127681259918742</v>
      </c>
      <c r="L1538" s="4">
        <f t="shared" ref="L1538:L1601" si="73">IFERROR((D1538-E1538)/E1538,"")</f>
        <v>-0.0605296343001261</v>
      </c>
      <c r="M1538" s="18">
        <f t="shared" ref="M1538:M1601" si="74">IFERROR(F1538*G1538/10000,"")</f>
        <v>-0.1284</v>
      </c>
    </row>
    <row r="1539" spans="1:13">
      <c r="A1539" t="s">
        <v>13</v>
      </c>
      <c r="B1539" t="s">
        <v>3087</v>
      </c>
      <c r="C1539" t="s">
        <v>3088</v>
      </c>
      <c r="D1539">
        <v>6356.5</v>
      </c>
      <c r="E1539">
        <v>6656.5</v>
      </c>
      <c r="F1539">
        <v>1.095</v>
      </c>
      <c r="G1539">
        <v>-300</v>
      </c>
      <c r="H1539">
        <v>0.728887</v>
      </c>
      <c r="I1539">
        <v>1.108537</v>
      </c>
      <c r="J1539">
        <v>-0.37965</v>
      </c>
      <c r="K1539" s="4">
        <f t="shared" si="72"/>
        <v>-0.342478419755046</v>
      </c>
      <c r="L1539" s="4">
        <f t="shared" si="73"/>
        <v>-0.0450687298129648</v>
      </c>
      <c r="M1539" s="18">
        <f t="shared" si="74"/>
        <v>-0.03285</v>
      </c>
    </row>
    <row r="1540" spans="1:13">
      <c r="A1540" t="s">
        <v>13</v>
      </c>
      <c r="B1540" t="s">
        <v>3089</v>
      </c>
      <c r="C1540" t="s">
        <v>3090</v>
      </c>
      <c r="D1540">
        <v>3125</v>
      </c>
      <c r="E1540">
        <v>3125</v>
      </c>
      <c r="F1540">
        <v>1.159</v>
      </c>
      <c r="G1540">
        <v>0</v>
      </c>
      <c r="H1540">
        <v>0.362188</v>
      </c>
      <c r="I1540">
        <v>0.366563</v>
      </c>
      <c r="J1540">
        <v>-0.004375</v>
      </c>
      <c r="K1540" s="4">
        <f t="shared" si="72"/>
        <v>-0.0119351925862676</v>
      </c>
      <c r="L1540" s="4">
        <f t="shared" si="73"/>
        <v>0</v>
      </c>
      <c r="M1540" s="18">
        <f t="shared" si="74"/>
        <v>0</v>
      </c>
    </row>
    <row r="1541" spans="1:13">
      <c r="A1541" t="s">
        <v>13</v>
      </c>
      <c r="B1541" t="s">
        <v>3091</v>
      </c>
      <c r="C1541" t="s">
        <v>3092</v>
      </c>
      <c r="D1541">
        <v>21897.4</v>
      </c>
      <c r="E1541">
        <v>21597.4</v>
      </c>
      <c r="F1541">
        <v>1.333</v>
      </c>
      <c r="G1541">
        <v>300</v>
      </c>
      <c r="H1541">
        <v>2.878933</v>
      </c>
      <c r="I1541">
        <v>2.907975</v>
      </c>
      <c r="J1541">
        <v>-0.029042</v>
      </c>
      <c r="K1541" s="4">
        <f t="shared" si="72"/>
        <v>-0.00998701845786157</v>
      </c>
      <c r="L1541" s="4">
        <f t="shared" si="73"/>
        <v>0.0138905609008492</v>
      </c>
      <c r="M1541" s="18">
        <f t="shared" si="74"/>
        <v>0.03999</v>
      </c>
    </row>
    <row r="1542" spans="1:13">
      <c r="A1542" t="s">
        <v>13</v>
      </c>
      <c r="B1542" t="s">
        <v>3093</v>
      </c>
      <c r="C1542" t="s">
        <v>3094</v>
      </c>
      <c r="D1542">
        <v>51274.69</v>
      </c>
      <c r="E1542">
        <v>48474.69</v>
      </c>
      <c r="F1542">
        <v>2.079</v>
      </c>
      <c r="G1542">
        <v>2800</v>
      </c>
      <c r="H1542">
        <v>10.077889</v>
      </c>
      <c r="I1542">
        <v>9.750501</v>
      </c>
      <c r="J1542">
        <v>0.327388</v>
      </c>
      <c r="K1542" s="4">
        <f t="shared" si="72"/>
        <v>0.0335765310931202</v>
      </c>
      <c r="L1542" s="4">
        <f t="shared" si="73"/>
        <v>0.0577621022434594</v>
      </c>
      <c r="M1542" s="18">
        <f t="shared" si="74"/>
        <v>0.58212</v>
      </c>
    </row>
    <row r="1543" spans="1:13">
      <c r="A1543" t="s">
        <v>13</v>
      </c>
      <c r="B1543" t="s">
        <v>3095</v>
      </c>
      <c r="C1543" t="s">
        <v>3096</v>
      </c>
      <c r="D1543">
        <v>3115.99</v>
      </c>
      <c r="E1543">
        <v>3115.99</v>
      </c>
      <c r="F1543">
        <v>1.292</v>
      </c>
      <c r="G1543">
        <v>0</v>
      </c>
      <c r="H1543">
        <v>0.402586</v>
      </c>
      <c r="I1543">
        <v>0.404455</v>
      </c>
      <c r="J1543">
        <v>-0.001869</v>
      </c>
      <c r="K1543" s="4">
        <f t="shared" si="72"/>
        <v>-0.00462103324226428</v>
      </c>
      <c r="L1543" s="4">
        <f t="shared" si="73"/>
        <v>0</v>
      </c>
      <c r="M1543" s="18">
        <f t="shared" si="74"/>
        <v>0</v>
      </c>
    </row>
    <row r="1544" spans="1:13">
      <c r="A1544" t="s">
        <v>13</v>
      </c>
      <c r="B1544" t="s">
        <v>3097</v>
      </c>
      <c r="C1544" t="s">
        <v>3098</v>
      </c>
      <c r="D1544">
        <v>10593.52</v>
      </c>
      <c r="E1544">
        <v>10593.52</v>
      </c>
      <c r="F1544">
        <v>1.105</v>
      </c>
      <c r="G1544">
        <v>0</v>
      </c>
      <c r="H1544">
        <v>1.170584</v>
      </c>
      <c r="I1544">
        <v>1.155753</v>
      </c>
      <c r="J1544">
        <v>0.014831</v>
      </c>
      <c r="K1544" s="4">
        <f t="shared" si="72"/>
        <v>0.012832326630344</v>
      </c>
      <c r="L1544" s="4">
        <f t="shared" si="73"/>
        <v>0</v>
      </c>
      <c r="M1544" s="18">
        <f t="shared" si="74"/>
        <v>0</v>
      </c>
    </row>
    <row r="1545" spans="1:13">
      <c r="A1545" t="s">
        <v>13</v>
      </c>
      <c r="B1545" t="s">
        <v>3099</v>
      </c>
      <c r="C1545" t="s">
        <v>3100</v>
      </c>
      <c r="D1545">
        <v>270083.5</v>
      </c>
      <c r="E1545">
        <v>267983.5</v>
      </c>
      <c r="F1545">
        <v>0.909</v>
      </c>
      <c r="G1545">
        <v>2100</v>
      </c>
      <c r="H1545">
        <v>24.3597</v>
      </c>
      <c r="I1545">
        <v>24.364682</v>
      </c>
      <c r="J1545">
        <v>-0.004982</v>
      </c>
      <c r="K1545" s="4">
        <f t="shared" si="72"/>
        <v>-0.000204476298931379</v>
      </c>
      <c r="L1545" s="4">
        <f t="shared" si="73"/>
        <v>0.00783630335449757</v>
      </c>
      <c r="M1545" s="18">
        <f t="shared" si="74"/>
        <v>0.19089</v>
      </c>
    </row>
    <row r="1546" spans="1:13">
      <c r="A1546" t="s">
        <v>13</v>
      </c>
      <c r="B1546" t="s">
        <v>3101</v>
      </c>
      <c r="C1546" t="s">
        <v>3102</v>
      </c>
      <c r="D1546">
        <v>59303.27</v>
      </c>
      <c r="E1546">
        <v>61153.27</v>
      </c>
      <c r="F1546">
        <v>1.194</v>
      </c>
      <c r="G1546">
        <v>-1850</v>
      </c>
      <c r="H1546">
        <v>7.3017</v>
      </c>
      <c r="I1546">
        <v>7.954314</v>
      </c>
      <c r="J1546">
        <v>-0.652614</v>
      </c>
      <c r="K1546" s="4">
        <f t="shared" si="72"/>
        <v>-0.0820452901406708</v>
      </c>
      <c r="L1546" s="4">
        <f t="shared" si="73"/>
        <v>-0.0302518573413981</v>
      </c>
      <c r="M1546" s="18">
        <f t="shared" si="74"/>
        <v>-0.22089</v>
      </c>
    </row>
    <row r="1547" spans="1:13">
      <c r="A1547" t="s">
        <v>13</v>
      </c>
      <c r="B1547" t="s">
        <v>3103</v>
      </c>
      <c r="C1547" t="s">
        <v>3104</v>
      </c>
      <c r="D1547">
        <v>4760.96</v>
      </c>
      <c r="E1547">
        <v>4960.96</v>
      </c>
      <c r="F1547">
        <v>1.409</v>
      </c>
      <c r="G1547">
        <v>-200</v>
      </c>
      <c r="H1547">
        <v>0.698999</v>
      </c>
      <c r="I1547">
        <v>0.694038</v>
      </c>
      <c r="J1547">
        <v>0.004961</v>
      </c>
      <c r="K1547" s="4">
        <f t="shared" si="72"/>
        <v>0.00714802359524983</v>
      </c>
      <c r="L1547" s="4">
        <f t="shared" si="73"/>
        <v>-0.0403147777849448</v>
      </c>
      <c r="M1547" s="18">
        <f t="shared" si="74"/>
        <v>-0.02818</v>
      </c>
    </row>
    <row r="1548" spans="1:13">
      <c r="A1548" t="s">
        <v>13</v>
      </c>
      <c r="B1548" t="s">
        <v>3105</v>
      </c>
      <c r="C1548" t="s">
        <v>3106</v>
      </c>
      <c r="D1548">
        <v>20431.8</v>
      </c>
      <c r="E1548">
        <v>20431.8</v>
      </c>
      <c r="F1548">
        <v>1.05</v>
      </c>
      <c r="G1548">
        <v>0</v>
      </c>
      <c r="H1548">
        <v>2.145339</v>
      </c>
      <c r="I1548">
        <v>2.182845</v>
      </c>
      <c r="J1548">
        <v>-0.037506</v>
      </c>
      <c r="K1548" s="4">
        <f t="shared" si="72"/>
        <v>-0.0171821636442349</v>
      </c>
      <c r="L1548" s="4">
        <f t="shared" si="73"/>
        <v>0</v>
      </c>
      <c r="M1548" s="18">
        <f t="shared" si="74"/>
        <v>0</v>
      </c>
    </row>
    <row r="1549" spans="1:13">
      <c r="A1549" t="s">
        <v>13</v>
      </c>
      <c r="B1549" t="s">
        <v>3107</v>
      </c>
      <c r="C1549" t="s">
        <v>3108</v>
      </c>
      <c r="D1549">
        <v>3147.05</v>
      </c>
      <c r="E1549">
        <v>3147.05</v>
      </c>
      <c r="F1549">
        <v>1.56</v>
      </c>
      <c r="G1549">
        <v>0</v>
      </c>
      <c r="H1549">
        <v>0.490939</v>
      </c>
      <c r="I1549">
        <v>0.486848</v>
      </c>
      <c r="J1549">
        <v>0.004091</v>
      </c>
      <c r="K1549" s="4">
        <f t="shared" si="72"/>
        <v>0.00840303339029841</v>
      </c>
      <c r="L1549" s="4">
        <f t="shared" si="73"/>
        <v>0</v>
      </c>
      <c r="M1549" s="18">
        <f t="shared" si="74"/>
        <v>0</v>
      </c>
    </row>
    <row r="1550" spans="1:13">
      <c r="A1550" t="s">
        <v>13</v>
      </c>
      <c r="B1550" t="s">
        <v>3109</v>
      </c>
      <c r="C1550" t="s">
        <v>3110</v>
      </c>
      <c r="D1550">
        <v>3405.3</v>
      </c>
      <c r="E1550">
        <v>3405.3</v>
      </c>
      <c r="F1550">
        <v>2.09</v>
      </c>
      <c r="G1550">
        <v>0</v>
      </c>
      <c r="H1550">
        <v>0.711708</v>
      </c>
      <c r="I1550">
        <v>0.690935</v>
      </c>
      <c r="J1550">
        <v>0.020773</v>
      </c>
      <c r="K1550" s="4">
        <f t="shared" si="72"/>
        <v>0.0300650567708974</v>
      </c>
      <c r="L1550" s="4">
        <f t="shared" si="73"/>
        <v>0</v>
      </c>
      <c r="M1550" s="18">
        <f t="shared" si="74"/>
        <v>0</v>
      </c>
    </row>
    <row r="1551" spans="1:13">
      <c r="A1551" t="s">
        <v>13</v>
      </c>
      <c r="B1551" t="s">
        <v>3111</v>
      </c>
      <c r="C1551" t="s">
        <v>3112</v>
      </c>
      <c r="D1551">
        <v>45647.78</v>
      </c>
      <c r="E1551">
        <v>46047.78</v>
      </c>
      <c r="F1551">
        <v>1.369</v>
      </c>
      <c r="G1551">
        <v>-400</v>
      </c>
      <c r="H1551">
        <v>6.303942</v>
      </c>
      <c r="I1551">
        <v>6.326697</v>
      </c>
      <c r="J1551">
        <v>-0.022755</v>
      </c>
      <c r="K1551" s="4">
        <f t="shared" si="72"/>
        <v>-0.00359666347226681</v>
      </c>
      <c r="L1551" s="4">
        <f t="shared" si="73"/>
        <v>-0.00868662940971313</v>
      </c>
      <c r="M1551" s="18">
        <f t="shared" si="74"/>
        <v>-0.05476</v>
      </c>
    </row>
    <row r="1552" spans="1:13">
      <c r="A1552" t="s">
        <v>13</v>
      </c>
      <c r="B1552" t="s">
        <v>3113</v>
      </c>
      <c r="C1552" t="s">
        <v>3114</v>
      </c>
      <c r="D1552">
        <v>2749.52</v>
      </c>
      <c r="E1552">
        <v>2749.52</v>
      </c>
      <c r="F1552">
        <v>1.267</v>
      </c>
      <c r="G1552">
        <v>0</v>
      </c>
      <c r="H1552">
        <v>0.348365</v>
      </c>
      <c r="I1552">
        <v>0.360686</v>
      </c>
      <c r="J1552">
        <v>-0.012321</v>
      </c>
      <c r="K1552" s="4">
        <f t="shared" si="72"/>
        <v>-0.0341599064005811</v>
      </c>
      <c r="L1552" s="4">
        <f t="shared" si="73"/>
        <v>0</v>
      </c>
      <c r="M1552" s="18">
        <f t="shared" si="74"/>
        <v>0</v>
      </c>
    </row>
    <row r="1553" spans="1:13">
      <c r="A1553" t="s">
        <v>13</v>
      </c>
      <c r="B1553" t="s">
        <v>3115</v>
      </c>
      <c r="C1553" t="s">
        <v>3116</v>
      </c>
      <c r="D1553">
        <v>7284.77</v>
      </c>
      <c r="E1553">
        <v>7284.77</v>
      </c>
      <c r="F1553">
        <v>1.803</v>
      </c>
      <c r="G1553">
        <v>0</v>
      </c>
      <c r="H1553">
        <v>1.313444</v>
      </c>
      <c r="I1553">
        <v>1.347055</v>
      </c>
      <c r="J1553">
        <v>-0.033611</v>
      </c>
      <c r="K1553" s="4">
        <f t="shared" si="72"/>
        <v>-0.0249514682028573</v>
      </c>
      <c r="L1553" s="4">
        <f t="shared" si="73"/>
        <v>0</v>
      </c>
      <c r="M1553" s="18">
        <f t="shared" si="74"/>
        <v>0</v>
      </c>
    </row>
    <row r="1554" spans="1:13">
      <c r="A1554" t="s">
        <v>13</v>
      </c>
      <c r="B1554" t="s">
        <v>3117</v>
      </c>
      <c r="C1554" t="s">
        <v>3118</v>
      </c>
      <c r="D1554">
        <v>37696.5</v>
      </c>
      <c r="E1554">
        <v>34996.5</v>
      </c>
      <c r="F1554">
        <v>1.077</v>
      </c>
      <c r="G1554">
        <v>2700</v>
      </c>
      <c r="H1554">
        <v>3.769123</v>
      </c>
      <c r="I1554">
        <v>3.848104</v>
      </c>
      <c r="J1554">
        <v>-0.078981</v>
      </c>
      <c r="K1554" s="4">
        <f t="shared" si="72"/>
        <v>-0.0205246531798517</v>
      </c>
      <c r="L1554" s="4">
        <f t="shared" si="73"/>
        <v>0.0771505722000771</v>
      </c>
      <c r="M1554" s="18">
        <f t="shared" si="74"/>
        <v>0.29079</v>
      </c>
    </row>
    <row r="1555" spans="1:13">
      <c r="A1555" t="s">
        <v>13</v>
      </c>
      <c r="B1555" t="s">
        <v>3119</v>
      </c>
      <c r="C1555" t="s">
        <v>3120</v>
      </c>
      <c r="D1555">
        <v>4191.66</v>
      </c>
      <c r="E1555">
        <v>3791.66</v>
      </c>
      <c r="F1555">
        <v>1.843</v>
      </c>
      <c r="G1555">
        <v>400</v>
      </c>
      <c r="H1555">
        <v>0.698802</v>
      </c>
      <c r="I1555">
        <v>0.671502</v>
      </c>
      <c r="J1555">
        <v>0.0273</v>
      </c>
      <c r="K1555" s="4">
        <f t="shared" si="72"/>
        <v>0.0406551283540481</v>
      </c>
      <c r="L1555" s="4">
        <f t="shared" si="73"/>
        <v>0.105494690979676</v>
      </c>
      <c r="M1555" s="18">
        <f t="shared" si="74"/>
        <v>0.07372</v>
      </c>
    </row>
    <row r="1556" spans="1:13">
      <c r="A1556" t="s">
        <v>13</v>
      </c>
      <c r="B1556" t="s">
        <v>3121</v>
      </c>
      <c r="C1556" t="s">
        <v>3122</v>
      </c>
      <c r="D1556">
        <v>5536.9</v>
      </c>
      <c r="E1556">
        <v>5536.9</v>
      </c>
      <c r="F1556">
        <v>0.891</v>
      </c>
      <c r="G1556">
        <v>0</v>
      </c>
      <c r="H1556">
        <v>0.493338</v>
      </c>
      <c r="I1556">
        <v>0.512958</v>
      </c>
      <c r="J1556">
        <v>-0.01962</v>
      </c>
      <c r="K1556" s="4">
        <f t="shared" si="72"/>
        <v>-0.0382487455113284</v>
      </c>
      <c r="L1556" s="4">
        <f t="shared" si="73"/>
        <v>0</v>
      </c>
      <c r="M1556" s="18">
        <f t="shared" si="74"/>
        <v>0</v>
      </c>
    </row>
    <row r="1557" spans="1:13">
      <c r="A1557" t="s">
        <v>13</v>
      </c>
      <c r="B1557" t="s">
        <v>3123</v>
      </c>
      <c r="C1557" t="s">
        <v>3124</v>
      </c>
      <c r="D1557">
        <v>93369.61</v>
      </c>
      <c r="E1557">
        <v>94069.61</v>
      </c>
      <c r="F1557">
        <v>2.07</v>
      </c>
      <c r="G1557">
        <v>-700</v>
      </c>
      <c r="H1557">
        <v>19.472409</v>
      </c>
      <c r="I1557">
        <v>19.470186</v>
      </c>
      <c r="J1557">
        <v>0.002223</v>
      </c>
      <c r="K1557" s="4">
        <f t="shared" si="72"/>
        <v>0.00011417456412589</v>
      </c>
      <c r="L1557" s="4">
        <f t="shared" si="73"/>
        <v>-0.007441297991987</v>
      </c>
      <c r="M1557" s="18">
        <f t="shared" si="74"/>
        <v>-0.1449</v>
      </c>
    </row>
    <row r="1558" spans="1:13">
      <c r="A1558" t="s">
        <v>13</v>
      </c>
      <c r="B1558" t="s">
        <v>3125</v>
      </c>
      <c r="C1558" t="s">
        <v>3126</v>
      </c>
      <c r="D1558">
        <v>6770</v>
      </c>
      <c r="E1558">
        <v>6770</v>
      </c>
      <c r="F1558">
        <v>1.375</v>
      </c>
      <c r="G1558">
        <v>0</v>
      </c>
      <c r="H1558">
        <v>0.930875</v>
      </c>
      <c r="I1558">
        <v>0.924105</v>
      </c>
      <c r="J1558">
        <v>0.00677</v>
      </c>
      <c r="K1558" s="4">
        <f t="shared" si="72"/>
        <v>0.00732600732600733</v>
      </c>
      <c r="L1558" s="4">
        <f t="shared" si="73"/>
        <v>0</v>
      </c>
      <c r="M1558" s="18">
        <f t="shared" si="74"/>
        <v>0</v>
      </c>
    </row>
    <row r="1559" spans="1:13">
      <c r="A1559" t="s">
        <v>13</v>
      </c>
      <c r="B1559" t="s">
        <v>3127</v>
      </c>
      <c r="C1559" t="s">
        <v>3128</v>
      </c>
      <c r="D1559">
        <v>142414.8</v>
      </c>
      <c r="E1559">
        <v>146414.8</v>
      </c>
      <c r="F1559">
        <v>1.4</v>
      </c>
      <c r="G1559">
        <v>-4000</v>
      </c>
      <c r="H1559">
        <v>20.498072</v>
      </c>
      <c r="I1559">
        <v>20.858593</v>
      </c>
      <c r="J1559">
        <v>-0.360521</v>
      </c>
      <c r="K1559" s="4">
        <f t="shared" si="72"/>
        <v>-0.0172840517095281</v>
      </c>
      <c r="L1559" s="4">
        <f t="shared" si="73"/>
        <v>-0.0273196425497969</v>
      </c>
      <c r="M1559" s="18">
        <f t="shared" si="74"/>
        <v>-0.56</v>
      </c>
    </row>
    <row r="1560" spans="1:13">
      <c r="A1560" t="s">
        <v>13</v>
      </c>
      <c r="B1560" t="s">
        <v>3129</v>
      </c>
      <c r="C1560" t="s">
        <v>3130</v>
      </c>
      <c r="D1560">
        <v>2235.6</v>
      </c>
      <c r="E1560">
        <v>2235.6</v>
      </c>
      <c r="F1560">
        <v>1.554</v>
      </c>
      <c r="G1560">
        <v>0</v>
      </c>
      <c r="H1560">
        <v>0.347412</v>
      </c>
      <c r="I1560">
        <v>0.347189</v>
      </c>
      <c r="J1560">
        <v>0.000223</v>
      </c>
      <c r="K1560" s="4">
        <f t="shared" si="72"/>
        <v>0.000642301455403253</v>
      </c>
      <c r="L1560" s="4">
        <f t="shared" si="73"/>
        <v>0</v>
      </c>
      <c r="M1560" s="18">
        <f t="shared" si="74"/>
        <v>0</v>
      </c>
    </row>
    <row r="1561" spans="1:13">
      <c r="A1561" t="s">
        <v>13</v>
      </c>
      <c r="B1561" t="s">
        <v>3131</v>
      </c>
      <c r="C1561" t="s">
        <v>3132</v>
      </c>
      <c r="D1561">
        <v>286541.36</v>
      </c>
      <c r="E1561">
        <v>291841.36</v>
      </c>
      <c r="F1561">
        <v>2.342</v>
      </c>
      <c r="G1561">
        <v>-5300</v>
      </c>
      <c r="H1561">
        <v>68.349246</v>
      </c>
      <c r="I1561">
        <v>68.732054</v>
      </c>
      <c r="J1561">
        <v>-0.382808</v>
      </c>
      <c r="K1561" s="4">
        <f t="shared" si="72"/>
        <v>-0.00556957020373638</v>
      </c>
      <c r="L1561" s="4">
        <f t="shared" si="73"/>
        <v>-0.01816055133515</v>
      </c>
      <c r="M1561" s="18">
        <f t="shared" si="74"/>
        <v>-1.24126</v>
      </c>
    </row>
    <row r="1562" spans="1:13">
      <c r="A1562" t="s">
        <v>13</v>
      </c>
      <c r="B1562" t="s">
        <v>3133</v>
      </c>
      <c r="C1562" t="s">
        <v>3134</v>
      </c>
      <c r="D1562">
        <v>5760.03</v>
      </c>
      <c r="E1562">
        <v>5610.03</v>
      </c>
      <c r="F1562">
        <v>0.841</v>
      </c>
      <c r="G1562">
        <v>150</v>
      </c>
      <c r="H1562">
        <v>0.471803</v>
      </c>
      <c r="I1562">
        <v>0.472364</v>
      </c>
      <c r="J1562">
        <v>-0.000561</v>
      </c>
      <c r="K1562" s="4">
        <f t="shared" si="72"/>
        <v>-0.00118764342752623</v>
      </c>
      <c r="L1562" s="4">
        <f t="shared" si="73"/>
        <v>0.0267378249314175</v>
      </c>
      <c r="M1562" s="18">
        <f t="shared" si="74"/>
        <v>0.012615</v>
      </c>
    </row>
    <row r="1563" spans="1:13">
      <c r="A1563" t="s">
        <v>13</v>
      </c>
      <c r="B1563" t="s">
        <v>3135</v>
      </c>
      <c r="C1563" t="s">
        <v>3136</v>
      </c>
      <c r="D1563">
        <v>6520.6</v>
      </c>
      <c r="E1563">
        <v>6520.6</v>
      </c>
      <c r="F1563">
        <v>0.874</v>
      </c>
      <c r="G1563">
        <v>0</v>
      </c>
      <c r="H1563">
        <v>0.569901</v>
      </c>
      <c r="I1563">
        <v>0.573813</v>
      </c>
      <c r="J1563">
        <v>-0.003912</v>
      </c>
      <c r="K1563" s="4">
        <f t="shared" si="72"/>
        <v>-0.00681755205964312</v>
      </c>
      <c r="L1563" s="4">
        <f t="shared" si="73"/>
        <v>0</v>
      </c>
      <c r="M1563" s="18">
        <f t="shared" si="74"/>
        <v>0</v>
      </c>
    </row>
    <row r="1564" spans="1:13">
      <c r="A1564" t="s">
        <v>13</v>
      </c>
      <c r="B1564" t="s">
        <v>3137</v>
      </c>
      <c r="C1564" t="s">
        <v>3138</v>
      </c>
      <c r="D1564">
        <v>111148.96</v>
      </c>
      <c r="E1564">
        <v>110998.96</v>
      </c>
      <c r="F1564">
        <v>1.546</v>
      </c>
      <c r="G1564">
        <v>150</v>
      </c>
      <c r="H1564">
        <v>17.160438</v>
      </c>
      <c r="I1564">
        <v>17.082739</v>
      </c>
      <c r="J1564">
        <v>0.077699</v>
      </c>
      <c r="K1564" s="4">
        <f t="shared" si="72"/>
        <v>0.00454839238602194</v>
      </c>
      <c r="L1564" s="4">
        <f t="shared" si="73"/>
        <v>0.00135136401277994</v>
      </c>
      <c r="M1564" s="18">
        <f t="shared" si="74"/>
        <v>0.02319</v>
      </c>
    </row>
    <row r="1565" spans="1:13">
      <c r="A1565" t="s">
        <v>13</v>
      </c>
      <c r="B1565" t="s">
        <v>3139</v>
      </c>
      <c r="C1565" t="s">
        <v>3140</v>
      </c>
      <c r="D1565">
        <v>236512.42</v>
      </c>
      <c r="E1565">
        <v>245962.42</v>
      </c>
      <c r="F1565">
        <v>1.324</v>
      </c>
      <c r="G1565">
        <v>-9450</v>
      </c>
      <c r="H1565">
        <v>32.565424</v>
      </c>
      <c r="I1565">
        <v>33.890104</v>
      </c>
      <c r="J1565">
        <v>-1.32468</v>
      </c>
      <c r="K1565" s="4">
        <f t="shared" si="72"/>
        <v>-0.039087516521047</v>
      </c>
      <c r="L1565" s="4">
        <f t="shared" si="73"/>
        <v>-0.0384205034248728</v>
      </c>
      <c r="M1565" s="18">
        <f t="shared" si="74"/>
        <v>-1.25118</v>
      </c>
    </row>
    <row r="1566" spans="1:13">
      <c r="A1566" t="s">
        <v>13</v>
      </c>
      <c r="B1566" t="s">
        <v>3141</v>
      </c>
      <c r="C1566" t="s">
        <v>3142</v>
      </c>
      <c r="D1566">
        <v>9214.7</v>
      </c>
      <c r="E1566">
        <v>9514.7</v>
      </c>
      <c r="F1566">
        <v>1.322</v>
      </c>
      <c r="G1566">
        <v>-300</v>
      </c>
      <c r="H1566">
        <v>1.257843</v>
      </c>
      <c r="I1566">
        <v>1.273067</v>
      </c>
      <c r="J1566">
        <v>-0.015224</v>
      </c>
      <c r="K1566" s="4">
        <f t="shared" si="72"/>
        <v>-0.0119585222144632</v>
      </c>
      <c r="L1566" s="4">
        <f t="shared" si="73"/>
        <v>-0.0315301585966977</v>
      </c>
      <c r="M1566" s="18">
        <f t="shared" si="74"/>
        <v>-0.03966</v>
      </c>
    </row>
    <row r="1567" spans="1:13">
      <c r="A1567" t="s">
        <v>13</v>
      </c>
      <c r="B1567" t="s">
        <v>3143</v>
      </c>
      <c r="C1567" t="s">
        <v>3144</v>
      </c>
      <c r="D1567">
        <v>203737.07</v>
      </c>
      <c r="E1567">
        <v>202387.07</v>
      </c>
      <c r="F1567">
        <v>1.146</v>
      </c>
      <c r="G1567">
        <v>1350</v>
      </c>
      <c r="H1567">
        <v>23.193558</v>
      </c>
      <c r="I1567">
        <v>23.626004</v>
      </c>
      <c r="J1567">
        <v>-0.432446</v>
      </c>
      <c r="K1567" s="4">
        <f t="shared" si="72"/>
        <v>-0.0183038147288894</v>
      </c>
      <c r="L1567" s="4">
        <f t="shared" si="73"/>
        <v>0.00667038660127843</v>
      </c>
      <c r="M1567" s="18">
        <f t="shared" si="74"/>
        <v>0.15471</v>
      </c>
    </row>
    <row r="1568" spans="1:13">
      <c r="A1568" t="s">
        <v>13</v>
      </c>
      <c r="B1568" t="s">
        <v>3145</v>
      </c>
      <c r="C1568" t="s">
        <v>3146</v>
      </c>
      <c r="D1568">
        <v>7399.96</v>
      </c>
      <c r="E1568">
        <v>7399.96</v>
      </c>
      <c r="F1568">
        <v>1.696</v>
      </c>
      <c r="G1568">
        <v>0</v>
      </c>
      <c r="H1568">
        <v>1.255034</v>
      </c>
      <c r="I1568">
        <v>1.242454</v>
      </c>
      <c r="J1568">
        <v>0.01258</v>
      </c>
      <c r="K1568" s="4">
        <f t="shared" si="72"/>
        <v>0.0101251233446067</v>
      </c>
      <c r="L1568" s="4">
        <f t="shared" si="73"/>
        <v>0</v>
      </c>
      <c r="M1568" s="18">
        <f t="shared" si="74"/>
        <v>0</v>
      </c>
    </row>
    <row r="1569" spans="1:13">
      <c r="A1569" t="s">
        <v>13</v>
      </c>
      <c r="B1569" t="s">
        <v>3147</v>
      </c>
      <c r="C1569" t="s">
        <v>3148</v>
      </c>
      <c r="D1569">
        <v>13627.4</v>
      </c>
      <c r="E1569">
        <v>13427.4</v>
      </c>
      <c r="F1569">
        <v>1.911</v>
      </c>
      <c r="G1569">
        <v>200</v>
      </c>
      <c r="H1569">
        <v>2.565976</v>
      </c>
      <c r="I1569">
        <v>2.324704</v>
      </c>
      <c r="J1569">
        <v>0.241272</v>
      </c>
      <c r="K1569" s="4">
        <f t="shared" si="72"/>
        <v>0.103786116426005</v>
      </c>
      <c r="L1569" s="4">
        <f t="shared" si="73"/>
        <v>0.0148949163650446</v>
      </c>
      <c r="M1569" s="18">
        <f t="shared" si="74"/>
        <v>0.03822</v>
      </c>
    </row>
    <row r="1570" spans="1:13">
      <c r="A1570" t="s">
        <v>13</v>
      </c>
      <c r="B1570" t="s">
        <v>3149</v>
      </c>
      <c r="C1570" t="s">
        <v>3150</v>
      </c>
      <c r="D1570">
        <v>6171</v>
      </c>
      <c r="E1570">
        <v>6471</v>
      </c>
      <c r="F1570">
        <v>1.029</v>
      </c>
      <c r="G1570">
        <v>-300</v>
      </c>
      <c r="H1570">
        <v>0.665866</v>
      </c>
      <c r="I1570">
        <v>0.653665</v>
      </c>
      <c r="J1570">
        <v>0.012201</v>
      </c>
      <c r="K1570" s="4">
        <f t="shared" si="72"/>
        <v>0.0186655243894044</v>
      </c>
      <c r="L1570" s="4">
        <f t="shared" si="73"/>
        <v>-0.0463606861381548</v>
      </c>
      <c r="M1570" s="18">
        <f t="shared" si="74"/>
        <v>-0.03087</v>
      </c>
    </row>
    <row r="1571" spans="1:13">
      <c r="A1571" t="s">
        <v>13</v>
      </c>
      <c r="B1571" t="s">
        <v>3151</v>
      </c>
      <c r="C1571" t="s">
        <v>3152</v>
      </c>
      <c r="D1571">
        <v>7116.9</v>
      </c>
      <c r="E1571">
        <v>7016.9</v>
      </c>
      <c r="F1571">
        <v>0.94</v>
      </c>
      <c r="G1571">
        <v>100</v>
      </c>
      <c r="H1571">
        <v>0.659589</v>
      </c>
      <c r="I1571">
        <v>0.672921</v>
      </c>
      <c r="J1571">
        <v>-0.013332</v>
      </c>
      <c r="K1571" s="4">
        <f t="shared" si="72"/>
        <v>-0.0198121324791469</v>
      </c>
      <c r="L1571" s="4">
        <f t="shared" si="73"/>
        <v>0.0142513075574684</v>
      </c>
      <c r="M1571" s="18">
        <f t="shared" si="74"/>
        <v>0.0094</v>
      </c>
    </row>
    <row r="1572" spans="1:13">
      <c r="A1572" t="s">
        <v>13</v>
      </c>
      <c r="B1572" t="s">
        <v>3153</v>
      </c>
      <c r="C1572" t="s">
        <v>3154</v>
      </c>
      <c r="D1572">
        <v>37481.36</v>
      </c>
      <c r="E1572">
        <v>37931.36</v>
      </c>
      <c r="F1572">
        <v>1.15</v>
      </c>
      <c r="G1572">
        <v>-450</v>
      </c>
      <c r="H1572">
        <v>4.362106</v>
      </c>
      <c r="I1572">
        <v>4.5474</v>
      </c>
      <c r="J1572">
        <v>-0.185294</v>
      </c>
      <c r="K1572" s="4">
        <f t="shared" si="72"/>
        <v>-0.0407472401812024</v>
      </c>
      <c r="L1572" s="4">
        <f t="shared" si="73"/>
        <v>-0.0118635345529398</v>
      </c>
      <c r="M1572" s="18">
        <f t="shared" si="74"/>
        <v>-0.05175</v>
      </c>
    </row>
    <row r="1573" spans="1:13">
      <c r="A1573" t="s">
        <v>13</v>
      </c>
      <c r="B1573" t="s">
        <v>3155</v>
      </c>
      <c r="C1573" t="s">
        <v>3156</v>
      </c>
      <c r="D1573">
        <v>6749.6</v>
      </c>
      <c r="E1573">
        <v>6749.6</v>
      </c>
      <c r="F1573">
        <v>1.206</v>
      </c>
      <c r="G1573">
        <v>0</v>
      </c>
      <c r="H1573">
        <v>0.814002</v>
      </c>
      <c r="I1573">
        <v>0.814002</v>
      </c>
      <c r="J1573">
        <v>0</v>
      </c>
      <c r="K1573" s="4">
        <f t="shared" si="72"/>
        <v>0</v>
      </c>
      <c r="L1573" s="4">
        <f t="shared" si="73"/>
        <v>0</v>
      </c>
      <c r="M1573" s="18">
        <f t="shared" si="74"/>
        <v>0</v>
      </c>
    </row>
    <row r="1574" spans="1:13">
      <c r="A1574" t="s">
        <v>13</v>
      </c>
      <c r="B1574" t="s">
        <v>3157</v>
      </c>
      <c r="C1574" t="s">
        <v>3158</v>
      </c>
      <c r="D1574">
        <v>18019.5</v>
      </c>
      <c r="E1574">
        <v>18469.5</v>
      </c>
      <c r="F1574">
        <v>1.299</v>
      </c>
      <c r="G1574">
        <v>-450</v>
      </c>
      <c r="H1574">
        <v>2.399188</v>
      </c>
      <c r="I1574">
        <v>2.458805</v>
      </c>
      <c r="J1574">
        <v>-0.059617</v>
      </c>
      <c r="K1574" s="4">
        <f t="shared" si="72"/>
        <v>-0.0242463310429253</v>
      </c>
      <c r="L1574" s="4">
        <f t="shared" si="73"/>
        <v>-0.0243644928124746</v>
      </c>
      <c r="M1574" s="18">
        <f t="shared" si="74"/>
        <v>-0.058455</v>
      </c>
    </row>
    <row r="1575" spans="1:13">
      <c r="A1575" t="s">
        <v>13</v>
      </c>
      <c r="B1575" t="s">
        <v>3159</v>
      </c>
      <c r="C1575" t="s">
        <v>3160</v>
      </c>
      <c r="D1575">
        <v>3755</v>
      </c>
      <c r="E1575">
        <v>3755</v>
      </c>
      <c r="F1575">
        <v>1.322</v>
      </c>
      <c r="G1575">
        <v>0</v>
      </c>
      <c r="H1575">
        <v>0.496411</v>
      </c>
      <c r="I1575">
        <v>0.496787</v>
      </c>
      <c r="J1575">
        <v>-0.000376</v>
      </c>
      <c r="K1575" s="4">
        <f t="shared" si="72"/>
        <v>-0.00075686360552913</v>
      </c>
      <c r="L1575" s="4">
        <f t="shared" si="73"/>
        <v>0</v>
      </c>
      <c r="M1575" s="18">
        <f t="shared" si="74"/>
        <v>0</v>
      </c>
    </row>
    <row r="1576" spans="1:13">
      <c r="A1576" t="s">
        <v>13</v>
      </c>
      <c r="B1576" t="s">
        <v>3161</v>
      </c>
      <c r="C1576" t="s">
        <v>3162</v>
      </c>
      <c r="D1576">
        <v>1335.58</v>
      </c>
      <c r="E1576">
        <v>1335.58</v>
      </c>
      <c r="F1576">
        <v>1.742</v>
      </c>
      <c r="G1576">
        <v>0</v>
      </c>
      <c r="H1576">
        <v>0.232658</v>
      </c>
      <c r="I1576">
        <v>0.230788</v>
      </c>
      <c r="J1576">
        <v>0.00187</v>
      </c>
      <c r="K1576" s="4">
        <f t="shared" si="72"/>
        <v>0.00810267431582231</v>
      </c>
      <c r="L1576" s="4">
        <f t="shared" si="73"/>
        <v>0</v>
      </c>
      <c r="M1576" s="18">
        <f t="shared" si="74"/>
        <v>0</v>
      </c>
    </row>
    <row r="1577" spans="1:13">
      <c r="A1577" t="s">
        <v>13</v>
      </c>
      <c r="B1577" t="s">
        <v>3163</v>
      </c>
      <c r="C1577" t="s">
        <v>3164</v>
      </c>
      <c r="D1577">
        <v>6053.4</v>
      </c>
      <c r="E1577">
        <v>6053.4</v>
      </c>
      <c r="F1577">
        <v>1.267</v>
      </c>
      <c r="G1577">
        <v>0</v>
      </c>
      <c r="H1577">
        <v>0.766966</v>
      </c>
      <c r="I1577">
        <v>0.78331</v>
      </c>
      <c r="J1577">
        <v>-0.016344</v>
      </c>
      <c r="K1577" s="4">
        <f t="shared" si="72"/>
        <v>-0.0208653023707089</v>
      </c>
      <c r="L1577" s="4">
        <f t="shared" si="73"/>
        <v>0</v>
      </c>
      <c r="M1577" s="18">
        <f t="shared" si="74"/>
        <v>0</v>
      </c>
    </row>
    <row r="1578" spans="1:13">
      <c r="A1578" t="s">
        <v>13</v>
      </c>
      <c r="B1578" t="s">
        <v>3165</v>
      </c>
      <c r="C1578" t="s">
        <v>3166</v>
      </c>
      <c r="D1578">
        <v>19407.72</v>
      </c>
      <c r="E1578">
        <v>19407.72</v>
      </c>
      <c r="F1578">
        <v>1.256</v>
      </c>
      <c r="G1578">
        <v>0</v>
      </c>
      <c r="H1578">
        <v>2.43761</v>
      </c>
      <c r="I1578">
        <v>2.338885</v>
      </c>
      <c r="J1578">
        <v>0.098725</v>
      </c>
      <c r="K1578" s="4">
        <f t="shared" si="72"/>
        <v>0.0422102839600921</v>
      </c>
      <c r="L1578" s="4">
        <f t="shared" si="73"/>
        <v>0</v>
      </c>
      <c r="M1578" s="18">
        <f t="shared" si="74"/>
        <v>0</v>
      </c>
    </row>
    <row r="1579" spans="1:13">
      <c r="A1579" t="s">
        <v>13</v>
      </c>
      <c r="B1579" t="s">
        <v>3167</v>
      </c>
      <c r="C1579" t="s">
        <v>3168</v>
      </c>
      <c r="D1579">
        <v>11576.5</v>
      </c>
      <c r="E1579">
        <v>11876.5</v>
      </c>
      <c r="F1579">
        <v>1.151</v>
      </c>
      <c r="G1579">
        <v>-300</v>
      </c>
      <c r="H1579">
        <v>1.366985</v>
      </c>
      <c r="I1579">
        <v>1.388076</v>
      </c>
      <c r="J1579">
        <v>-0.021091</v>
      </c>
      <c r="K1579" s="4">
        <f t="shared" si="72"/>
        <v>-0.0151944129860325</v>
      </c>
      <c r="L1579" s="4">
        <f t="shared" si="73"/>
        <v>-0.0252599671620427</v>
      </c>
      <c r="M1579" s="18">
        <f t="shared" si="74"/>
        <v>-0.03453</v>
      </c>
    </row>
    <row r="1580" spans="1:13">
      <c r="A1580" t="s">
        <v>13</v>
      </c>
      <c r="B1580" t="s">
        <v>3169</v>
      </c>
      <c r="C1580" t="s">
        <v>3170</v>
      </c>
      <c r="D1580">
        <v>8438.9</v>
      </c>
      <c r="E1580">
        <v>8438.9</v>
      </c>
      <c r="F1580">
        <v>1.375</v>
      </c>
      <c r="G1580">
        <v>0</v>
      </c>
      <c r="H1580">
        <v>1.160349</v>
      </c>
      <c r="I1580">
        <v>1.150222</v>
      </c>
      <c r="J1580">
        <v>0.010127</v>
      </c>
      <c r="K1580" s="4">
        <f t="shared" si="72"/>
        <v>0.00880438732696819</v>
      </c>
      <c r="L1580" s="4">
        <f t="shared" si="73"/>
        <v>0</v>
      </c>
      <c r="M1580" s="18">
        <f t="shared" si="74"/>
        <v>0</v>
      </c>
    </row>
    <row r="1581" spans="1:13">
      <c r="A1581" t="s">
        <v>13</v>
      </c>
      <c r="B1581" t="s">
        <v>3171</v>
      </c>
      <c r="C1581" t="s">
        <v>3172</v>
      </c>
      <c r="D1581">
        <v>2333.44</v>
      </c>
      <c r="E1581">
        <v>2333.44</v>
      </c>
      <c r="F1581">
        <v>1.047</v>
      </c>
      <c r="G1581">
        <v>0</v>
      </c>
      <c r="H1581">
        <v>0.244311</v>
      </c>
      <c r="I1581">
        <v>0.274668</v>
      </c>
      <c r="J1581">
        <v>-0.030357</v>
      </c>
      <c r="K1581" s="4">
        <f t="shared" si="72"/>
        <v>-0.110522521735331</v>
      </c>
      <c r="L1581" s="4">
        <f t="shared" si="73"/>
        <v>0</v>
      </c>
      <c r="M1581" s="18">
        <f t="shared" si="74"/>
        <v>0</v>
      </c>
    </row>
    <row r="1582" spans="1:13">
      <c r="A1582" t="s">
        <v>13</v>
      </c>
      <c r="B1582" t="s">
        <v>3173</v>
      </c>
      <c r="C1582" t="s">
        <v>3174</v>
      </c>
      <c r="D1582">
        <v>482907.66</v>
      </c>
      <c r="E1582">
        <v>480607.66</v>
      </c>
      <c r="G1582">
        <v>2300</v>
      </c>
      <c r="H1582">
        <v>43.494993</v>
      </c>
      <c r="I1582">
        <v>43.302459</v>
      </c>
      <c r="J1582">
        <v>0.192534</v>
      </c>
      <c r="K1582" s="4">
        <f t="shared" si="72"/>
        <v>0.00444626019968058</v>
      </c>
      <c r="L1582" s="4">
        <f t="shared" si="73"/>
        <v>0.00478560828597697</v>
      </c>
      <c r="M1582" s="18">
        <f t="shared" si="74"/>
        <v>0</v>
      </c>
    </row>
    <row r="1583" spans="1:13">
      <c r="A1583" t="s">
        <v>13</v>
      </c>
      <c r="B1583" t="s">
        <v>3175</v>
      </c>
      <c r="C1583" t="s">
        <v>3176</v>
      </c>
      <c r="D1583">
        <v>4369.2</v>
      </c>
      <c r="E1583">
        <v>4369.2</v>
      </c>
      <c r="G1583">
        <v>0</v>
      </c>
      <c r="H1583">
        <v>0.26521</v>
      </c>
      <c r="I1583">
        <v>0.261715</v>
      </c>
      <c r="J1583">
        <v>0.003495</v>
      </c>
      <c r="K1583" s="4">
        <f t="shared" si="72"/>
        <v>0.0133542211948112</v>
      </c>
      <c r="L1583" s="4">
        <f t="shared" si="73"/>
        <v>0</v>
      </c>
      <c r="M1583" s="18">
        <f t="shared" si="74"/>
        <v>0</v>
      </c>
    </row>
    <row r="1584" spans="1:13">
      <c r="A1584" t="s">
        <v>13</v>
      </c>
      <c r="B1584" t="s">
        <v>3177</v>
      </c>
      <c r="C1584" t="s">
        <v>3178</v>
      </c>
      <c r="D1584">
        <v>12126.06</v>
      </c>
      <c r="E1584">
        <v>11826.06</v>
      </c>
      <c r="F1584">
        <v>1.66</v>
      </c>
      <c r="G1584">
        <v>300</v>
      </c>
      <c r="H1584">
        <v>1.963126</v>
      </c>
      <c r="I1584">
        <v>2.0008</v>
      </c>
      <c r="J1584">
        <v>-0.037674</v>
      </c>
      <c r="K1584" s="4">
        <f t="shared" si="72"/>
        <v>-0.0188294682127149</v>
      </c>
      <c r="L1584" s="4">
        <f t="shared" si="73"/>
        <v>0.0253677048822685</v>
      </c>
      <c r="M1584" s="18">
        <f t="shared" si="74"/>
        <v>0.0498</v>
      </c>
    </row>
    <row r="1585" spans="1:13">
      <c r="A1585" t="s">
        <v>13</v>
      </c>
      <c r="B1585" t="s">
        <v>3179</v>
      </c>
      <c r="C1585" t="s">
        <v>3180</v>
      </c>
      <c r="D1585">
        <v>8565.6</v>
      </c>
      <c r="E1585">
        <v>8565.6</v>
      </c>
      <c r="F1585">
        <v>1.481</v>
      </c>
      <c r="G1585">
        <v>0</v>
      </c>
      <c r="H1585">
        <v>1.268565</v>
      </c>
      <c r="I1585">
        <v>1.265996</v>
      </c>
      <c r="J1585">
        <v>0.002569</v>
      </c>
      <c r="K1585" s="4">
        <f t="shared" si="72"/>
        <v>0.00202923231984935</v>
      </c>
      <c r="L1585" s="4">
        <f t="shared" si="73"/>
        <v>0</v>
      </c>
      <c r="M1585" s="18">
        <f t="shared" si="74"/>
        <v>0</v>
      </c>
    </row>
    <row r="1586" spans="1:13">
      <c r="A1586" t="s">
        <v>13</v>
      </c>
      <c r="B1586" t="s">
        <v>3181</v>
      </c>
      <c r="C1586" t="s">
        <v>3182</v>
      </c>
      <c r="D1586">
        <v>5418.52</v>
      </c>
      <c r="E1586">
        <v>5378.52</v>
      </c>
      <c r="F1586">
        <v>1.205</v>
      </c>
      <c r="G1586">
        <v>40</v>
      </c>
      <c r="H1586">
        <v>0.648112</v>
      </c>
      <c r="I1586">
        <v>0.661021</v>
      </c>
      <c r="J1586">
        <v>-0.012909</v>
      </c>
      <c r="K1586" s="4">
        <f t="shared" si="72"/>
        <v>-0.0195288803230155</v>
      </c>
      <c r="L1586" s="4">
        <f t="shared" si="73"/>
        <v>0.00743699010136617</v>
      </c>
      <c r="M1586" s="18">
        <f t="shared" si="74"/>
        <v>0.00482</v>
      </c>
    </row>
    <row r="1587" spans="1:13">
      <c r="A1587" t="s">
        <v>13</v>
      </c>
      <c r="B1587" t="s">
        <v>3183</v>
      </c>
      <c r="C1587" t="s">
        <v>3184</v>
      </c>
      <c r="D1587">
        <v>115911</v>
      </c>
      <c r="E1587">
        <v>113611</v>
      </c>
      <c r="F1587">
        <v>3.743</v>
      </c>
      <c r="G1587">
        <v>2300</v>
      </c>
      <c r="H1587">
        <v>42.524597</v>
      </c>
      <c r="I1587">
        <v>41.525382</v>
      </c>
      <c r="J1587">
        <v>0.999215</v>
      </c>
      <c r="K1587" s="4">
        <f t="shared" si="72"/>
        <v>0.0240627527520397</v>
      </c>
      <c r="L1587" s="4">
        <f t="shared" si="73"/>
        <v>0.0202445185765463</v>
      </c>
      <c r="M1587" s="18">
        <f t="shared" si="74"/>
        <v>0.86089</v>
      </c>
    </row>
    <row r="1588" spans="1:13">
      <c r="A1588" t="s">
        <v>13</v>
      </c>
      <c r="B1588" t="s">
        <v>3185</v>
      </c>
      <c r="C1588" t="s">
        <v>3186</v>
      </c>
      <c r="D1588">
        <v>34964.92</v>
      </c>
      <c r="E1588">
        <v>33764.92</v>
      </c>
      <c r="F1588">
        <v>1.06</v>
      </c>
      <c r="G1588">
        <v>1200</v>
      </c>
      <c r="H1588">
        <v>3.579082</v>
      </c>
      <c r="I1588">
        <v>3.671016</v>
      </c>
      <c r="J1588">
        <v>-0.091934</v>
      </c>
      <c r="K1588" s="4">
        <f t="shared" si="72"/>
        <v>-0.0250432032984874</v>
      </c>
      <c r="L1588" s="4">
        <f t="shared" si="73"/>
        <v>0.0355398443117887</v>
      </c>
      <c r="M1588" s="18">
        <f t="shared" si="74"/>
        <v>0.1272</v>
      </c>
    </row>
    <row r="1589" spans="1:13">
      <c r="A1589" t="s">
        <v>13</v>
      </c>
      <c r="B1589" t="s">
        <v>3187</v>
      </c>
      <c r="C1589" t="s">
        <v>3188</v>
      </c>
      <c r="D1589">
        <v>61273.79</v>
      </c>
      <c r="E1589">
        <v>61673.79</v>
      </c>
      <c r="F1589">
        <v>0.642</v>
      </c>
      <c r="G1589">
        <v>-400</v>
      </c>
      <c r="H1589">
        <v>3.959457</v>
      </c>
      <c r="I1589">
        <v>3.934788</v>
      </c>
      <c r="J1589">
        <v>0.024669</v>
      </c>
      <c r="K1589" s="4">
        <f t="shared" si="72"/>
        <v>0.00626946102305893</v>
      </c>
      <c r="L1589" s="4">
        <f t="shared" si="73"/>
        <v>-0.00648573729618368</v>
      </c>
      <c r="M1589" s="18">
        <f t="shared" si="74"/>
        <v>-0.02568</v>
      </c>
    </row>
    <row r="1590" spans="1:13">
      <c r="A1590" t="s">
        <v>13</v>
      </c>
      <c r="B1590" t="s">
        <v>3189</v>
      </c>
      <c r="C1590" t="s">
        <v>3190</v>
      </c>
      <c r="D1590">
        <v>2029.87</v>
      </c>
      <c r="E1590">
        <v>2029.87</v>
      </c>
      <c r="F1590">
        <v>0.985</v>
      </c>
      <c r="G1590">
        <v>0</v>
      </c>
      <c r="H1590">
        <v>0.199942</v>
      </c>
      <c r="I1590">
        <v>0.211709</v>
      </c>
      <c r="J1590">
        <v>-0.011767</v>
      </c>
      <c r="K1590" s="4">
        <f t="shared" si="72"/>
        <v>-0.0555810097822955</v>
      </c>
      <c r="L1590" s="4">
        <f t="shared" si="73"/>
        <v>0</v>
      </c>
      <c r="M1590" s="18">
        <f t="shared" si="74"/>
        <v>0</v>
      </c>
    </row>
    <row r="1591" spans="1:13">
      <c r="A1591" t="s">
        <v>13</v>
      </c>
      <c r="B1591" t="s">
        <v>3191</v>
      </c>
      <c r="C1591" t="s">
        <v>3192</v>
      </c>
      <c r="D1591">
        <v>14597.39</v>
      </c>
      <c r="E1591">
        <v>14597.39</v>
      </c>
      <c r="F1591">
        <v>0.555</v>
      </c>
      <c r="G1591">
        <v>0</v>
      </c>
      <c r="H1591">
        <v>0.810155</v>
      </c>
      <c r="I1591">
        <v>0.784658</v>
      </c>
      <c r="J1591">
        <v>0.025497</v>
      </c>
      <c r="K1591" s="4">
        <f t="shared" si="72"/>
        <v>0.0324944115780378</v>
      </c>
      <c r="L1591" s="4">
        <f t="shared" si="73"/>
        <v>0</v>
      </c>
      <c r="M1591" s="18">
        <f t="shared" si="74"/>
        <v>0</v>
      </c>
    </row>
    <row r="1592" spans="1:13">
      <c r="A1592" t="s">
        <v>13</v>
      </c>
      <c r="B1592" t="s">
        <v>3193</v>
      </c>
      <c r="C1592" t="s">
        <v>3194</v>
      </c>
      <c r="D1592">
        <v>11146.8</v>
      </c>
      <c r="E1592">
        <v>11146.8</v>
      </c>
      <c r="F1592">
        <v>0.87</v>
      </c>
      <c r="G1592">
        <v>0</v>
      </c>
      <c r="H1592">
        <v>0.969772</v>
      </c>
      <c r="I1592">
        <v>0.946711</v>
      </c>
      <c r="J1592">
        <v>0.023061</v>
      </c>
      <c r="K1592" s="4">
        <f t="shared" si="72"/>
        <v>0.0243590705083177</v>
      </c>
      <c r="L1592" s="4">
        <f t="shared" si="73"/>
        <v>0</v>
      </c>
      <c r="M1592" s="18">
        <f t="shared" si="74"/>
        <v>0</v>
      </c>
    </row>
    <row r="1593" spans="1:13">
      <c r="A1593" t="s">
        <v>13</v>
      </c>
      <c r="B1593" t="s">
        <v>3195</v>
      </c>
      <c r="C1593" t="s">
        <v>3196</v>
      </c>
      <c r="D1593">
        <v>573079.26</v>
      </c>
      <c r="E1593">
        <v>586979.26</v>
      </c>
      <c r="F1593">
        <v>0.593</v>
      </c>
      <c r="G1593">
        <v>-13900</v>
      </c>
      <c r="H1593">
        <v>34.80787</v>
      </c>
      <c r="I1593">
        <v>35.569719</v>
      </c>
      <c r="J1593">
        <v>-0.761849</v>
      </c>
      <c r="K1593" s="4">
        <f t="shared" si="72"/>
        <v>-0.0214184711439525</v>
      </c>
      <c r="L1593" s="4">
        <f t="shared" si="73"/>
        <v>-0.0236805641139689</v>
      </c>
      <c r="M1593" s="18">
        <f t="shared" si="74"/>
        <v>-0.82427</v>
      </c>
    </row>
    <row r="1594" spans="1:13">
      <c r="A1594" t="s">
        <v>13</v>
      </c>
      <c r="B1594" t="s">
        <v>3197</v>
      </c>
      <c r="C1594" t="s">
        <v>3198</v>
      </c>
      <c r="D1594">
        <v>42654.2</v>
      </c>
      <c r="E1594">
        <v>42654.2</v>
      </c>
      <c r="F1594">
        <v>1.08</v>
      </c>
      <c r="G1594">
        <v>0</v>
      </c>
      <c r="H1594">
        <v>4.606654</v>
      </c>
      <c r="I1594">
        <v>4.796608</v>
      </c>
      <c r="J1594">
        <v>-0.189954</v>
      </c>
      <c r="K1594" s="4">
        <f t="shared" si="72"/>
        <v>-0.0396017352262265</v>
      </c>
      <c r="L1594" s="4">
        <f t="shared" si="73"/>
        <v>0</v>
      </c>
      <c r="M1594" s="18">
        <f t="shared" si="74"/>
        <v>0</v>
      </c>
    </row>
    <row r="1595" spans="1:13">
      <c r="A1595" t="s">
        <v>13</v>
      </c>
      <c r="B1595" t="s">
        <v>3199</v>
      </c>
      <c r="C1595" t="s">
        <v>3200</v>
      </c>
      <c r="D1595">
        <v>70275.72</v>
      </c>
      <c r="E1595">
        <v>71875.72</v>
      </c>
      <c r="F1595">
        <v>0.584</v>
      </c>
      <c r="G1595">
        <v>-1600</v>
      </c>
      <c r="H1595">
        <v>4.197542</v>
      </c>
      <c r="I1595">
        <v>4.33339</v>
      </c>
      <c r="J1595">
        <v>-0.135848</v>
      </c>
      <c r="K1595" s="4">
        <f t="shared" si="72"/>
        <v>-0.0313491285113964</v>
      </c>
      <c r="L1595" s="4">
        <f t="shared" si="73"/>
        <v>-0.02226064657161</v>
      </c>
      <c r="M1595" s="18">
        <f t="shared" si="74"/>
        <v>-0.09344</v>
      </c>
    </row>
    <row r="1596" spans="1:13">
      <c r="A1596" t="s">
        <v>13</v>
      </c>
      <c r="B1596" t="s">
        <v>3201</v>
      </c>
      <c r="C1596" t="s">
        <v>3202</v>
      </c>
      <c r="D1596">
        <v>6149.5</v>
      </c>
      <c r="E1596">
        <v>6149.5</v>
      </c>
      <c r="F1596">
        <v>0.751</v>
      </c>
      <c r="G1596">
        <v>0</v>
      </c>
      <c r="H1596">
        <v>0.461827</v>
      </c>
      <c r="I1596">
        <v>0.469207</v>
      </c>
      <c r="J1596">
        <v>-0.00738</v>
      </c>
      <c r="K1596" s="4">
        <f t="shared" si="72"/>
        <v>-0.0157286655996181</v>
      </c>
      <c r="L1596" s="4">
        <f t="shared" si="73"/>
        <v>0</v>
      </c>
      <c r="M1596" s="18">
        <f t="shared" si="74"/>
        <v>0</v>
      </c>
    </row>
    <row r="1597" spans="1:13">
      <c r="A1597" t="s">
        <v>13</v>
      </c>
      <c r="B1597" t="s">
        <v>3203</v>
      </c>
      <c r="C1597" t="s">
        <v>3204</v>
      </c>
      <c r="D1597">
        <v>53057.23</v>
      </c>
      <c r="E1597">
        <v>54457.23</v>
      </c>
      <c r="F1597">
        <v>1.202</v>
      </c>
      <c r="G1597">
        <v>-1400</v>
      </c>
      <c r="H1597">
        <v>6.545759</v>
      </c>
      <c r="I1597">
        <v>6.496753</v>
      </c>
      <c r="J1597">
        <v>0.049006</v>
      </c>
      <c r="K1597" s="4">
        <f t="shared" si="72"/>
        <v>0.00754315271028466</v>
      </c>
      <c r="L1597" s="4">
        <f t="shared" si="73"/>
        <v>-0.0257082484731596</v>
      </c>
      <c r="M1597" s="18">
        <f t="shared" si="74"/>
        <v>-0.16828</v>
      </c>
    </row>
    <row r="1598" spans="1:13">
      <c r="A1598" t="s">
        <v>13</v>
      </c>
      <c r="B1598" t="s">
        <v>3205</v>
      </c>
      <c r="C1598" t="s">
        <v>3206</v>
      </c>
      <c r="D1598">
        <v>5529.55</v>
      </c>
      <c r="E1598">
        <v>5529.55</v>
      </c>
      <c r="F1598">
        <v>1.256</v>
      </c>
      <c r="G1598">
        <v>0</v>
      </c>
      <c r="H1598">
        <v>0.694512</v>
      </c>
      <c r="I1598">
        <v>0.712206</v>
      </c>
      <c r="J1598">
        <v>-0.017694</v>
      </c>
      <c r="K1598" s="4">
        <f t="shared" si="72"/>
        <v>-0.0248439356029014</v>
      </c>
      <c r="L1598" s="4">
        <f t="shared" si="73"/>
        <v>0</v>
      </c>
      <c r="M1598" s="18">
        <f t="shared" si="74"/>
        <v>0</v>
      </c>
    </row>
    <row r="1599" spans="1:13">
      <c r="A1599" t="s">
        <v>13</v>
      </c>
      <c r="B1599" t="s">
        <v>3207</v>
      </c>
      <c r="C1599" t="s">
        <v>3208</v>
      </c>
      <c r="D1599">
        <v>1001.89</v>
      </c>
      <c r="E1599">
        <v>1001.89</v>
      </c>
      <c r="F1599">
        <v>1.235</v>
      </c>
      <c r="G1599">
        <v>0</v>
      </c>
      <c r="H1599">
        <v>0.123734</v>
      </c>
      <c r="I1599">
        <v>0.12724</v>
      </c>
      <c r="J1599">
        <v>-0.003506</v>
      </c>
      <c r="K1599" s="4">
        <f t="shared" si="72"/>
        <v>-0.0275542282301163</v>
      </c>
      <c r="L1599" s="4">
        <f t="shared" si="73"/>
        <v>0</v>
      </c>
      <c r="M1599" s="18">
        <f t="shared" si="74"/>
        <v>0</v>
      </c>
    </row>
    <row r="1600" spans="1:13">
      <c r="A1600" t="s">
        <v>13</v>
      </c>
      <c r="B1600" t="s">
        <v>3209</v>
      </c>
      <c r="C1600" t="s">
        <v>3210</v>
      </c>
      <c r="D1600">
        <v>614.43</v>
      </c>
      <c r="E1600">
        <v>614.43</v>
      </c>
      <c r="F1600">
        <v>1.485</v>
      </c>
      <c r="G1600">
        <v>0</v>
      </c>
      <c r="H1600">
        <v>0.091244</v>
      </c>
      <c r="I1600">
        <v>0.091489</v>
      </c>
      <c r="J1600">
        <v>-0.000245</v>
      </c>
      <c r="K1600" s="4">
        <f t="shared" si="72"/>
        <v>-0.00267791756386014</v>
      </c>
      <c r="L1600" s="4">
        <f t="shared" si="73"/>
        <v>0</v>
      </c>
      <c r="M1600" s="18">
        <f t="shared" si="74"/>
        <v>0</v>
      </c>
    </row>
    <row r="1601" spans="1:13">
      <c r="A1601" t="s">
        <v>13</v>
      </c>
      <c r="B1601" t="s">
        <v>3211</v>
      </c>
      <c r="C1601" t="s">
        <v>3212</v>
      </c>
      <c r="D1601">
        <v>12541.09</v>
      </c>
      <c r="E1601">
        <v>12541.09</v>
      </c>
      <c r="F1601">
        <v>1.149</v>
      </c>
      <c r="G1601">
        <v>0</v>
      </c>
      <c r="H1601">
        <v>1.440971</v>
      </c>
      <c r="I1601">
        <v>1.501761</v>
      </c>
      <c r="J1601">
        <v>-0.06079</v>
      </c>
      <c r="K1601" s="4">
        <f t="shared" si="72"/>
        <v>-0.0404791441514329</v>
      </c>
      <c r="L1601" s="4">
        <f t="shared" si="73"/>
        <v>0</v>
      </c>
      <c r="M1601" s="18">
        <f t="shared" si="74"/>
        <v>0</v>
      </c>
    </row>
    <row r="1602" spans="1:13">
      <c r="A1602" t="s">
        <v>13</v>
      </c>
      <c r="B1602" t="s">
        <v>3213</v>
      </c>
      <c r="C1602" t="s">
        <v>3214</v>
      </c>
      <c r="D1602">
        <v>25247.4</v>
      </c>
      <c r="E1602">
        <v>25647.4</v>
      </c>
      <c r="G1602">
        <v>-400</v>
      </c>
      <c r="H1602">
        <v>3.249526</v>
      </c>
      <c r="I1602">
        <v>3.209693</v>
      </c>
      <c r="J1602">
        <v>0.039833</v>
      </c>
      <c r="K1602" s="4">
        <f t="shared" ref="K1602:K1665" si="75">IFERROR(J1602/I1602,"")</f>
        <v>0.012410221164454</v>
      </c>
      <c r="L1602" s="4">
        <f t="shared" ref="L1602:L1665" si="76">IFERROR((D1602-E1602)/E1602,"")</f>
        <v>-0.015596122803871</v>
      </c>
      <c r="M1602" s="18">
        <f t="shared" ref="M1602:M1665" si="77">IFERROR(F1602*G1602/10000,"")</f>
        <v>0</v>
      </c>
    </row>
    <row r="1603" spans="1:13">
      <c r="A1603" t="s">
        <v>13</v>
      </c>
      <c r="B1603" t="s">
        <v>3215</v>
      </c>
      <c r="C1603" t="s">
        <v>3216</v>
      </c>
      <c r="D1603">
        <v>7162.89</v>
      </c>
      <c r="E1603">
        <v>7362.89</v>
      </c>
      <c r="F1603">
        <v>1.466</v>
      </c>
      <c r="G1603">
        <v>-200</v>
      </c>
      <c r="H1603">
        <v>1.0794</v>
      </c>
      <c r="I1603">
        <v>1.045743</v>
      </c>
      <c r="J1603">
        <v>0.033657</v>
      </c>
      <c r="K1603" s="4">
        <f t="shared" si="75"/>
        <v>0.0321847719755236</v>
      </c>
      <c r="L1603" s="4">
        <f t="shared" si="76"/>
        <v>-0.0271632470402247</v>
      </c>
      <c r="M1603" s="18">
        <f t="shared" si="77"/>
        <v>-0.02932</v>
      </c>
    </row>
    <row r="1604" spans="1:13">
      <c r="A1604" t="s">
        <v>13</v>
      </c>
      <c r="B1604" t="s">
        <v>3217</v>
      </c>
      <c r="C1604" t="s">
        <v>3218</v>
      </c>
      <c r="D1604">
        <v>8642.9</v>
      </c>
      <c r="E1604">
        <v>8642.9</v>
      </c>
      <c r="F1604">
        <v>0.816</v>
      </c>
      <c r="G1604">
        <v>0</v>
      </c>
      <c r="H1604">
        <v>0.705261</v>
      </c>
      <c r="I1604">
        <v>0.702226</v>
      </c>
      <c r="J1604">
        <v>0.003035</v>
      </c>
      <c r="K1604" s="4">
        <f t="shared" si="75"/>
        <v>0.00432197041977939</v>
      </c>
      <c r="L1604" s="4">
        <f t="shared" si="76"/>
        <v>0</v>
      </c>
      <c r="M1604" s="18">
        <f t="shared" si="77"/>
        <v>0</v>
      </c>
    </row>
    <row r="1605" spans="1:13">
      <c r="A1605" t="s">
        <v>13</v>
      </c>
      <c r="B1605" t="s">
        <v>3219</v>
      </c>
      <c r="C1605" t="s">
        <v>3220</v>
      </c>
      <c r="D1605">
        <v>1576168.73</v>
      </c>
      <c r="E1605">
        <v>1584418.73</v>
      </c>
      <c r="F1605">
        <v>1.17</v>
      </c>
      <c r="G1605">
        <v>-8250</v>
      </c>
      <c r="H1605">
        <v>185.376991</v>
      </c>
      <c r="I1605">
        <v>183.007822</v>
      </c>
      <c r="J1605">
        <v>2.369169</v>
      </c>
      <c r="K1605" s="4">
        <f t="shared" si="75"/>
        <v>0.0129457253471931</v>
      </c>
      <c r="L1605" s="4">
        <f t="shared" si="76"/>
        <v>-0.00520695687559816</v>
      </c>
      <c r="M1605" s="18">
        <f t="shared" si="77"/>
        <v>-0.96525</v>
      </c>
    </row>
    <row r="1606" spans="1:13">
      <c r="A1606" t="s">
        <v>13</v>
      </c>
      <c r="B1606" t="s">
        <v>3221</v>
      </c>
      <c r="C1606" t="s">
        <v>3222</v>
      </c>
      <c r="D1606">
        <v>106459.5</v>
      </c>
      <c r="E1606">
        <v>107209.5</v>
      </c>
      <c r="F1606">
        <v>0.576</v>
      </c>
      <c r="G1606">
        <v>-750</v>
      </c>
      <c r="H1606">
        <v>6.175267</v>
      </c>
      <c r="I1606">
        <v>6.259819</v>
      </c>
      <c r="J1606">
        <v>-0.084552</v>
      </c>
      <c r="K1606" s="4">
        <f t="shared" si="75"/>
        <v>-0.0135070998059209</v>
      </c>
      <c r="L1606" s="4">
        <f t="shared" si="76"/>
        <v>-0.00699564870650455</v>
      </c>
      <c r="M1606" s="18">
        <f t="shared" si="77"/>
        <v>-0.0432</v>
      </c>
    </row>
    <row r="1607" spans="1:13">
      <c r="A1607" t="s">
        <v>13</v>
      </c>
      <c r="B1607" t="s">
        <v>3223</v>
      </c>
      <c r="C1607" t="s">
        <v>3224</v>
      </c>
      <c r="D1607">
        <v>2456.8</v>
      </c>
      <c r="E1607">
        <v>2456.8</v>
      </c>
      <c r="F1607">
        <v>1.505</v>
      </c>
      <c r="G1607">
        <v>0</v>
      </c>
      <c r="H1607">
        <v>0.369749</v>
      </c>
      <c r="I1607">
        <v>0.366801</v>
      </c>
      <c r="J1607">
        <v>0.002948</v>
      </c>
      <c r="K1607" s="4">
        <f t="shared" si="75"/>
        <v>0.00803705551511583</v>
      </c>
      <c r="L1607" s="4">
        <f t="shared" si="76"/>
        <v>0</v>
      </c>
      <c r="M1607" s="18">
        <f t="shared" si="77"/>
        <v>0</v>
      </c>
    </row>
    <row r="1608" spans="1:13">
      <c r="A1608" t="s">
        <v>13</v>
      </c>
      <c r="B1608" t="s">
        <v>3225</v>
      </c>
      <c r="C1608" t="s">
        <v>3226</v>
      </c>
      <c r="D1608">
        <v>4014.4</v>
      </c>
      <c r="E1608">
        <v>4014.4</v>
      </c>
      <c r="F1608">
        <v>1.219</v>
      </c>
      <c r="G1608">
        <v>0</v>
      </c>
      <c r="H1608">
        <v>0.489355</v>
      </c>
      <c r="I1608">
        <v>0.506894</v>
      </c>
      <c r="J1608">
        <v>-0.017539</v>
      </c>
      <c r="K1608" s="4">
        <f t="shared" si="75"/>
        <v>-0.0346009224808343</v>
      </c>
      <c r="L1608" s="4">
        <f t="shared" si="76"/>
        <v>0</v>
      </c>
      <c r="M1608" s="18">
        <f t="shared" si="77"/>
        <v>0</v>
      </c>
    </row>
    <row r="1609" spans="1:13">
      <c r="A1609" t="s">
        <v>13</v>
      </c>
      <c r="B1609" t="s">
        <v>3227</v>
      </c>
      <c r="C1609" t="s">
        <v>3228</v>
      </c>
      <c r="D1609">
        <v>179341.93</v>
      </c>
      <c r="E1609">
        <v>184441.93</v>
      </c>
      <c r="F1609">
        <v>1.188</v>
      </c>
      <c r="G1609">
        <v>-5100</v>
      </c>
      <c r="H1609">
        <v>21.911702</v>
      </c>
      <c r="I1609">
        <v>23.251688</v>
      </c>
      <c r="J1609">
        <v>-1.339986</v>
      </c>
      <c r="K1609" s="4">
        <f t="shared" si="75"/>
        <v>-0.0576296224170907</v>
      </c>
      <c r="L1609" s="4">
        <f t="shared" si="76"/>
        <v>-0.0276509793624476</v>
      </c>
      <c r="M1609" s="18">
        <f t="shared" si="77"/>
        <v>-0.60588</v>
      </c>
    </row>
    <row r="1610" spans="1:13">
      <c r="A1610" t="s">
        <v>13</v>
      </c>
      <c r="B1610" t="s">
        <v>3229</v>
      </c>
      <c r="C1610" t="s">
        <v>3230</v>
      </c>
      <c r="D1610">
        <v>2126.55</v>
      </c>
      <c r="E1610">
        <v>2126.55</v>
      </c>
      <c r="F1610">
        <v>2.724</v>
      </c>
      <c r="G1610">
        <v>0</v>
      </c>
      <c r="H1610">
        <v>0.579273</v>
      </c>
      <c r="I1610">
        <v>0.560134</v>
      </c>
      <c r="J1610">
        <v>0.019139</v>
      </c>
      <c r="K1610" s="4">
        <f t="shared" si="75"/>
        <v>0.0341686096541185</v>
      </c>
      <c r="L1610" s="4">
        <f t="shared" si="76"/>
        <v>0</v>
      </c>
      <c r="M1610" s="18">
        <f t="shared" si="77"/>
        <v>0</v>
      </c>
    </row>
    <row r="1611" spans="1:13">
      <c r="A1611" t="s">
        <v>13</v>
      </c>
      <c r="B1611" t="s">
        <v>3231</v>
      </c>
      <c r="C1611" t="s">
        <v>3232</v>
      </c>
      <c r="D1611">
        <v>31328.1</v>
      </c>
      <c r="E1611">
        <v>31628.1</v>
      </c>
      <c r="F1611">
        <v>1.481</v>
      </c>
      <c r="G1611">
        <v>-300</v>
      </c>
      <c r="H1611">
        <v>4.684122</v>
      </c>
      <c r="I1611">
        <v>4.601889</v>
      </c>
      <c r="J1611">
        <v>0.082233</v>
      </c>
      <c r="K1611" s="4">
        <f t="shared" si="75"/>
        <v>0.0178694010220585</v>
      </c>
      <c r="L1611" s="4">
        <f t="shared" si="76"/>
        <v>-0.0094852362298083</v>
      </c>
      <c r="M1611" s="18">
        <f t="shared" si="77"/>
        <v>-0.04443</v>
      </c>
    </row>
    <row r="1612" spans="1:13">
      <c r="A1612" t="s">
        <v>13</v>
      </c>
      <c r="B1612" t="s">
        <v>3233</v>
      </c>
      <c r="C1612" t="s">
        <v>3234</v>
      </c>
      <c r="D1612">
        <v>3472.33</v>
      </c>
      <c r="E1612">
        <v>3622.33</v>
      </c>
      <c r="F1612">
        <v>1.105</v>
      </c>
      <c r="G1612">
        <v>-150</v>
      </c>
      <c r="H1612">
        <v>0.400267</v>
      </c>
      <c r="I1612">
        <v>0.382998</v>
      </c>
      <c r="J1612">
        <v>0.017269</v>
      </c>
      <c r="K1612" s="4">
        <f t="shared" si="75"/>
        <v>0.0450890082976935</v>
      </c>
      <c r="L1612" s="4">
        <f t="shared" si="76"/>
        <v>-0.0414098108123777</v>
      </c>
      <c r="M1612" s="18">
        <f t="shared" si="77"/>
        <v>-0.016575</v>
      </c>
    </row>
    <row r="1613" spans="1:13">
      <c r="A1613" t="s">
        <v>13</v>
      </c>
      <c r="B1613" t="s">
        <v>3235</v>
      </c>
      <c r="C1613" t="s">
        <v>3236</v>
      </c>
      <c r="D1613">
        <v>147666.3</v>
      </c>
      <c r="E1613">
        <v>141166.3</v>
      </c>
      <c r="F1613">
        <v>3.223</v>
      </c>
      <c r="G1613">
        <v>6500</v>
      </c>
      <c r="H1613">
        <v>45.497898</v>
      </c>
      <c r="I1613">
        <v>44.373004</v>
      </c>
      <c r="J1613">
        <v>1.124894</v>
      </c>
      <c r="K1613" s="4">
        <f t="shared" si="75"/>
        <v>0.0253508642326762</v>
      </c>
      <c r="L1613" s="4">
        <f t="shared" si="76"/>
        <v>0.046044983824043</v>
      </c>
      <c r="M1613" s="18">
        <f t="shared" si="77"/>
        <v>2.09495</v>
      </c>
    </row>
    <row r="1614" spans="1:13">
      <c r="A1614" t="s">
        <v>13</v>
      </c>
      <c r="B1614" t="s">
        <v>3237</v>
      </c>
      <c r="C1614" t="s">
        <v>3238</v>
      </c>
      <c r="D1614">
        <v>45993.74</v>
      </c>
      <c r="E1614">
        <v>45893.74</v>
      </c>
      <c r="F1614">
        <v>0.748</v>
      </c>
      <c r="G1614">
        <v>100</v>
      </c>
      <c r="H1614">
        <v>3.432852</v>
      </c>
      <c r="I1614">
        <v>3.440332</v>
      </c>
      <c r="J1614">
        <v>-0.00748</v>
      </c>
      <c r="K1614" s="4">
        <f t="shared" si="75"/>
        <v>-0.00217420876822353</v>
      </c>
      <c r="L1614" s="4">
        <f t="shared" si="76"/>
        <v>0.00217894640968463</v>
      </c>
      <c r="M1614" s="18">
        <f t="shared" si="77"/>
        <v>0.00748</v>
      </c>
    </row>
    <row r="1615" spans="1:13">
      <c r="A1615" t="s">
        <v>13</v>
      </c>
      <c r="B1615" t="s">
        <v>3239</v>
      </c>
      <c r="C1615" t="s">
        <v>3240</v>
      </c>
      <c r="D1615">
        <v>23287.4</v>
      </c>
      <c r="E1615">
        <v>23287.4</v>
      </c>
      <c r="F1615">
        <v>2.002</v>
      </c>
      <c r="G1615">
        <v>0</v>
      </c>
      <c r="H1615">
        <v>4.662137</v>
      </c>
      <c r="I1615">
        <v>4.585158</v>
      </c>
      <c r="J1615">
        <v>0.076979</v>
      </c>
      <c r="K1615" s="4">
        <f t="shared" si="75"/>
        <v>0.0167887344340151</v>
      </c>
      <c r="L1615" s="4">
        <f t="shared" si="76"/>
        <v>0</v>
      </c>
      <c r="M1615" s="18">
        <f t="shared" si="77"/>
        <v>0</v>
      </c>
    </row>
    <row r="1616" spans="1:13">
      <c r="A1616" t="s">
        <v>13</v>
      </c>
      <c r="B1616" t="s">
        <v>3241</v>
      </c>
      <c r="C1616" t="s">
        <v>3242</v>
      </c>
      <c r="D1616">
        <v>10075</v>
      </c>
      <c r="E1616">
        <v>10075</v>
      </c>
      <c r="F1616">
        <v>1.409</v>
      </c>
      <c r="G1616">
        <v>0</v>
      </c>
      <c r="H1616">
        <v>1.419568</v>
      </c>
      <c r="I1616">
        <v>1.433363</v>
      </c>
      <c r="J1616">
        <v>-0.013795</v>
      </c>
      <c r="K1616" s="4">
        <f t="shared" si="75"/>
        <v>-0.00962421940569137</v>
      </c>
      <c r="L1616" s="4">
        <f t="shared" si="76"/>
        <v>0</v>
      </c>
      <c r="M1616" s="18">
        <f t="shared" si="77"/>
        <v>0</v>
      </c>
    </row>
    <row r="1617" spans="1:13">
      <c r="A1617" t="s">
        <v>13</v>
      </c>
      <c r="B1617" t="s">
        <v>3243</v>
      </c>
      <c r="C1617" t="s">
        <v>3244</v>
      </c>
      <c r="D1617">
        <v>610469.5</v>
      </c>
      <c r="E1617">
        <v>595169.5</v>
      </c>
      <c r="F1617">
        <v>1.165</v>
      </c>
      <c r="G1617">
        <v>15300</v>
      </c>
      <c r="H1617">
        <v>69.337247</v>
      </c>
      <c r="I1617">
        <v>68.542431</v>
      </c>
      <c r="J1617">
        <v>0.794816</v>
      </c>
      <c r="K1617" s="4">
        <f t="shared" si="75"/>
        <v>0.0115959703851181</v>
      </c>
      <c r="L1617" s="4">
        <f t="shared" si="76"/>
        <v>0.0257069624703551</v>
      </c>
      <c r="M1617" s="18">
        <f t="shared" si="77"/>
        <v>1.78245</v>
      </c>
    </row>
    <row r="1618" spans="1:13">
      <c r="A1618" t="s">
        <v>13</v>
      </c>
      <c r="B1618" t="s">
        <v>3245</v>
      </c>
      <c r="C1618" t="s">
        <v>3246</v>
      </c>
      <c r="D1618">
        <v>4545.1</v>
      </c>
      <c r="E1618">
        <v>4545.1</v>
      </c>
      <c r="F1618">
        <v>1.196</v>
      </c>
      <c r="G1618">
        <v>0</v>
      </c>
      <c r="H1618">
        <v>0.543594</v>
      </c>
      <c r="I1618">
        <v>0.543594</v>
      </c>
      <c r="J1618">
        <v>0</v>
      </c>
      <c r="K1618" s="4">
        <f t="shared" si="75"/>
        <v>0</v>
      </c>
      <c r="L1618" s="4">
        <f t="shared" si="76"/>
        <v>0</v>
      </c>
      <c r="M1618" s="18">
        <f t="shared" si="77"/>
        <v>0</v>
      </c>
    </row>
    <row r="1619" spans="1:13">
      <c r="A1619" t="s">
        <v>13</v>
      </c>
      <c r="B1619" t="s">
        <v>3247</v>
      </c>
      <c r="C1619" t="s">
        <v>3248</v>
      </c>
      <c r="D1619">
        <v>8813.6</v>
      </c>
      <c r="E1619">
        <v>8813.6</v>
      </c>
      <c r="F1619">
        <v>3.649</v>
      </c>
      <c r="G1619">
        <v>0</v>
      </c>
      <c r="H1619">
        <v>3.216083</v>
      </c>
      <c r="I1619">
        <v>3.134029</v>
      </c>
      <c r="J1619">
        <v>0.082054</v>
      </c>
      <c r="K1619" s="4">
        <f t="shared" si="75"/>
        <v>0.0261816339287224</v>
      </c>
      <c r="L1619" s="4">
        <f t="shared" si="76"/>
        <v>0</v>
      </c>
      <c r="M1619" s="18">
        <f t="shared" si="77"/>
        <v>0</v>
      </c>
    </row>
    <row r="1620" spans="1:13">
      <c r="A1620" t="s">
        <v>13</v>
      </c>
      <c r="B1620" t="s">
        <v>3249</v>
      </c>
      <c r="C1620" t="s">
        <v>3250</v>
      </c>
      <c r="D1620">
        <v>24498.15</v>
      </c>
      <c r="E1620">
        <v>24698.15</v>
      </c>
      <c r="F1620">
        <v>1.276</v>
      </c>
      <c r="G1620">
        <v>-200</v>
      </c>
      <c r="H1620">
        <v>3.151483</v>
      </c>
      <c r="I1620">
        <v>3.233678</v>
      </c>
      <c r="J1620">
        <v>-0.082195</v>
      </c>
      <c r="K1620" s="4">
        <f t="shared" si="75"/>
        <v>-0.0254184244689793</v>
      </c>
      <c r="L1620" s="4">
        <f t="shared" si="76"/>
        <v>-0.00809777250522812</v>
      </c>
      <c r="M1620" s="18">
        <f t="shared" si="77"/>
        <v>-0.02552</v>
      </c>
    </row>
    <row r="1621" spans="1:13">
      <c r="A1621" t="s">
        <v>13</v>
      </c>
      <c r="B1621" t="s">
        <v>3251</v>
      </c>
      <c r="C1621" t="s">
        <v>3252</v>
      </c>
      <c r="D1621">
        <v>34089.5</v>
      </c>
      <c r="E1621">
        <v>34089.5</v>
      </c>
      <c r="F1621">
        <v>0.595</v>
      </c>
      <c r="G1621">
        <v>0</v>
      </c>
      <c r="H1621">
        <v>2.028325</v>
      </c>
      <c r="I1621">
        <v>2.004462</v>
      </c>
      <c r="J1621">
        <v>0.023863</v>
      </c>
      <c r="K1621" s="4">
        <f t="shared" si="75"/>
        <v>0.0119049400786845</v>
      </c>
      <c r="L1621" s="4">
        <f t="shared" si="76"/>
        <v>0</v>
      </c>
      <c r="M1621" s="18">
        <f t="shared" si="77"/>
        <v>0</v>
      </c>
    </row>
    <row r="1622" spans="1:13">
      <c r="A1622" t="s">
        <v>13</v>
      </c>
      <c r="B1622" t="s">
        <v>3253</v>
      </c>
      <c r="C1622" t="s">
        <v>3254</v>
      </c>
      <c r="D1622">
        <v>47150.52</v>
      </c>
      <c r="E1622">
        <v>47150.52</v>
      </c>
      <c r="F1622">
        <v>0.889</v>
      </c>
      <c r="G1622">
        <v>0</v>
      </c>
      <c r="H1622">
        <v>4.191681</v>
      </c>
      <c r="I1622">
        <v>4.355448</v>
      </c>
      <c r="J1622">
        <v>-0.163767</v>
      </c>
      <c r="K1622" s="4">
        <f t="shared" si="75"/>
        <v>-0.0376004948285458</v>
      </c>
      <c r="L1622" s="4">
        <f t="shared" si="76"/>
        <v>0</v>
      </c>
      <c r="M1622" s="18">
        <f t="shared" si="77"/>
        <v>0</v>
      </c>
    </row>
    <row r="1623" spans="1:13">
      <c r="A1623" t="s">
        <v>13</v>
      </c>
      <c r="B1623" t="s">
        <v>3255</v>
      </c>
      <c r="C1623" t="s">
        <v>3256</v>
      </c>
      <c r="D1623">
        <v>104989.96</v>
      </c>
      <c r="E1623">
        <v>136339.96</v>
      </c>
      <c r="F1623">
        <v>0.928</v>
      </c>
      <c r="G1623">
        <v>-31350</v>
      </c>
      <c r="H1623">
        <v>12.652348</v>
      </c>
      <c r="I1623">
        <v>11.894813</v>
      </c>
      <c r="J1623">
        <v>0.757535</v>
      </c>
      <c r="K1623" s="4">
        <f t="shared" si="75"/>
        <v>0.0636861630359384</v>
      </c>
      <c r="L1623" s="4">
        <f t="shared" si="76"/>
        <v>-0.229939923702486</v>
      </c>
      <c r="M1623" s="18">
        <f t="shared" si="77"/>
        <v>-2.90928</v>
      </c>
    </row>
    <row r="1624" spans="1:13">
      <c r="A1624" t="s">
        <v>13</v>
      </c>
      <c r="B1624" t="s">
        <v>3257</v>
      </c>
      <c r="C1624" t="s">
        <v>3258</v>
      </c>
      <c r="D1624">
        <v>22255.1</v>
      </c>
      <c r="E1624">
        <v>21355.1</v>
      </c>
      <c r="G1624">
        <v>900</v>
      </c>
      <c r="H1624">
        <v>3.008934</v>
      </c>
      <c r="I1624">
        <v>3.000392</v>
      </c>
      <c r="J1624">
        <v>0.008542</v>
      </c>
      <c r="K1624" s="4">
        <f t="shared" si="75"/>
        <v>0.00284696133038616</v>
      </c>
      <c r="L1624" s="4">
        <f t="shared" si="76"/>
        <v>0.0421444994404147</v>
      </c>
      <c r="M1624" s="18">
        <f t="shared" si="77"/>
        <v>0</v>
      </c>
    </row>
    <row r="1625" spans="1:13">
      <c r="A1625" t="s">
        <v>13</v>
      </c>
      <c r="B1625" t="s">
        <v>3259</v>
      </c>
      <c r="C1625" t="s">
        <v>3260</v>
      </c>
      <c r="D1625">
        <v>22270.63</v>
      </c>
      <c r="E1625">
        <v>22370.63</v>
      </c>
      <c r="G1625">
        <v>-100</v>
      </c>
      <c r="H1625">
        <v>1.400402</v>
      </c>
      <c r="I1625">
        <v>1.418639</v>
      </c>
      <c r="J1625">
        <v>-0.018237</v>
      </c>
      <c r="K1625" s="4">
        <f t="shared" si="75"/>
        <v>-0.0128552788975913</v>
      </c>
      <c r="L1625" s="4">
        <f t="shared" si="76"/>
        <v>-0.00447014679515061</v>
      </c>
      <c r="M1625" s="18">
        <f t="shared" si="77"/>
        <v>0</v>
      </c>
    </row>
    <row r="1626" spans="1:13">
      <c r="A1626" t="s">
        <v>13</v>
      </c>
      <c r="B1626" t="s">
        <v>3261</v>
      </c>
      <c r="C1626" t="s">
        <v>3262</v>
      </c>
      <c r="D1626">
        <v>22022.73</v>
      </c>
      <c r="E1626">
        <v>21922.73</v>
      </c>
      <c r="F1626">
        <v>0.944</v>
      </c>
      <c r="G1626">
        <v>100</v>
      </c>
      <c r="I1626">
        <v>1.778748</v>
      </c>
      <c r="K1626" s="4">
        <f t="shared" si="75"/>
        <v>0</v>
      </c>
      <c r="L1626" s="4">
        <f t="shared" si="76"/>
        <v>0.00456147569212411</v>
      </c>
      <c r="M1626" s="18">
        <f t="shared" si="77"/>
        <v>0.00944</v>
      </c>
    </row>
    <row r="1627" spans="1:13">
      <c r="A1627" t="s">
        <v>13</v>
      </c>
      <c r="B1627" t="s">
        <v>3263</v>
      </c>
      <c r="C1627" t="s">
        <v>3264</v>
      </c>
      <c r="D1627">
        <v>8606.9</v>
      </c>
      <c r="E1627">
        <v>8706.9</v>
      </c>
      <c r="F1627">
        <v>0.946</v>
      </c>
      <c r="G1627">
        <v>-100</v>
      </c>
      <c r="H1627">
        <v>0.823673</v>
      </c>
      <c r="I1627">
        <v>0.800442</v>
      </c>
      <c r="J1627">
        <v>0.023231</v>
      </c>
      <c r="K1627" s="4">
        <f t="shared" si="75"/>
        <v>0.0290227149499901</v>
      </c>
      <c r="L1627" s="4">
        <f t="shared" si="76"/>
        <v>-0.0114851439662796</v>
      </c>
      <c r="M1627" s="18">
        <f t="shared" si="77"/>
        <v>-0.00946</v>
      </c>
    </row>
    <row r="1628" spans="1:13">
      <c r="A1628" t="s">
        <v>13</v>
      </c>
      <c r="B1628" t="s">
        <v>3265</v>
      </c>
      <c r="C1628" t="s">
        <v>3266</v>
      </c>
      <c r="D1628">
        <v>128643.7</v>
      </c>
      <c r="E1628">
        <v>129243.7</v>
      </c>
      <c r="F1628">
        <v>0.734</v>
      </c>
      <c r="G1628">
        <v>-600</v>
      </c>
      <c r="H1628">
        <v>9.486488</v>
      </c>
      <c r="I1628">
        <v>9.399168</v>
      </c>
      <c r="J1628">
        <v>0.08732</v>
      </c>
      <c r="K1628" s="4">
        <f t="shared" si="75"/>
        <v>0.00929018398224183</v>
      </c>
      <c r="L1628" s="4">
        <f t="shared" si="76"/>
        <v>-0.00464239262726152</v>
      </c>
      <c r="M1628" s="18">
        <f t="shared" si="77"/>
        <v>-0.04404</v>
      </c>
    </row>
    <row r="1629" spans="1:13">
      <c r="A1629" t="s">
        <v>13</v>
      </c>
      <c r="B1629" t="s">
        <v>3267</v>
      </c>
      <c r="C1629" t="s">
        <v>3268</v>
      </c>
      <c r="D1629">
        <v>99825.83</v>
      </c>
      <c r="E1629">
        <v>97325.83</v>
      </c>
      <c r="F1629">
        <v>1.997</v>
      </c>
      <c r="G1629">
        <v>2500</v>
      </c>
      <c r="H1629">
        <v>19.435969</v>
      </c>
      <c r="I1629">
        <v>18.868232</v>
      </c>
      <c r="J1629">
        <v>0.567737</v>
      </c>
      <c r="K1629" s="4">
        <f t="shared" si="75"/>
        <v>0.0300895706603565</v>
      </c>
      <c r="L1629" s="4">
        <f t="shared" si="76"/>
        <v>0.0256869116862399</v>
      </c>
      <c r="M1629" s="18">
        <f t="shared" si="77"/>
        <v>0.49925</v>
      </c>
    </row>
    <row r="1630" spans="1:13">
      <c r="A1630" t="s">
        <v>13</v>
      </c>
      <c r="B1630" t="s">
        <v>3269</v>
      </c>
      <c r="C1630" t="s">
        <v>3270</v>
      </c>
      <c r="D1630">
        <v>130439.1</v>
      </c>
      <c r="E1630">
        <v>132639.1</v>
      </c>
      <c r="F1630">
        <v>1.189</v>
      </c>
      <c r="G1630">
        <v>-2200</v>
      </c>
      <c r="H1630">
        <v>15.770789</v>
      </c>
      <c r="I1630">
        <v>16.766177</v>
      </c>
      <c r="J1630">
        <v>-0.995388</v>
      </c>
      <c r="K1630" s="4">
        <f t="shared" si="75"/>
        <v>-0.0593688113873544</v>
      </c>
      <c r="L1630" s="4">
        <f t="shared" si="76"/>
        <v>-0.0165863610353207</v>
      </c>
      <c r="M1630" s="18">
        <f t="shared" si="77"/>
        <v>-0.26158</v>
      </c>
    </row>
    <row r="1631" spans="1:13">
      <c r="A1631" t="s">
        <v>13</v>
      </c>
      <c r="B1631" t="s">
        <v>3271</v>
      </c>
      <c r="C1631" t="s">
        <v>3272</v>
      </c>
      <c r="D1631">
        <v>39444.8</v>
      </c>
      <c r="E1631">
        <v>40044.8</v>
      </c>
      <c r="F1631">
        <v>1.176</v>
      </c>
      <c r="G1631">
        <v>-600</v>
      </c>
      <c r="H1631">
        <v>4.709268</v>
      </c>
      <c r="I1631">
        <v>4.765331</v>
      </c>
      <c r="J1631">
        <v>-0.056063</v>
      </c>
      <c r="K1631" s="4">
        <f t="shared" si="75"/>
        <v>-0.0117647651338386</v>
      </c>
      <c r="L1631" s="4">
        <f t="shared" si="76"/>
        <v>-0.0149832187949497</v>
      </c>
      <c r="M1631" s="18">
        <f t="shared" si="77"/>
        <v>-0.07056</v>
      </c>
    </row>
    <row r="1632" spans="1:13">
      <c r="A1632" t="s">
        <v>13</v>
      </c>
      <c r="B1632" t="s">
        <v>3273</v>
      </c>
      <c r="C1632" t="s">
        <v>3274</v>
      </c>
      <c r="D1632">
        <v>38975.6</v>
      </c>
      <c r="E1632">
        <v>38875.6</v>
      </c>
      <c r="F1632">
        <v>1.05</v>
      </c>
      <c r="G1632">
        <v>100</v>
      </c>
      <c r="H1632">
        <v>4.081938</v>
      </c>
      <c r="I1632">
        <v>4.152614</v>
      </c>
      <c r="J1632">
        <v>-0.070676</v>
      </c>
      <c r="K1632" s="4">
        <f t="shared" si="75"/>
        <v>-0.0170196411224352</v>
      </c>
      <c r="L1632" s="4">
        <f t="shared" si="76"/>
        <v>0.00257230756567101</v>
      </c>
      <c r="M1632" s="18">
        <f t="shared" si="77"/>
        <v>0.0105</v>
      </c>
    </row>
    <row r="1633" spans="1:13">
      <c r="A1633" t="s">
        <v>13</v>
      </c>
      <c r="B1633" t="s">
        <v>3275</v>
      </c>
      <c r="C1633" t="s">
        <v>3276</v>
      </c>
      <c r="D1633">
        <v>174595.11</v>
      </c>
      <c r="E1633">
        <v>173345.11</v>
      </c>
      <c r="F1633">
        <v>1.182</v>
      </c>
      <c r="G1633">
        <v>1250</v>
      </c>
      <c r="H1633">
        <v>20.489393</v>
      </c>
      <c r="I1633">
        <v>20.229375</v>
      </c>
      <c r="J1633">
        <v>0.260018</v>
      </c>
      <c r="K1633" s="4">
        <f t="shared" si="75"/>
        <v>0.0128534865758334</v>
      </c>
      <c r="L1633" s="4">
        <f t="shared" si="76"/>
        <v>0.00721104852626071</v>
      </c>
      <c r="M1633" s="18">
        <f t="shared" si="77"/>
        <v>0.14775</v>
      </c>
    </row>
    <row r="1634" spans="1:13">
      <c r="A1634" t="s">
        <v>13</v>
      </c>
      <c r="B1634" t="s">
        <v>3277</v>
      </c>
      <c r="C1634" t="s">
        <v>3278</v>
      </c>
      <c r="D1634">
        <v>9818.93</v>
      </c>
      <c r="E1634">
        <v>9818.93</v>
      </c>
      <c r="F1634">
        <v>2.384</v>
      </c>
      <c r="G1634">
        <v>0</v>
      </c>
      <c r="H1634">
        <v>2.340833</v>
      </c>
      <c r="I1634">
        <v>2.324141</v>
      </c>
      <c r="J1634">
        <v>0.016692</v>
      </c>
      <c r="K1634" s="4">
        <f t="shared" si="75"/>
        <v>0.00718200832049346</v>
      </c>
      <c r="L1634" s="4">
        <f t="shared" si="76"/>
        <v>0</v>
      </c>
      <c r="M1634" s="18">
        <f t="shared" si="77"/>
        <v>0</v>
      </c>
    </row>
    <row r="1635" spans="1:13">
      <c r="A1635" t="s">
        <v>13</v>
      </c>
      <c r="B1635" t="s">
        <v>3279</v>
      </c>
      <c r="C1635" t="s">
        <v>3280</v>
      </c>
      <c r="D1635">
        <v>1011591</v>
      </c>
      <c r="E1635">
        <v>984591</v>
      </c>
      <c r="F1635">
        <v>1.11</v>
      </c>
      <c r="G1635">
        <v>27000</v>
      </c>
      <c r="H1635">
        <v>109.289601</v>
      </c>
      <c r="I1635">
        <v>109.996979</v>
      </c>
      <c r="J1635">
        <v>-0.707378</v>
      </c>
      <c r="K1635" s="4">
        <f t="shared" si="75"/>
        <v>-0.00643088570641563</v>
      </c>
      <c r="L1635" s="4">
        <f t="shared" si="76"/>
        <v>0.0274225541366923</v>
      </c>
      <c r="M1635" s="18">
        <f t="shared" si="77"/>
        <v>2.997</v>
      </c>
    </row>
    <row r="1636" spans="1:13">
      <c r="A1636" t="s">
        <v>13</v>
      </c>
      <c r="B1636" t="s">
        <v>3281</v>
      </c>
      <c r="C1636" t="s">
        <v>3282</v>
      </c>
      <c r="D1636">
        <v>10616.9</v>
      </c>
      <c r="E1636">
        <v>10466.9</v>
      </c>
      <c r="F1636">
        <v>1.694</v>
      </c>
      <c r="G1636">
        <v>150</v>
      </c>
      <c r="H1636">
        <v>1.773093</v>
      </c>
      <c r="I1636">
        <v>1.759486</v>
      </c>
      <c r="J1636">
        <v>0.013607</v>
      </c>
      <c r="K1636" s="4">
        <f t="shared" si="75"/>
        <v>0.00773350853601563</v>
      </c>
      <c r="L1636" s="4">
        <f t="shared" si="76"/>
        <v>0.0143308907126274</v>
      </c>
      <c r="M1636" s="18">
        <f t="shared" si="77"/>
        <v>0.02541</v>
      </c>
    </row>
    <row r="1637" spans="1:13">
      <c r="A1637" t="s">
        <v>13</v>
      </c>
      <c r="B1637" t="s">
        <v>3283</v>
      </c>
      <c r="C1637" t="s">
        <v>3284</v>
      </c>
      <c r="D1637">
        <v>12020.84</v>
      </c>
      <c r="E1637">
        <v>12220.84</v>
      </c>
      <c r="F1637">
        <v>1.526</v>
      </c>
      <c r="G1637">
        <v>-200</v>
      </c>
      <c r="H1637">
        <v>1.8649</v>
      </c>
      <c r="I1637">
        <v>1.880505</v>
      </c>
      <c r="J1637">
        <v>-0.015605</v>
      </c>
      <c r="K1637" s="4">
        <f t="shared" si="75"/>
        <v>-0.00829830284950053</v>
      </c>
      <c r="L1637" s="4">
        <f t="shared" si="76"/>
        <v>-0.016365487151456</v>
      </c>
      <c r="M1637" s="18">
        <f t="shared" si="77"/>
        <v>-0.03052</v>
      </c>
    </row>
    <row r="1638" spans="1:13">
      <c r="A1638" t="s">
        <v>13</v>
      </c>
      <c r="B1638" t="s">
        <v>3285</v>
      </c>
      <c r="C1638" t="s">
        <v>3286</v>
      </c>
      <c r="D1638">
        <v>20352.7</v>
      </c>
      <c r="E1638">
        <v>20352.7</v>
      </c>
      <c r="F1638">
        <v>1.089</v>
      </c>
      <c r="G1638">
        <v>0</v>
      </c>
      <c r="H1638">
        <v>2.216409</v>
      </c>
      <c r="I1638">
        <v>2.212338</v>
      </c>
      <c r="J1638">
        <v>0.004071</v>
      </c>
      <c r="K1638" s="4">
        <f t="shared" si="75"/>
        <v>0.00184013473528909</v>
      </c>
      <c r="L1638" s="4">
        <f t="shared" si="76"/>
        <v>0</v>
      </c>
      <c r="M1638" s="18">
        <f t="shared" si="77"/>
        <v>0</v>
      </c>
    </row>
    <row r="1639" spans="1:13">
      <c r="A1639" t="s">
        <v>13</v>
      </c>
      <c r="B1639" t="s">
        <v>3287</v>
      </c>
      <c r="C1639" t="s">
        <v>3288</v>
      </c>
      <c r="D1639">
        <v>107458.84</v>
      </c>
      <c r="E1639">
        <v>111258.84</v>
      </c>
      <c r="F1639">
        <v>1.409</v>
      </c>
      <c r="G1639">
        <v>-3800</v>
      </c>
      <c r="H1639">
        <v>15.676371</v>
      </c>
      <c r="I1639">
        <v>15.726842</v>
      </c>
      <c r="J1639">
        <v>-0.050471</v>
      </c>
      <c r="K1639" s="4">
        <f t="shared" si="75"/>
        <v>-0.00320922662032212</v>
      </c>
      <c r="L1639" s="4">
        <f t="shared" si="76"/>
        <v>-0.0341545894240853</v>
      </c>
      <c r="M1639" s="18">
        <f t="shared" si="77"/>
        <v>-0.53542</v>
      </c>
    </row>
    <row r="1640" spans="1:13">
      <c r="A1640" t="s">
        <v>13</v>
      </c>
      <c r="B1640" t="s">
        <v>3289</v>
      </c>
      <c r="C1640" t="s">
        <v>3290</v>
      </c>
      <c r="D1640">
        <v>4884.8</v>
      </c>
      <c r="E1640">
        <v>4984.8</v>
      </c>
      <c r="G1640">
        <v>-100</v>
      </c>
      <c r="H1640">
        <v>0.689398</v>
      </c>
      <c r="I1640">
        <v>0.675939</v>
      </c>
      <c r="J1640">
        <v>0.013459</v>
      </c>
      <c r="K1640" s="4">
        <f t="shared" si="75"/>
        <v>0.0199115600668108</v>
      </c>
      <c r="L1640" s="4">
        <f t="shared" si="76"/>
        <v>-0.0200609853956026</v>
      </c>
      <c r="M1640" s="18">
        <f t="shared" si="77"/>
        <v>0</v>
      </c>
    </row>
    <row r="1641" spans="1:13">
      <c r="A1641" t="s">
        <v>13</v>
      </c>
      <c r="B1641" t="s">
        <v>3291</v>
      </c>
      <c r="C1641" t="s">
        <v>3292</v>
      </c>
      <c r="D1641">
        <v>4639.9</v>
      </c>
      <c r="E1641">
        <v>4639.9</v>
      </c>
      <c r="G1641">
        <v>0</v>
      </c>
      <c r="H1641">
        <v>0.596691</v>
      </c>
      <c r="I1641">
        <v>0.590187</v>
      </c>
      <c r="J1641">
        <v>0.006504</v>
      </c>
      <c r="K1641" s="4">
        <f t="shared" si="75"/>
        <v>0.0110202359591113</v>
      </c>
      <c r="L1641" s="4">
        <f t="shared" si="76"/>
        <v>0</v>
      </c>
      <c r="M1641" s="18">
        <f t="shared" si="77"/>
        <v>0</v>
      </c>
    </row>
    <row r="1642" spans="1:13">
      <c r="A1642" t="s">
        <v>13</v>
      </c>
      <c r="B1642" t="s">
        <v>3293</v>
      </c>
      <c r="C1642" t="s">
        <v>3294</v>
      </c>
      <c r="D1642">
        <v>11642</v>
      </c>
      <c r="E1642">
        <v>11542</v>
      </c>
      <c r="F1642">
        <v>1.073</v>
      </c>
      <c r="G1642">
        <v>100</v>
      </c>
      <c r="H1642">
        <v>1.238457</v>
      </c>
      <c r="I1642">
        <v>1.249467</v>
      </c>
      <c r="J1642">
        <v>-0.01101</v>
      </c>
      <c r="K1642" s="4">
        <f t="shared" si="75"/>
        <v>-0.00881175733332693</v>
      </c>
      <c r="L1642" s="4">
        <f t="shared" si="76"/>
        <v>0.00866400970369087</v>
      </c>
      <c r="M1642" s="18">
        <f t="shared" si="77"/>
        <v>0.01073</v>
      </c>
    </row>
    <row r="1643" spans="1:13">
      <c r="A1643" t="s">
        <v>13</v>
      </c>
      <c r="B1643" t="s">
        <v>3295</v>
      </c>
      <c r="C1643" t="s">
        <v>3296</v>
      </c>
      <c r="D1643">
        <v>3345.88</v>
      </c>
      <c r="E1643">
        <v>3345.88</v>
      </c>
      <c r="F1643">
        <v>1.685</v>
      </c>
      <c r="G1643">
        <v>0</v>
      </c>
      <c r="H1643">
        <v>0.563781</v>
      </c>
      <c r="I1643">
        <v>0.563112</v>
      </c>
      <c r="J1643">
        <v>0.000669</v>
      </c>
      <c r="K1643" s="4">
        <f t="shared" si="75"/>
        <v>0.00118804074500277</v>
      </c>
      <c r="L1643" s="4">
        <f t="shared" si="76"/>
        <v>0</v>
      </c>
      <c r="M1643" s="18">
        <f t="shared" si="77"/>
        <v>0</v>
      </c>
    </row>
    <row r="1644" spans="1:13">
      <c r="A1644" t="s">
        <v>13</v>
      </c>
      <c r="B1644" t="s">
        <v>3297</v>
      </c>
      <c r="C1644" t="s">
        <v>3298</v>
      </c>
      <c r="D1644">
        <v>9206.7</v>
      </c>
      <c r="E1644">
        <v>9206.7</v>
      </c>
      <c r="F1644">
        <v>2.413</v>
      </c>
      <c r="G1644">
        <v>0</v>
      </c>
      <c r="H1644">
        <v>2.221577</v>
      </c>
      <c r="I1644">
        <v>2.141793</v>
      </c>
      <c r="J1644">
        <v>0.079784</v>
      </c>
      <c r="K1644" s="4">
        <f t="shared" si="75"/>
        <v>0.0372510321959218</v>
      </c>
      <c r="L1644" s="4">
        <f t="shared" si="76"/>
        <v>0</v>
      </c>
      <c r="M1644" s="18">
        <f t="shared" si="77"/>
        <v>0</v>
      </c>
    </row>
    <row r="1645" spans="1:13">
      <c r="A1645" t="s">
        <v>13</v>
      </c>
      <c r="B1645" t="s">
        <v>3299</v>
      </c>
      <c r="C1645" t="s">
        <v>3300</v>
      </c>
      <c r="D1645">
        <v>586701.37</v>
      </c>
      <c r="E1645">
        <v>590601.37</v>
      </c>
      <c r="F1645">
        <v>1.377</v>
      </c>
      <c r="G1645">
        <v>-3900</v>
      </c>
      <c r="H1645">
        <v>81.325808</v>
      </c>
      <c r="I1645">
        <v>81.391367</v>
      </c>
      <c r="J1645">
        <v>-0.065559</v>
      </c>
      <c r="K1645" s="4">
        <f t="shared" si="75"/>
        <v>-0.000805478546637508</v>
      </c>
      <c r="L1645" s="4">
        <f t="shared" si="76"/>
        <v>-0.0066034387966286</v>
      </c>
      <c r="M1645" s="18">
        <f t="shared" si="77"/>
        <v>-0.53703</v>
      </c>
    </row>
    <row r="1646" spans="1:13">
      <c r="A1646" t="s">
        <v>13</v>
      </c>
      <c r="B1646" t="s">
        <v>3301</v>
      </c>
      <c r="C1646" t="s">
        <v>3302</v>
      </c>
      <c r="D1646">
        <v>330723.7</v>
      </c>
      <c r="E1646">
        <v>338523.7</v>
      </c>
      <c r="F1646">
        <v>1.384</v>
      </c>
      <c r="G1646">
        <v>-7800</v>
      </c>
      <c r="H1646">
        <v>46.85168</v>
      </c>
      <c r="I1646">
        <v>46.699885</v>
      </c>
      <c r="J1646">
        <v>0.151795</v>
      </c>
      <c r="K1646" s="4">
        <f t="shared" si="75"/>
        <v>0.00325043626981094</v>
      </c>
      <c r="L1646" s="4">
        <f t="shared" si="76"/>
        <v>-0.0230412228154188</v>
      </c>
      <c r="M1646" s="18">
        <f t="shared" si="77"/>
        <v>-1.07952</v>
      </c>
    </row>
    <row r="1647" spans="1:13">
      <c r="A1647" t="s">
        <v>13</v>
      </c>
      <c r="B1647" t="s">
        <v>3303</v>
      </c>
      <c r="C1647" t="s">
        <v>3304</v>
      </c>
      <c r="D1647">
        <v>670.66</v>
      </c>
      <c r="E1647">
        <v>670.66</v>
      </c>
      <c r="F1647">
        <v>1.489</v>
      </c>
      <c r="G1647">
        <v>0</v>
      </c>
      <c r="H1647">
        <v>0.099861</v>
      </c>
      <c r="I1647">
        <v>0.099191</v>
      </c>
      <c r="J1647">
        <v>0.00067</v>
      </c>
      <c r="K1647" s="4">
        <f t="shared" si="75"/>
        <v>0.00675464507868657</v>
      </c>
      <c r="L1647" s="4">
        <f t="shared" si="76"/>
        <v>0</v>
      </c>
      <c r="M1647" s="18">
        <f t="shared" si="77"/>
        <v>0</v>
      </c>
    </row>
    <row r="1648" spans="1:13">
      <c r="A1648" t="s">
        <v>13</v>
      </c>
      <c r="B1648" t="s">
        <v>3305</v>
      </c>
      <c r="C1648" t="s">
        <v>3306</v>
      </c>
      <c r="D1648">
        <v>232867.4</v>
      </c>
      <c r="E1648">
        <v>233617.4</v>
      </c>
      <c r="F1648">
        <v>1.622</v>
      </c>
      <c r="G1648">
        <v>-750</v>
      </c>
      <c r="H1648">
        <v>37.892742</v>
      </c>
      <c r="I1648">
        <v>38.280163</v>
      </c>
      <c r="J1648">
        <v>-0.387421</v>
      </c>
      <c r="K1648" s="4">
        <f t="shared" si="75"/>
        <v>-0.010120672683656</v>
      </c>
      <c r="L1648" s="4">
        <f t="shared" si="76"/>
        <v>-0.0032103773092244</v>
      </c>
      <c r="M1648" s="18">
        <f t="shared" si="77"/>
        <v>-0.12165</v>
      </c>
    </row>
    <row r="1649" spans="1:13">
      <c r="A1649" t="s">
        <v>13</v>
      </c>
      <c r="B1649" t="s">
        <v>3307</v>
      </c>
      <c r="C1649" t="s">
        <v>3308</v>
      </c>
      <c r="D1649">
        <v>21589.2</v>
      </c>
      <c r="E1649">
        <v>21989.2</v>
      </c>
      <c r="F1649">
        <v>0.963</v>
      </c>
      <c r="G1649">
        <v>-400</v>
      </c>
      <c r="H1649">
        <v>2.11756</v>
      </c>
      <c r="I1649">
        <v>2.099174</v>
      </c>
      <c r="J1649">
        <v>0.018386</v>
      </c>
      <c r="K1649" s="4">
        <f t="shared" si="75"/>
        <v>0.00875868317728783</v>
      </c>
      <c r="L1649" s="4">
        <f t="shared" si="76"/>
        <v>-0.0181907481854729</v>
      </c>
      <c r="M1649" s="18">
        <f t="shared" si="77"/>
        <v>-0.03852</v>
      </c>
    </row>
    <row r="1650" spans="1:13">
      <c r="A1650" t="s">
        <v>13</v>
      </c>
      <c r="B1650" t="s">
        <v>3309</v>
      </c>
      <c r="C1650" t="s">
        <v>3310</v>
      </c>
      <c r="D1650">
        <v>3076.06</v>
      </c>
      <c r="E1650">
        <v>3076.06</v>
      </c>
      <c r="F1650">
        <v>4.538</v>
      </c>
      <c r="G1650">
        <v>0</v>
      </c>
      <c r="H1650">
        <v>1.395917</v>
      </c>
      <c r="I1650">
        <v>1.38915</v>
      </c>
      <c r="J1650">
        <v>0.006767</v>
      </c>
      <c r="K1650" s="4">
        <f t="shared" si="75"/>
        <v>0.00487132419105208</v>
      </c>
      <c r="L1650" s="4">
        <f t="shared" si="76"/>
        <v>0</v>
      </c>
      <c r="M1650" s="18">
        <f t="shared" si="77"/>
        <v>0</v>
      </c>
    </row>
    <row r="1651" spans="1:13">
      <c r="A1651" t="s">
        <v>13</v>
      </c>
      <c r="B1651" t="s">
        <v>3311</v>
      </c>
      <c r="C1651" t="s">
        <v>3312</v>
      </c>
      <c r="D1651">
        <v>18199.76</v>
      </c>
      <c r="E1651">
        <v>18799.76</v>
      </c>
      <c r="F1651">
        <v>1.441</v>
      </c>
      <c r="G1651">
        <v>-600</v>
      </c>
      <c r="H1651">
        <v>2.709046</v>
      </c>
      <c r="I1651">
        <v>2.710926</v>
      </c>
      <c r="J1651">
        <v>-0.00188</v>
      </c>
      <c r="K1651" s="4">
        <f t="shared" si="75"/>
        <v>-0.000693489973536718</v>
      </c>
      <c r="L1651" s="4">
        <f t="shared" si="76"/>
        <v>-0.0319153010463963</v>
      </c>
      <c r="M1651" s="18">
        <f t="shared" si="77"/>
        <v>-0.08646</v>
      </c>
    </row>
    <row r="1652" spans="1:13">
      <c r="A1652" t="s">
        <v>13</v>
      </c>
      <c r="B1652" t="s">
        <v>3313</v>
      </c>
      <c r="C1652" t="s">
        <v>3314</v>
      </c>
      <c r="D1652">
        <v>2281998.74</v>
      </c>
      <c r="E1652">
        <v>2297298.74</v>
      </c>
      <c r="F1652">
        <v>1.397</v>
      </c>
      <c r="G1652">
        <v>-15300</v>
      </c>
      <c r="H1652">
        <v>320.932634</v>
      </c>
      <c r="I1652">
        <v>321.863145</v>
      </c>
      <c r="J1652">
        <v>-0.930511</v>
      </c>
      <c r="K1652" s="4">
        <f t="shared" si="75"/>
        <v>-0.00289101444031438</v>
      </c>
      <c r="L1652" s="4">
        <f t="shared" si="76"/>
        <v>-0.00665999581752263</v>
      </c>
      <c r="M1652" s="18">
        <f t="shared" si="77"/>
        <v>-2.13741</v>
      </c>
    </row>
    <row r="1653" spans="1:13">
      <c r="A1653" t="s">
        <v>13</v>
      </c>
      <c r="B1653" t="s">
        <v>3315</v>
      </c>
      <c r="C1653" t="s">
        <v>3316</v>
      </c>
      <c r="D1653">
        <v>91995</v>
      </c>
      <c r="E1653">
        <v>92495</v>
      </c>
      <c r="F1653">
        <v>1.038</v>
      </c>
      <c r="G1653">
        <v>-500</v>
      </c>
      <c r="H1653">
        <v>9.600981</v>
      </c>
      <c r="I1653">
        <v>9.473244</v>
      </c>
      <c r="J1653">
        <v>0.127737</v>
      </c>
      <c r="K1653" s="4">
        <f t="shared" si="75"/>
        <v>0.0134839765554439</v>
      </c>
      <c r="L1653" s="4">
        <f t="shared" si="76"/>
        <v>-0.00540569760527596</v>
      </c>
      <c r="M1653" s="18">
        <f t="shared" si="77"/>
        <v>-0.0519</v>
      </c>
    </row>
    <row r="1654" spans="1:13">
      <c r="A1654" t="s">
        <v>13</v>
      </c>
      <c r="B1654" t="s">
        <v>3317</v>
      </c>
      <c r="C1654" t="s">
        <v>3318</v>
      </c>
      <c r="D1654">
        <v>233534.4</v>
      </c>
      <c r="E1654">
        <v>237734.4</v>
      </c>
      <c r="F1654">
        <v>1.178</v>
      </c>
      <c r="G1654">
        <v>-4200</v>
      </c>
      <c r="H1654">
        <v>28.005112</v>
      </c>
      <c r="I1654">
        <v>28.498475</v>
      </c>
      <c r="J1654">
        <v>-0.493363</v>
      </c>
      <c r="K1654" s="4">
        <f t="shared" si="75"/>
        <v>-0.0173119087951197</v>
      </c>
      <c r="L1654" s="4">
        <f t="shared" si="76"/>
        <v>-0.0176667743498627</v>
      </c>
      <c r="M1654" s="18">
        <f t="shared" si="77"/>
        <v>-0.49476</v>
      </c>
    </row>
    <row r="1655" spans="1:13">
      <c r="A1655" t="s">
        <v>13</v>
      </c>
      <c r="B1655" t="s">
        <v>3319</v>
      </c>
      <c r="C1655" t="s">
        <v>3320</v>
      </c>
      <c r="D1655">
        <v>64595.87</v>
      </c>
      <c r="E1655">
        <v>64595.87</v>
      </c>
      <c r="F1655">
        <v>0.692</v>
      </c>
      <c r="G1655">
        <v>0</v>
      </c>
      <c r="H1655">
        <v>4.470034</v>
      </c>
      <c r="I1655">
        <v>4.444196</v>
      </c>
      <c r="J1655">
        <v>0.025838</v>
      </c>
      <c r="K1655" s="4">
        <f t="shared" si="75"/>
        <v>0.00581387499561226</v>
      </c>
      <c r="L1655" s="4">
        <f t="shared" si="76"/>
        <v>0</v>
      </c>
      <c r="M1655" s="18">
        <f t="shared" si="77"/>
        <v>0</v>
      </c>
    </row>
    <row r="1656" spans="1:13">
      <c r="A1656" t="s">
        <v>13</v>
      </c>
      <c r="B1656" t="s">
        <v>3321</v>
      </c>
      <c r="C1656" t="s">
        <v>3322</v>
      </c>
      <c r="D1656">
        <v>30853.7</v>
      </c>
      <c r="E1656">
        <v>30253.7</v>
      </c>
      <c r="F1656">
        <v>0.941</v>
      </c>
      <c r="G1656">
        <v>600</v>
      </c>
      <c r="H1656">
        <v>2.846873</v>
      </c>
      <c r="I1656">
        <v>2.876139</v>
      </c>
      <c r="J1656">
        <v>-0.029266</v>
      </c>
      <c r="K1656" s="4">
        <f t="shared" si="75"/>
        <v>-0.010175447014209</v>
      </c>
      <c r="L1656" s="4">
        <f t="shared" si="76"/>
        <v>0.0198322849767136</v>
      </c>
      <c r="M1656" s="18">
        <f t="shared" si="77"/>
        <v>0.05646</v>
      </c>
    </row>
    <row r="1657" spans="1:13">
      <c r="A1657" t="s">
        <v>13</v>
      </c>
      <c r="B1657" t="s">
        <v>3323</v>
      </c>
      <c r="C1657" t="s">
        <v>3324</v>
      </c>
      <c r="D1657">
        <v>37906.5</v>
      </c>
      <c r="E1657">
        <v>37906.5</v>
      </c>
      <c r="F1657">
        <v>1.274</v>
      </c>
      <c r="G1657">
        <v>0</v>
      </c>
      <c r="H1657">
        <v>4.829288</v>
      </c>
      <c r="I1657">
        <v>4.874923</v>
      </c>
      <c r="J1657">
        <v>-0.045635</v>
      </c>
      <c r="K1657" s="4">
        <f t="shared" si="75"/>
        <v>-0.00936117349956092</v>
      </c>
      <c r="L1657" s="4">
        <f t="shared" si="76"/>
        <v>0</v>
      </c>
      <c r="M1657" s="18">
        <f t="shared" si="77"/>
        <v>0</v>
      </c>
    </row>
    <row r="1658" spans="1:13">
      <c r="A1658" t="s">
        <v>13</v>
      </c>
      <c r="B1658" t="s">
        <v>3325</v>
      </c>
      <c r="C1658" t="s">
        <v>3326</v>
      </c>
      <c r="D1658">
        <v>148474.8</v>
      </c>
      <c r="E1658">
        <v>151874.8</v>
      </c>
      <c r="F1658">
        <v>1.381</v>
      </c>
      <c r="G1658">
        <v>-3400</v>
      </c>
      <c r="H1658">
        <v>20.97391</v>
      </c>
      <c r="I1658">
        <v>20.807928</v>
      </c>
      <c r="J1658">
        <v>0.165982</v>
      </c>
      <c r="K1658" s="4">
        <f t="shared" si="75"/>
        <v>0.00797686343397574</v>
      </c>
      <c r="L1658" s="4">
        <f t="shared" si="76"/>
        <v>-0.0223868607563598</v>
      </c>
      <c r="M1658" s="18">
        <f t="shared" si="77"/>
        <v>-0.46954</v>
      </c>
    </row>
    <row r="1659" spans="1:13">
      <c r="A1659" t="s">
        <v>13</v>
      </c>
      <c r="B1659" t="s">
        <v>3327</v>
      </c>
      <c r="C1659" t="s">
        <v>3328</v>
      </c>
      <c r="D1659">
        <v>7955.9</v>
      </c>
      <c r="E1659">
        <v>7955.9</v>
      </c>
      <c r="F1659">
        <v>1.359</v>
      </c>
      <c r="G1659">
        <v>0</v>
      </c>
      <c r="H1659">
        <v>1.081207</v>
      </c>
      <c r="I1659">
        <v>1.070069</v>
      </c>
      <c r="J1659">
        <v>0.011138</v>
      </c>
      <c r="K1659" s="4">
        <f t="shared" si="75"/>
        <v>0.0104086745807981</v>
      </c>
      <c r="L1659" s="4">
        <f t="shared" si="76"/>
        <v>0</v>
      </c>
      <c r="M1659" s="18">
        <f t="shared" si="77"/>
        <v>0</v>
      </c>
    </row>
    <row r="1660" spans="1:13">
      <c r="A1660" t="s">
        <v>13</v>
      </c>
      <c r="B1660" t="s">
        <v>3329</v>
      </c>
      <c r="C1660" t="s">
        <v>3330</v>
      </c>
      <c r="D1660">
        <v>5676.9</v>
      </c>
      <c r="E1660">
        <v>5676.9</v>
      </c>
      <c r="F1660">
        <v>1.447</v>
      </c>
      <c r="G1660">
        <v>0</v>
      </c>
      <c r="H1660">
        <v>0.821447</v>
      </c>
      <c r="I1660">
        <v>0.790224</v>
      </c>
      <c r="J1660">
        <v>0.031223</v>
      </c>
      <c r="K1660" s="4">
        <f t="shared" si="75"/>
        <v>0.0395115815262508</v>
      </c>
      <c r="L1660" s="4">
        <f t="shared" si="76"/>
        <v>0</v>
      </c>
      <c r="M1660" s="18">
        <f t="shared" si="77"/>
        <v>0</v>
      </c>
    </row>
    <row r="1661" spans="1:13">
      <c r="A1661" t="s">
        <v>13</v>
      </c>
      <c r="B1661" t="s">
        <v>3331</v>
      </c>
      <c r="C1661" t="s">
        <v>3332</v>
      </c>
      <c r="D1661">
        <v>10637.4</v>
      </c>
      <c r="E1661">
        <v>10637.4</v>
      </c>
      <c r="F1661">
        <v>0.753</v>
      </c>
      <c r="G1661">
        <v>0</v>
      </c>
      <c r="H1661">
        <v>0.800996</v>
      </c>
      <c r="I1661">
        <v>0.826894</v>
      </c>
      <c r="J1661">
        <v>-0.025898</v>
      </c>
      <c r="K1661" s="4">
        <f t="shared" si="75"/>
        <v>-0.0313196129129006</v>
      </c>
      <c r="L1661" s="4">
        <f t="shared" si="76"/>
        <v>0</v>
      </c>
      <c r="M1661" s="18">
        <f t="shared" si="77"/>
        <v>0</v>
      </c>
    </row>
    <row r="1662" spans="1:13">
      <c r="A1662" t="s">
        <v>13</v>
      </c>
      <c r="B1662" t="s">
        <v>3333</v>
      </c>
      <c r="C1662" t="s">
        <v>3334</v>
      </c>
      <c r="D1662">
        <v>31164.8</v>
      </c>
      <c r="E1662">
        <v>32064.8</v>
      </c>
      <c r="F1662">
        <v>1.078</v>
      </c>
      <c r="G1662">
        <v>-900</v>
      </c>
      <c r="H1662">
        <v>3.456585</v>
      </c>
      <c r="I1662">
        <v>3.495063</v>
      </c>
      <c r="J1662">
        <v>-0.038478</v>
      </c>
      <c r="K1662" s="4">
        <f t="shared" si="75"/>
        <v>-0.011009243610201</v>
      </c>
      <c r="L1662" s="4">
        <f t="shared" si="76"/>
        <v>-0.0280681619720067</v>
      </c>
      <c r="M1662" s="18">
        <f t="shared" si="77"/>
        <v>-0.09702</v>
      </c>
    </row>
    <row r="1663" spans="1:13">
      <c r="A1663" t="s">
        <v>13</v>
      </c>
      <c r="B1663" t="s">
        <v>3335</v>
      </c>
      <c r="C1663" t="s">
        <v>3336</v>
      </c>
      <c r="D1663">
        <v>6994.44</v>
      </c>
      <c r="E1663">
        <v>6994.44</v>
      </c>
      <c r="F1663">
        <v>0.929</v>
      </c>
      <c r="G1663">
        <v>0</v>
      </c>
      <c r="H1663">
        <v>0.649784</v>
      </c>
      <c r="I1663">
        <v>0.664472</v>
      </c>
      <c r="J1663">
        <v>-0.014688</v>
      </c>
      <c r="K1663" s="4">
        <f t="shared" si="75"/>
        <v>-0.0221047688992162</v>
      </c>
      <c r="L1663" s="4">
        <f t="shared" si="76"/>
        <v>0</v>
      </c>
      <c r="M1663" s="18">
        <f t="shared" si="77"/>
        <v>0</v>
      </c>
    </row>
    <row r="1664" spans="1:13">
      <c r="A1664" t="s">
        <v>13</v>
      </c>
      <c r="B1664" t="s">
        <v>3337</v>
      </c>
      <c r="C1664" t="s">
        <v>3338</v>
      </c>
      <c r="D1664">
        <v>5148.3</v>
      </c>
      <c r="E1664">
        <v>5148.3</v>
      </c>
      <c r="F1664">
        <v>1.137</v>
      </c>
      <c r="G1664">
        <v>0</v>
      </c>
      <c r="H1664">
        <v>0.585362</v>
      </c>
      <c r="I1664">
        <v>0.613479</v>
      </c>
      <c r="J1664">
        <v>-0.028117</v>
      </c>
      <c r="K1664" s="4">
        <f t="shared" si="75"/>
        <v>-0.0458320496708119</v>
      </c>
      <c r="L1664" s="4">
        <f t="shared" si="76"/>
        <v>0</v>
      </c>
      <c r="M1664" s="18">
        <f t="shared" si="77"/>
        <v>0</v>
      </c>
    </row>
    <row r="1665" spans="1:13">
      <c r="A1665" t="s">
        <v>13</v>
      </c>
      <c r="B1665" t="s">
        <v>3339</v>
      </c>
      <c r="C1665" t="s">
        <v>3340</v>
      </c>
      <c r="D1665">
        <v>6004.9</v>
      </c>
      <c r="E1665">
        <v>6004.9</v>
      </c>
      <c r="F1665">
        <v>1.052</v>
      </c>
      <c r="G1665">
        <v>0</v>
      </c>
      <c r="H1665">
        <v>0.631715</v>
      </c>
      <c r="I1665">
        <v>0.636519</v>
      </c>
      <c r="J1665">
        <v>-0.004804</v>
      </c>
      <c r="K1665" s="4">
        <f t="shared" si="75"/>
        <v>-0.00754730023769911</v>
      </c>
      <c r="L1665" s="4">
        <f t="shared" si="76"/>
        <v>0</v>
      </c>
      <c r="M1665" s="18">
        <f t="shared" si="77"/>
        <v>0</v>
      </c>
    </row>
    <row r="1666" spans="1:13">
      <c r="A1666" t="s">
        <v>13</v>
      </c>
      <c r="B1666" t="s">
        <v>3341</v>
      </c>
      <c r="C1666" t="s">
        <v>3342</v>
      </c>
      <c r="D1666">
        <v>3994.71</v>
      </c>
      <c r="E1666">
        <v>3994.71</v>
      </c>
      <c r="F1666">
        <v>1.379</v>
      </c>
      <c r="G1666">
        <v>0</v>
      </c>
      <c r="H1666">
        <v>0.55087</v>
      </c>
      <c r="I1666">
        <v>0.549671</v>
      </c>
      <c r="J1666">
        <v>0.001199</v>
      </c>
      <c r="K1666" s="4">
        <f t="shared" ref="K1666:K1729" si="78">IFERROR(J1666/I1666,"")</f>
        <v>0.00218130481688137</v>
      </c>
      <c r="L1666" s="4">
        <f t="shared" ref="L1666:L1729" si="79">IFERROR((D1666-E1666)/E1666,"")</f>
        <v>0</v>
      </c>
      <c r="M1666" s="18">
        <f t="shared" ref="M1666:M1729" si="80">IFERROR(F1666*G1666/10000,"")</f>
        <v>0</v>
      </c>
    </row>
    <row r="1667" spans="1:13">
      <c r="A1667" t="s">
        <v>13</v>
      </c>
      <c r="B1667" t="s">
        <v>3343</v>
      </c>
      <c r="C1667" t="s">
        <v>3344</v>
      </c>
      <c r="D1667">
        <v>11390.9</v>
      </c>
      <c r="E1667">
        <v>11690.9</v>
      </c>
      <c r="F1667">
        <v>1.392</v>
      </c>
      <c r="G1667">
        <v>-300</v>
      </c>
      <c r="H1667">
        <v>1.627373</v>
      </c>
      <c r="I1667">
        <v>1.614513</v>
      </c>
      <c r="J1667">
        <v>0.01286</v>
      </c>
      <c r="K1667" s="4">
        <f t="shared" si="78"/>
        <v>0.00796525020238301</v>
      </c>
      <c r="L1667" s="4">
        <f t="shared" si="79"/>
        <v>-0.0256609841842801</v>
      </c>
      <c r="M1667" s="18">
        <f t="shared" si="80"/>
        <v>-0.04176</v>
      </c>
    </row>
    <row r="1668" spans="1:13">
      <c r="A1668" t="s">
        <v>13</v>
      </c>
      <c r="B1668" t="s">
        <v>3345</v>
      </c>
      <c r="C1668" t="s">
        <v>3346</v>
      </c>
      <c r="D1668">
        <v>6608.52</v>
      </c>
      <c r="E1668">
        <v>6608.52</v>
      </c>
      <c r="F1668">
        <v>1.366</v>
      </c>
      <c r="G1668">
        <v>0</v>
      </c>
      <c r="H1668">
        <v>0.902723</v>
      </c>
      <c r="I1668">
        <v>0.896115</v>
      </c>
      <c r="J1668">
        <v>0.006608</v>
      </c>
      <c r="K1668" s="4">
        <f t="shared" si="78"/>
        <v>0.00737405355339437</v>
      </c>
      <c r="L1668" s="4">
        <f t="shared" si="79"/>
        <v>0</v>
      </c>
      <c r="M1668" s="18">
        <f t="shared" si="80"/>
        <v>0</v>
      </c>
    </row>
    <row r="1669" spans="1:13">
      <c r="A1669" t="s">
        <v>13</v>
      </c>
      <c r="B1669" t="s">
        <v>3347</v>
      </c>
      <c r="C1669" t="s">
        <v>3348</v>
      </c>
      <c r="D1669">
        <v>18998.7</v>
      </c>
      <c r="E1669">
        <v>18998.7</v>
      </c>
      <c r="G1669">
        <v>0</v>
      </c>
      <c r="H1669">
        <v>1.31091</v>
      </c>
      <c r="I1669">
        <v>1.326109</v>
      </c>
      <c r="J1669">
        <v>-0.015199</v>
      </c>
      <c r="K1669" s="4">
        <f t="shared" si="78"/>
        <v>-0.0114613504621415</v>
      </c>
      <c r="L1669" s="4">
        <f t="shared" si="79"/>
        <v>0</v>
      </c>
      <c r="M1669" s="18">
        <f t="shared" si="80"/>
        <v>0</v>
      </c>
    </row>
    <row r="1670" spans="1:13">
      <c r="A1670" t="s">
        <v>13</v>
      </c>
      <c r="B1670" t="s">
        <v>3349</v>
      </c>
      <c r="C1670" t="s">
        <v>3350</v>
      </c>
      <c r="D1670">
        <v>11995.9</v>
      </c>
      <c r="E1670">
        <v>11995.9</v>
      </c>
      <c r="F1670">
        <v>1.159</v>
      </c>
      <c r="G1670">
        <v>0</v>
      </c>
      <c r="H1670">
        <v>1.390325</v>
      </c>
      <c r="I1670">
        <v>1.405919</v>
      </c>
      <c r="J1670">
        <v>-0.015594</v>
      </c>
      <c r="K1670" s="4">
        <f t="shared" si="78"/>
        <v>-0.0110916774010452</v>
      </c>
      <c r="L1670" s="4">
        <f t="shared" si="79"/>
        <v>0</v>
      </c>
      <c r="M1670" s="18">
        <f t="shared" si="80"/>
        <v>0</v>
      </c>
    </row>
    <row r="1671" spans="1:13">
      <c r="A1671" t="s">
        <v>13</v>
      </c>
      <c r="B1671" t="s">
        <v>3351</v>
      </c>
      <c r="C1671" t="s">
        <v>3352</v>
      </c>
      <c r="D1671">
        <v>3988.2</v>
      </c>
      <c r="E1671">
        <v>3988.2</v>
      </c>
      <c r="F1671">
        <v>0.965</v>
      </c>
      <c r="G1671">
        <v>0</v>
      </c>
      <c r="H1671">
        <v>0.384861</v>
      </c>
      <c r="I1671">
        <v>0.384154</v>
      </c>
      <c r="J1671">
        <v>0.000707</v>
      </c>
      <c r="K1671" s="4">
        <f t="shared" si="78"/>
        <v>0.00184040775314067</v>
      </c>
      <c r="L1671" s="4">
        <f t="shared" si="79"/>
        <v>0</v>
      </c>
      <c r="M1671" s="18">
        <f t="shared" si="80"/>
        <v>0</v>
      </c>
    </row>
    <row r="1672" spans="1:13">
      <c r="A1672" t="s">
        <v>13</v>
      </c>
      <c r="B1672" t="s">
        <v>3353</v>
      </c>
      <c r="C1672" t="s">
        <v>3354</v>
      </c>
      <c r="D1672">
        <v>40215</v>
      </c>
      <c r="E1672">
        <v>39915</v>
      </c>
      <c r="F1672">
        <v>1.019</v>
      </c>
      <c r="G1672">
        <v>300</v>
      </c>
      <c r="H1672">
        <v>4.067339</v>
      </c>
      <c r="I1672">
        <v>4.168631</v>
      </c>
      <c r="J1672">
        <v>-0.101292</v>
      </c>
      <c r="K1672" s="4">
        <f t="shared" si="78"/>
        <v>-0.024298624656392</v>
      </c>
      <c r="L1672" s="4">
        <f t="shared" si="79"/>
        <v>0.00751597143930853</v>
      </c>
      <c r="M1672" s="18">
        <f t="shared" si="80"/>
        <v>0.03057</v>
      </c>
    </row>
    <row r="1673" spans="1:13">
      <c r="A1673" t="s">
        <v>13</v>
      </c>
      <c r="B1673" t="s">
        <v>3355</v>
      </c>
      <c r="C1673" t="s">
        <v>3356</v>
      </c>
      <c r="D1673">
        <v>33973.7</v>
      </c>
      <c r="E1673">
        <v>34223.7</v>
      </c>
      <c r="F1673">
        <v>1.206</v>
      </c>
      <c r="G1673">
        <v>-250</v>
      </c>
      <c r="H1673">
        <v>4.127378</v>
      </c>
      <c r="I1673">
        <v>4.133397</v>
      </c>
      <c r="J1673">
        <v>-0.006019</v>
      </c>
      <c r="K1673" s="4">
        <f t="shared" si="78"/>
        <v>-0.00145618724743837</v>
      </c>
      <c r="L1673" s="4">
        <f t="shared" si="79"/>
        <v>-0.00730487936722213</v>
      </c>
      <c r="M1673" s="18">
        <f t="shared" si="80"/>
        <v>-0.03015</v>
      </c>
    </row>
    <row r="1674" spans="1:13">
      <c r="A1674" t="s">
        <v>13</v>
      </c>
      <c r="B1674" t="s">
        <v>3357</v>
      </c>
      <c r="C1674" t="s">
        <v>3358</v>
      </c>
      <c r="D1674">
        <v>83191.32</v>
      </c>
      <c r="E1674">
        <v>85391.32</v>
      </c>
      <c r="F1674">
        <v>1.132</v>
      </c>
      <c r="G1674">
        <v>-2200</v>
      </c>
      <c r="H1674">
        <v>9.666297</v>
      </c>
      <c r="I1674">
        <v>9.697509</v>
      </c>
      <c r="J1674">
        <v>-0.031212</v>
      </c>
      <c r="K1674" s="4">
        <f t="shared" si="78"/>
        <v>-0.00321855849785754</v>
      </c>
      <c r="L1674" s="4">
        <f t="shared" si="79"/>
        <v>-0.0257637427316968</v>
      </c>
      <c r="M1674" s="18">
        <f t="shared" si="80"/>
        <v>-0.24904</v>
      </c>
    </row>
    <row r="1675" spans="1:13">
      <c r="A1675" t="s">
        <v>13</v>
      </c>
      <c r="B1675" t="s">
        <v>3359</v>
      </c>
      <c r="C1675" t="s">
        <v>3360</v>
      </c>
      <c r="D1675">
        <v>2880.7</v>
      </c>
      <c r="E1675">
        <v>2730.7</v>
      </c>
      <c r="G1675">
        <v>150</v>
      </c>
      <c r="H1675">
        <v>0.315123</v>
      </c>
      <c r="I1675">
        <v>0.317853</v>
      </c>
      <c r="J1675">
        <v>-0.00273</v>
      </c>
      <c r="K1675" s="4">
        <f t="shared" si="78"/>
        <v>-0.00858887598984436</v>
      </c>
      <c r="L1675" s="4">
        <f t="shared" si="79"/>
        <v>0.0549309700809316</v>
      </c>
      <c r="M1675" s="18">
        <f t="shared" si="80"/>
        <v>0</v>
      </c>
    </row>
    <row r="1676" spans="1:13">
      <c r="A1676" t="s">
        <v>13</v>
      </c>
      <c r="B1676" t="s">
        <v>3361</v>
      </c>
      <c r="C1676" t="s">
        <v>3362</v>
      </c>
      <c r="D1676">
        <v>32802.71</v>
      </c>
      <c r="E1676">
        <v>33502.71</v>
      </c>
      <c r="F1676">
        <v>1.175</v>
      </c>
      <c r="G1676">
        <v>-700</v>
      </c>
      <c r="H1676">
        <v>3.936568</v>
      </c>
      <c r="I1676">
        <v>4.010691</v>
      </c>
      <c r="J1676">
        <v>-0.074123</v>
      </c>
      <c r="K1676" s="4">
        <f t="shared" si="78"/>
        <v>-0.0184813539612002</v>
      </c>
      <c r="L1676" s="4">
        <f t="shared" si="79"/>
        <v>-0.0208938321705916</v>
      </c>
      <c r="M1676" s="18">
        <f t="shared" si="80"/>
        <v>-0.08225</v>
      </c>
    </row>
    <row r="1677" spans="1:13">
      <c r="A1677" t="s">
        <v>13</v>
      </c>
      <c r="B1677" t="s">
        <v>3363</v>
      </c>
      <c r="C1677" t="s">
        <v>3364</v>
      </c>
      <c r="D1677">
        <v>107944.7</v>
      </c>
      <c r="E1677">
        <v>109544.7</v>
      </c>
      <c r="F1677">
        <v>1.041</v>
      </c>
      <c r="G1677">
        <v>-1600</v>
      </c>
      <c r="H1677">
        <v>11.403603</v>
      </c>
      <c r="I1677">
        <v>11.394835</v>
      </c>
      <c r="J1677">
        <v>0.008768</v>
      </c>
      <c r="K1677" s="4">
        <f t="shared" si="78"/>
        <v>0.000769471431574042</v>
      </c>
      <c r="L1677" s="4">
        <f t="shared" si="79"/>
        <v>-0.0146059097336521</v>
      </c>
      <c r="M1677" s="18">
        <f t="shared" si="80"/>
        <v>-0.16656</v>
      </c>
    </row>
    <row r="1678" spans="1:13">
      <c r="A1678" t="s">
        <v>13</v>
      </c>
      <c r="B1678" t="s">
        <v>3365</v>
      </c>
      <c r="C1678" t="s">
        <v>3366</v>
      </c>
      <c r="D1678">
        <v>695597.81</v>
      </c>
      <c r="E1678">
        <v>698597.81</v>
      </c>
      <c r="F1678">
        <v>1.32</v>
      </c>
      <c r="G1678">
        <v>-3000</v>
      </c>
      <c r="H1678">
        <v>92.214911</v>
      </c>
      <c r="I1678">
        <v>91.900813</v>
      </c>
      <c r="J1678">
        <v>0.314098</v>
      </c>
      <c r="K1678" s="4">
        <f t="shared" si="78"/>
        <v>0.00341779348567896</v>
      </c>
      <c r="L1678" s="4">
        <f t="shared" si="79"/>
        <v>-0.00429431635349673</v>
      </c>
      <c r="M1678" s="18">
        <f t="shared" si="80"/>
        <v>-0.396</v>
      </c>
    </row>
    <row r="1679" spans="1:13">
      <c r="A1679" t="s">
        <v>13</v>
      </c>
      <c r="B1679" t="s">
        <v>3367</v>
      </c>
      <c r="C1679" t="s">
        <v>3368</v>
      </c>
      <c r="D1679">
        <v>14289.6</v>
      </c>
      <c r="E1679">
        <v>14289.6</v>
      </c>
      <c r="F1679">
        <v>1.155</v>
      </c>
      <c r="G1679">
        <v>0</v>
      </c>
      <c r="H1679">
        <v>1.650449</v>
      </c>
      <c r="I1679">
        <v>1.663309</v>
      </c>
      <c r="J1679">
        <v>-0.01286</v>
      </c>
      <c r="K1679" s="4">
        <f t="shared" si="78"/>
        <v>-0.00773157603307624</v>
      </c>
      <c r="L1679" s="4">
        <f t="shared" si="79"/>
        <v>0</v>
      </c>
      <c r="M1679" s="18">
        <f t="shared" si="80"/>
        <v>0</v>
      </c>
    </row>
    <row r="1680" spans="1:13">
      <c r="A1680" t="s">
        <v>13</v>
      </c>
      <c r="B1680" t="s">
        <v>3369</v>
      </c>
      <c r="C1680" t="s">
        <v>3370</v>
      </c>
      <c r="D1680">
        <v>8728.17</v>
      </c>
      <c r="E1680">
        <v>8668.17</v>
      </c>
      <c r="F1680">
        <v>0.902</v>
      </c>
      <c r="G1680">
        <v>60</v>
      </c>
      <c r="H1680">
        <v>0.781869</v>
      </c>
      <c r="I1680">
        <v>0.791404</v>
      </c>
      <c r="J1680">
        <v>-0.009535</v>
      </c>
      <c r="K1680" s="4">
        <f t="shared" si="78"/>
        <v>-0.0120482079949053</v>
      </c>
      <c r="L1680" s="4">
        <f t="shared" si="79"/>
        <v>0.00692187624377464</v>
      </c>
      <c r="M1680" s="18">
        <f t="shared" si="80"/>
        <v>0.005412</v>
      </c>
    </row>
    <row r="1681" spans="1:13">
      <c r="A1681" t="s">
        <v>13</v>
      </c>
      <c r="B1681" t="s">
        <v>3371</v>
      </c>
      <c r="C1681" t="s">
        <v>3372</v>
      </c>
      <c r="D1681">
        <v>17084.43</v>
      </c>
      <c r="E1681">
        <v>17084.43</v>
      </c>
      <c r="F1681">
        <v>1.4</v>
      </c>
      <c r="G1681">
        <v>0</v>
      </c>
      <c r="H1681">
        <v>2.39182</v>
      </c>
      <c r="I1681">
        <v>2.36961</v>
      </c>
      <c r="J1681">
        <v>0.02221</v>
      </c>
      <c r="K1681" s="4">
        <f t="shared" si="78"/>
        <v>0.00937285038466245</v>
      </c>
      <c r="L1681" s="4">
        <f t="shared" si="79"/>
        <v>0</v>
      </c>
      <c r="M1681" s="18">
        <f t="shared" si="80"/>
        <v>0</v>
      </c>
    </row>
    <row r="1682" spans="1:13">
      <c r="A1682" t="s">
        <v>13</v>
      </c>
      <c r="B1682" t="s">
        <v>3373</v>
      </c>
      <c r="C1682" t="s">
        <v>3374</v>
      </c>
      <c r="D1682">
        <v>11730.39</v>
      </c>
      <c r="E1682">
        <v>11730.39</v>
      </c>
      <c r="F1682">
        <v>0.744</v>
      </c>
      <c r="G1682">
        <v>0</v>
      </c>
      <c r="H1682">
        <v>0.872741</v>
      </c>
      <c r="I1682">
        <v>0.871568</v>
      </c>
      <c r="J1682">
        <v>0.001173</v>
      </c>
      <c r="K1682" s="4">
        <f t="shared" si="78"/>
        <v>0.00134585023773245</v>
      </c>
      <c r="L1682" s="4">
        <f t="shared" si="79"/>
        <v>0</v>
      </c>
      <c r="M1682" s="18">
        <f t="shared" si="80"/>
        <v>0</v>
      </c>
    </row>
    <row r="1683" spans="1:13">
      <c r="A1683" t="s">
        <v>13</v>
      </c>
      <c r="B1683" t="s">
        <v>3375</v>
      </c>
      <c r="C1683" t="s">
        <v>3376</v>
      </c>
      <c r="D1683">
        <v>104299.64</v>
      </c>
      <c r="E1683">
        <v>105499.64</v>
      </c>
      <c r="F1683">
        <v>1.364</v>
      </c>
      <c r="G1683">
        <v>-1200</v>
      </c>
      <c r="H1683">
        <v>14.39015</v>
      </c>
      <c r="I1683">
        <v>14.387111</v>
      </c>
      <c r="J1683">
        <v>0.003039</v>
      </c>
      <c r="K1683" s="4">
        <f t="shared" si="78"/>
        <v>0.000211230732841361</v>
      </c>
      <c r="L1683" s="4">
        <f t="shared" si="79"/>
        <v>-0.0113744463962152</v>
      </c>
      <c r="M1683" s="18">
        <f t="shared" si="80"/>
        <v>-0.16368</v>
      </c>
    </row>
    <row r="1684" spans="1:13">
      <c r="A1684" t="s">
        <v>13</v>
      </c>
      <c r="B1684" t="s">
        <v>3377</v>
      </c>
      <c r="C1684" t="s">
        <v>3378</v>
      </c>
      <c r="D1684">
        <v>2533.6</v>
      </c>
      <c r="E1684">
        <v>2533.6</v>
      </c>
      <c r="F1684">
        <v>0.998</v>
      </c>
      <c r="G1684">
        <v>0</v>
      </c>
      <c r="H1684">
        <v>0.252853</v>
      </c>
      <c r="I1684">
        <v>0.258427</v>
      </c>
      <c r="J1684">
        <v>-0.005574</v>
      </c>
      <c r="K1684" s="4">
        <f t="shared" si="78"/>
        <v>-0.0215689537083973</v>
      </c>
      <c r="L1684" s="4">
        <f t="shared" si="79"/>
        <v>0</v>
      </c>
      <c r="M1684" s="18">
        <f t="shared" si="80"/>
        <v>0</v>
      </c>
    </row>
    <row r="1685" spans="1:13">
      <c r="A1685" t="s">
        <v>13</v>
      </c>
      <c r="B1685" t="s">
        <v>3379</v>
      </c>
      <c r="C1685" t="s">
        <v>3380</v>
      </c>
      <c r="D1685">
        <v>52296.57</v>
      </c>
      <c r="E1685">
        <v>52496.57</v>
      </c>
      <c r="F1685">
        <v>1.106</v>
      </c>
      <c r="G1685">
        <v>-200</v>
      </c>
      <c r="H1685">
        <v>5.80612</v>
      </c>
      <c r="I1685">
        <v>5.906595</v>
      </c>
      <c r="J1685">
        <v>-0.100475</v>
      </c>
      <c r="K1685" s="4">
        <f t="shared" si="78"/>
        <v>-0.0170106465738721</v>
      </c>
      <c r="L1685" s="4">
        <f t="shared" si="79"/>
        <v>-0.0038097727146745</v>
      </c>
      <c r="M1685" s="18">
        <f t="shared" si="80"/>
        <v>-0.02212</v>
      </c>
    </row>
    <row r="1686" spans="1:13">
      <c r="A1686" t="s">
        <v>13</v>
      </c>
      <c r="B1686" t="s">
        <v>3381</v>
      </c>
      <c r="C1686" t="s">
        <v>3382</v>
      </c>
      <c r="D1686">
        <v>3159.2</v>
      </c>
      <c r="E1686">
        <v>3159.2</v>
      </c>
      <c r="F1686">
        <v>1.037</v>
      </c>
      <c r="G1686">
        <v>0</v>
      </c>
      <c r="H1686">
        <v>0.327609</v>
      </c>
      <c r="I1686">
        <v>0.327293</v>
      </c>
      <c r="J1686">
        <v>0.000316</v>
      </c>
      <c r="K1686" s="4">
        <f t="shared" si="78"/>
        <v>0.000965495748457804</v>
      </c>
      <c r="L1686" s="4">
        <f t="shared" si="79"/>
        <v>0</v>
      </c>
      <c r="M1686" s="18">
        <f t="shared" si="80"/>
        <v>0</v>
      </c>
    </row>
    <row r="1687" spans="1:13">
      <c r="A1687" t="s">
        <v>13</v>
      </c>
      <c r="B1687" t="s">
        <v>3383</v>
      </c>
      <c r="C1687" t="s">
        <v>3384</v>
      </c>
      <c r="D1687">
        <v>24901.2</v>
      </c>
      <c r="E1687">
        <v>24901.2</v>
      </c>
      <c r="F1687">
        <v>0.933</v>
      </c>
      <c r="G1687">
        <v>0</v>
      </c>
      <c r="H1687">
        <v>2.323282</v>
      </c>
      <c r="I1687">
        <v>2.373953</v>
      </c>
      <c r="J1687">
        <v>-0.050671</v>
      </c>
      <c r="K1687" s="4">
        <f t="shared" si="78"/>
        <v>-0.0213445674788001</v>
      </c>
      <c r="L1687" s="4">
        <f t="shared" si="79"/>
        <v>0</v>
      </c>
      <c r="M1687" s="18">
        <f t="shared" si="80"/>
        <v>0</v>
      </c>
    </row>
    <row r="1688" spans="1:13">
      <c r="A1688" t="s">
        <v>13</v>
      </c>
      <c r="B1688" t="s">
        <v>3385</v>
      </c>
      <c r="C1688" t="s">
        <v>3386</v>
      </c>
      <c r="D1688">
        <v>21096.7</v>
      </c>
      <c r="E1688">
        <v>21096.7</v>
      </c>
      <c r="F1688">
        <v>0.938</v>
      </c>
      <c r="G1688">
        <v>0</v>
      </c>
      <c r="H1688">
        <v>1.97887</v>
      </c>
      <c r="I1688">
        <v>2.018954</v>
      </c>
      <c r="J1688">
        <v>-0.040084</v>
      </c>
      <c r="K1688" s="4">
        <f t="shared" si="78"/>
        <v>-0.0198538451098935</v>
      </c>
      <c r="L1688" s="4">
        <f t="shared" si="79"/>
        <v>0</v>
      </c>
      <c r="M1688" s="18">
        <f t="shared" si="80"/>
        <v>0</v>
      </c>
    </row>
    <row r="1689" spans="1:13">
      <c r="A1689" t="s">
        <v>13</v>
      </c>
      <c r="B1689" t="s">
        <v>3387</v>
      </c>
      <c r="C1689" t="s">
        <v>3388</v>
      </c>
      <c r="D1689">
        <v>44057.3</v>
      </c>
      <c r="E1689">
        <v>44057.3</v>
      </c>
      <c r="F1689">
        <v>1.193</v>
      </c>
      <c r="G1689">
        <v>0</v>
      </c>
      <c r="H1689">
        <v>5.256036</v>
      </c>
      <c r="I1689">
        <v>5.31331</v>
      </c>
      <c r="J1689">
        <v>-0.057274</v>
      </c>
      <c r="K1689" s="4">
        <f t="shared" si="78"/>
        <v>-0.0107793447022666</v>
      </c>
      <c r="L1689" s="4">
        <f t="shared" si="79"/>
        <v>0</v>
      </c>
      <c r="M1689" s="18">
        <f t="shared" si="80"/>
        <v>0</v>
      </c>
    </row>
    <row r="1690" spans="1:13">
      <c r="A1690" t="s">
        <v>13</v>
      </c>
      <c r="B1690" t="s">
        <v>3389</v>
      </c>
      <c r="C1690" t="s">
        <v>3390</v>
      </c>
      <c r="D1690">
        <v>3123566.82</v>
      </c>
      <c r="E1690">
        <v>3207266.82</v>
      </c>
      <c r="F1690">
        <v>2.017</v>
      </c>
      <c r="G1690">
        <v>-83700</v>
      </c>
      <c r="H1690">
        <v>646.905717</v>
      </c>
      <c r="I1690">
        <v>641.725006</v>
      </c>
      <c r="J1690">
        <v>5.180711</v>
      </c>
      <c r="K1690" s="4">
        <f t="shared" si="78"/>
        <v>0.00807310133088378</v>
      </c>
      <c r="L1690" s="4">
        <f t="shared" si="79"/>
        <v>-0.0260969868418992</v>
      </c>
      <c r="M1690" s="18">
        <f t="shared" si="80"/>
        <v>-16.88229</v>
      </c>
    </row>
    <row r="1691" spans="1:13">
      <c r="A1691" t="s">
        <v>13</v>
      </c>
      <c r="B1691" t="s">
        <v>3391</v>
      </c>
      <c r="C1691" t="s">
        <v>3392</v>
      </c>
      <c r="D1691">
        <v>62542.58</v>
      </c>
      <c r="E1691">
        <v>60542.58</v>
      </c>
      <c r="F1691">
        <v>1.383</v>
      </c>
      <c r="G1691">
        <v>2000</v>
      </c>
      <c r="H1691">
        <v>8.373039</v>
      </c>
      <c r="I1691">
        <v>6.91627</v>
      </c>
      <c r="J1691">
        <v>1.456769</v>
      </c>
      <c r="K1691" s="4">
        <f t="shared" si="78"/>
        <v>0.210629284281846</v>
      </c>
      <c r="L1691" s="4">
        <f t="shared" si="79"/>
        <v>0.0330346014325785</v>
      </c>
      <c r="M1691" s="18">
        <f t="shared" si="80"/>
        <v>0.2766</v>
      </c>
    </row>
    <row r="1692" spans="1:13">
      <c r="A1692" t="s">
        <v>13</v>
      </c>
      <c r="B1692" t="s">
        <v>3393</v>
      </c>
      <c r="C1692" t="s">
        <v>3394</v>
      </c>
      <c r="D1692">
        <v>45979.1</v>
      </c>
      <c r="E1692">
        <v>45379.1</v>
      </c>
      <c r="F1692">
        <v>3.265</v>
      </c>
      <c r="G1692">
        <v>600</v>
      </c>
      <c r="H1692">
        <v>14.816276</v>
      </c>
      <c r="I1692">
        <v>13.854566</v>
      </c>
      <c r="J1692">
        <v>0.96171</v>
      </c>
      <c r="K1692" s="4">
        <f t="shared" si="78"/>
        <v>0.0694146608417759</v>
      </c>
      <c r="L1692" s="4">
        <f t="shared" si="79"/>
        <v>0.013221945785615</v>
      </c>
      <c r="M1692" s="18">
        <f t="shared" si="80"/>
        <v>0.1959</v>
      </c>
    </row>
    <row r="1693" spans="1:13">
      <c r="A1693" t="s">
        <v>13</v>
      </c>
      <c r="B1693" t="s">
        <v>3395</v>
      </c>
      <c r="C1693" t="s">
        <v>3396</v>
      </c>
      <c r="D1693">
        <v>262183.81</v>
      </c>
      <c r="E1693">
        <v>262783.81</v>
      </c>
      <c r="G1693">
        <v>-600</v>
      </c>
      <c r="H1693">
        <v>53.765568</v>
      </c>
      <c r="I1693">
        <v>53.017117</v>
      </c>
      <c r="J1693">
        <v>0.748451</v>
      </c>
      <c r="K1693" s="4">
        <f t="shared" si="78"/>
        <v>0.014117157671927</v>
      </c>
      <c r="L1693" s="4">
        <f t="shared" si="79"/>
        <v>-0.00228324568397117</v>
      </c>
      <c r="M1693" s="18">
        <f t="shared" si="80"/>
        <v>0</v>
      </c>
    </row>
    <row r="1694" spans="1:13">
      <c r="A1694" t="s">
        <v>13</v>
      </c>
      <c r="B1694" t="s">
        <v>3397</v>
      </c>
      <c r="C1694" t="s">
        <v>3398</v>
      </c>
      <c r="D1694">
        <v>6588.9</v>
      </c>
      <c r="E1694">
        <v>6588.9</v>
      </c>
      <c r="F1694">
        <v>1.946</v>
      </c>
      <c r="G1694">
        <v>0</v>
      </c>
      <c r="H1694">
        <v>1.2822</v>
      </c>
      <c r="I1694">
        <v>1.270203</v>
      </c>
      <c r="J1694">
        <v>0.011997</v>
      </c>
      <c r="K1694" s="4">
        <f t="shared" si="78"/>
        <v>0.00944494698878841</v>
      </c>
      <c r="L1694" s="4">
        <f t="shared" si="79"/>
        <v>0</v>
      </c>
      <c r="M1694" s="18">
        <f t="shared" si="80"/>
        <v>0</v>
      </c>
    </row>
    <row r="1695" spans="1:13">
      <c r="A1695" t="s">
        <v>13</v>
      </c>
      <c r="B1695" t="s">
        <v>3399</v>
      </c>
      <c r="C1695" t="s">
        <v>3400</v>
      </c>
      <c r="D1695">
        <v>432924.13</v>
      </c>
      <c r="E1695">
        <v>439524.13</v>
      </c>
      <c r="F1695">
        <v>1.958</v>
      </c>
      <c r="G1695">
        <v>-6600</v>
      </c>
      <c r="H1695">
        <v>86.058825</v>
      </c>
      <c r="I1695">
        <v>83.703894</v>
      </c>
      <c r="J1695">
        <v>2.354931</v>
      </c>
      <c r="K1695" s="4">
        <f t="shared" si="78"/>
        <v>0.0281340674544962</v>
      </c>
      <c r="L1695" s="4">
        <f t="shared" si="79"/>
        <v>-0.0150162404052765</v>
      </c>
      <c r="M1695" s="18">
        <f t="shared" si="80"/>
        <v>-1.29228</v>
      </c>
    </row>
    <row r="1696" spans="1:13">
      <c r="A1696" t="s">
        <v>13</v>
      </c>
      <c r="B1696" t="s">
        <v>3401</v>
      </c>
      <c r="C1696" t="s">
        <v>3402</v>
      </c>
      <c r="D1696">
        <v>496314</v>
      </c>
      <c r="E1696">
        <v>504714</v>
      </c>
      <c r="F1696">
        <v>1.215</v>
      </c>
      <c r="G1696">
        <v>-8400</v>
      </c>
      <c r="H1696">
        <v>61.322751</v>
      </c>
      <c r="I1696">
        <v>59.670344</v>
      </c>
      <c r="J1696">
        <v>1.652407</v>
      </c>
      <c r="K1696" s="4">
        <f t="shared" si="78"/>
        <v>0.0276922653571429</v>
      </c>
      <c r="L1696" s="4">
        <f t="shared" si="79"/>
        <v>-0.0166430889573105</v>
      </c>
      <c r="M1696" s="18">
        <f t="shared" si="80"/>
        <v>-1.0206</v>
      </c>
    </row>
    <row r="1697" spans="1:13">
      <c r="A1697" t="s">
        <v>13</v>
      </c>
      <c r="B1697" t="s">
        <v>3403</v>
      </c>
      <c r="C1697" t="s">
        <v>3404</v>
      </c>
      <c r="D1697">
        <v>2443.7</v>
      </c>
      <c r="E1697">
        <v>2243.7</v>
      </c>
      <c r="F1697">
        <v>2.81</v>
      </c>
      <c r="G1697">
        <v>200</v>
      </c>
      <c r="H1697">
        <v>0.63048</v>
      </c>
      <c r="I1697">
        <v>0.605126</v>
      </c>
      <c r="J1697">
        <v>0.025354</v>
      </c>
      <c r="K1697" s="4">
        <f t="shared" si="78"/>
        <v>0.041898712003781</v>
      </c>
      <c r="L1697" s="4">
        <f t="shared" si="79"/>
        <v>0.0891384766234345</v>
      </c>
      <c r="M1697" s="18">
        <f t="shared" si="80"/>
        <v>0.0562</v>
      </c>
    </row>
    <row r="1698" spans="1:13">
      <c r="A1698" t="s">
        <v>13</v>
      </c>
      <c r="B1698" t="s">
        <v>3405</v>
      </c>
      <c r="C1698" t="s">
        <v>3406</v>
      </c>
      <c r="D1698">
        <v>1930662.81</v>
      </c>
      <c r="E1698">
        <v>1971162.81</v>
      </c>
      <c r="G1698">
        <v>-40500</v>
      </c>
      <c r="H1698">
        <v>384.968097</v>
      </c>
      <c r="I1698">
        <v>371.198496</v>
      </c>
      <c r="J1698">
        <v>13.769601</v>
      </c>
      <c r="K1698" s="4">
        <f t="shared" si="78"/>
        <v>0.0370949805788006</v>
      </c>
      <c r="L1698" s="4">
        <f t="shared" si="79"/>
        <v>-0.0205462480291012</v>
      </c>
      <c r="M1698" s="18">
        <f t="shared" si="80"/>
        <v>0</v>
      </c>
    </row>
    <row r="1699" spans="1:13">
      <c r="A1699" t="s">
        <v>13</v>
      </c>
      <c r="B1699" t="s">
        <v>3407</v>
      </c>
      <c r="C1699" t="s">
        <v>3408</v>
      </c>
      <c r="D1699">
        <v>176107.28</v>
      </c>
      <c r="E1699">
        <v>186307.28</v>
      </c>
      <c r="F1699">
        <v>1.961</v>
      </c>
      <c r="G1699">
        <v>-10200</v>
      </c>
      <c r="H1699">
        <v>36.534857</v>
      </c>
      <c r="I1699">
        <v>35.608971</v>
      </c>
      <c r="J1699">
        <v>0.925886</v>
      </c>
      <c r="K1699" s="4">
        <f t="shared" si="78"/>
        <v>0.0260014814806078</v>
      </c>
      <c r="L1699" s="4">
        <f t="shared" si="79"/>
        <v>-0.0547482631918624</v>
      </c>
      <c r="M1699" s="18">
        <f t="shared" si="80"/>
        <v>-2.00022</v>
      </c>
    </row>
    <row r="1700" spans="1:13">
      <c r="A1700" t="s">
        <v>13</v>
      </c>
      <c r="B1700" t="s">
        <v>3409</v>
      </c>
      <c r="C1700" t="s">
        <v>3410</v>
      </c>
      <c r="D1700">
        <v>6024.87</v>
      </c>
      <c r="E1700">
        <v>6024.87</v>
      </c>
      <c r="F1700">
        <v>3.038</v>
      </c>
      <c r="G1700">
        <v>0</v>
      </c>
      <c r="H1700">
        <v>1.830357</v>
      </c>
      <c r="I1700">
        <v>1.750226</v>
      </c>
      <c r="J1700">
        <v>0.080131</v>
      </c>
      <c r="K1700" s="4">
        <f t="shared" si="78"/>
        <v>0.0457832302799753</v>
      </c>
      <c r="L1700" s="4">
        <f t="shared" si="79"/>
        <v>0</v>
      </c>
      <c r="M1700" s="18">
        <f t="shared" si="80"/>
        <v>0</v>
      </c>
    </row>
    <row r="1701" spans="1:13">
      <c r="A1701" t="s">
        <v>13</v>
      </c>
      <c r="B1701" t="s">
        <v>3411</v>
      </c>
      <c r="C1701" t="s">
        <v>3412</v>
      </c>
      <c r="D1701">
        <v>14875.8</v>
      </c>
      <c r="E1701">
        <v>15175.8</v>
      </c>
      <c r="F1701">
        <v>3.192</v>
      </c>
      <c r="G1701">
        <v>-300</v>
      </c>
      <c r="H1701">
        <v>4.844115</v>
      </c>
      <c r="I1701">
        <v>4.553482</v>
      </c>
      <c r="J1701">
        <v>0.290633</v>
      </c>
      <c r="K1701" s="4">
        <f t="shared" si="78"/>
        <v>0.063826539777691</v>
      </c>
      <c r="L1701" s="4">
        <f t="shared" si="79"/>
        <v>-0.0197683153441664</v>
      </c>
      <c r="M1701" s="18">
        <f t="shared" si="80"/>
        <v>-0.09576</v>
      </c>
    </row>
    <row r="1702" spans="1:13">
      <c r="A1702" t="s">
        <v>13</v>
      </c>
      <c r="B1702" t="s">
        <v>3413</v>
      </c>
      <c r="C1702" t="s">
        <v>3414</v>
      </c>
      <c r="D1702">
        <v>50781.1</v>
      </c>
      <c r="E1702">
        <v>50781.1</v>
      </c>
      <c r="F1702">
        <v>2.059</v>
      </c>
      <c r="G1702">
        <v>0</v>
      </c>
      <c r="H1702">
        <v>10.455828</v>
      </c>
      <c r="I1702">
        <v>10.207001</v>
      </c>
      <c r="J1702">
        <v>0.248827</v>
      </c>
      <c r="K1702" s="4">
        <f t="shared" si="78"/>
        <v>0.024378071482505</v>
      </c>
      <c r="L1702" s="4">
        <f t="shared" si="79"/>
        <v>0</v>
      </c>
      <c r="M1702" s="18">
        <f t="shared" si="80"/>
        <v>0</v>
      </c>
    </row>
    <row r="1703" spans="1:13">
      <c r="A1703" t="s">
        <v>13</v>
      </c>
      <c r="B1703" t="s">
        <v>3415</v>
      </c>
      <c r="C1703" t="s">
        <v>3416</v>
      </c>
      <c r="D1703">
        <v>8958.26</v>
      </c>
      <c r="E1703">
        <v>8958.26</v>
      </c>
      <c r="F1703">
        <v>0.932</v>
      </c>
      <c r="G1703">
        <v>0</v>
      </c>
      <c r="H1703">
        <v>0.834909</v>
      </c>
      <c r="I1703">
        <v>0.835227</v>
      </c>
      <c r="J1703">
        <v>-0.000318</v>
      </c>
      <c r="K1703" s="4">
        <f t="shared" si="78"/>
        <v>-0.000380734818199124</v>
      </c>
      <c r="L1703" s="4">
        <f t="shared" si="79"/>
        <v>0</v>
      </c>
      <c r="M1703" s="18">
        <f t="shared" si="80"/>
        <v>0</v>
      </c>
    </row>
    <row r="1704" spans="1:13">
      <c r="A1704" t="s">
        <v>13</v>
      </c>
      <c r="B1704" t="s">
        <v>3417</v>
      </c>
      <c r="C1704" t="s">
        <v>3418</v>
      </c>
      <c r="D1704">
        <v>22975.1</v>
      </c>
      <c r="E1704">
        <v>23275.1</v>
      </c>
      <c r="F1704">
        <v>1.468</v>
      </c>
      <c r="G1704">
        <v>-300</v>
      </c>
      <c r="H1704">
        <v>3.416785</v>
      </c>
      <c r="I1704">
        <v>3.423689</v>
      </c>
      <c r="J1704">
        <v>-0.006904</v>
      </c>
      <c r="K1704" s="4">
        <f t="shared" si="78"/>
        <v>-0.00201653830123005</v>
      </c>
      <c r="L1704" s="4">
        <f t="shared" si="79"/>
        <v>-0.0128893108944752</v>
      </c>
      <c r="M1704" s="18">
        <f t="shared" si="80"/>
        <v>-0.04404</v>
      </c>
    </row>
    <row r="1705" spans="1:13">
      <c r="A1705" t="s">
        <v>13</v>
      </c>
      <c r="B1705" t="s">
        <v>3419</v>
      </c>
      <c r="C1705" t="s">
        <v>3420</v>
      </c>
      <c r="D1705">
        <v>27543.26</v>
      </c>
      <c r="E1705">
        <v>27893.26</v>
      </c>
      <c r="F1705">
        <v>1.349</v>
      </c>
      <c r="G1705">
        <v>-350</v>
      </c>
      <c r="H1705">
        <v>3.762801</v>
      </c>
      <c r="I1705">
        <v>3.705687</v>
      </c>
      <c r="J1705">
        <v>0.057114</v>
      </c>
      <c r="K1705" s="4">
        <f t="shared" si="78"/>
        <v>0.0154125267460528</v>
      </c>
      <c r="L1705" s="4">
        <f t="shared" si="79"/>
        <v>-0.0125478341362752</v>
      </c>
      <c r="M1705" s="18">
        <f t="shared" si="80"/>
        <v>-0.047215</v>
      </c>
    </row>
    <row r="1706" spans="1:13">
      <c r="A1706" t="s">
        <v>13</v>
      </c>
      <c r="B1706" t="s">
        <v>3421</v>
      </c>
      <c r="C1706" t="s">
        <v>3422</v>
      </c>
      <c r="D1706">
        <v>30849.6</v>
      </c>
      <c r="E1706">
        <v>27249.6</v>
      </c>
      <c r="F1706">
        <v>1.414</v>
      </c>
      <c r="G1706">
        <v>3600</v>
      </c>
      <c r="H1706">
        <v>3.853093</v>
      </c>
      <c r="I1706">
        <v>3.360995</v>
      </c>
      <c r="J1706">
        <v>0.492098</v>
      </c>
      <c r="K1706" s="4">
        <f t="shared" si="78"/>
        <v>0.146414380265368</v>
      </c>
      <c r="L1706" s="4">
        <f t="shared" si="79"/>
        <v>0.13211203100229</v>
      </c>
      <c r="M1706" s="18">
        <f t="shared" si="80"/>
        <v>0.50904</v>
      </c>
    </row>
    <row r="1707" spans="1:13">
      <c r="A1707" t="s">
        <v>13</v>
      </c>
      <c r="B1707" t="s">
        <v>3423</v>
      </c>
      <c r="C1707" t="s">
        <v>3424</v>
      </c>
      <c r="D1707">
        <v>411914.9</v>
      </c>
      <c r="E1707">
        <v>393514.9</v>
      </c>
      <c r="F1707">
        <v>3.119</v>
      </c>
      <c r="G1707">
        <v>18400</v>
      </c>
      <c r="H1707">
        <v>122.737297</v>
      </c>
      <c r="I1707">
        <v>120.418486</v>
      </c>
      <c r="J1707">
        <v>2.318811</v>
      </c>
      <c r="K1707" s="4">
        <f t="shared" si="78"/>
        <v>0.0192562710014474</v>
      </c>
      <c r="L1707" s="4">
        <f t="shared" si="79"/>
        <v>0.046758077013094</v>
      </c>
      <c r="M1707" s="18">
        <f t="shared" si="80"/>
        <v>5.73896</v>
      </c>
    </row>
    <row r="1708" spans="1:13">
      <c r="A1708" t="s">
        <v>13</v>
      </c>
      <c r="B1708" t="s">
        <v>3425</v>
      </c>
      <c r="C1708" t="s">
        <v>3426</v>
      </c>
      <c r="D1708">
        <v>81185.37</v>
      </c>
      <c r="E1708">
        <v>89585.37</v>
      </c>
      <c r="F1708">
        <v>1.237</v>
      </c>
      <c r="G1708">
        <v>-8400</v>
      </c>
      <c r="H1708">
        <v>11.08171</v>
      </c>
      <c r="I1708">
        <v>10.725902</v>
      </c>
      <c r="J1708">
        <v>0.355808</v>
      </c>
      <c r="K1708" s="4">
        <f t="shared" si="78"/>
        <v>0.0331727811796155</v>
      </c>
      <c r="L1708" s="4">
        <f t="shared" si="79"/>
        <v>-0.0937653101170425</v>
      </c>
      <c r="M1708" s="18">
        <f t="shared" si="80"/>
        <v>-1.03908</v>
      </c>
    </row>
    <row r="1709" spans="1:13">
      <c r="A1709" t="s">
        <v>13</v>
      </c>
      <c r="B1709" t="s">
        <v>3427</v>
      </c>
      <c r="C1709" t="s">
        <v>3428</v>
      </c>
      <c r="D1709">
        <v>151661.83</v>
      </c>
      <c r="E1709">
        <v>150161.83</v>
      </c>
      <c r="F1709">
        <v>2.025</v>
      </c>
      <c r="G1709">
        <v>1500</v>
      </c>
      <c r="H1709">
        <v>30.407771</v>
      </c>
      <c r="I1709">
        <v>29.671978</v>
      </c>
      <c r="J1709">
        <v>0.735793</v>
      </c>
      <c r="K1709" s="4">
        <f t="shared" si="78"/>
        <v>0.0247975716347592</v>
      </c>
      <c r="L1709" s="4">
        <f t="shared" si="79"/>
        <v>0.00998922296032221</v>
      </c>
      <c r="M1709" s="18">
        <f t="shared" si="80"/>
        <v>0.30375</v>
      </c>
    </row>
    <row r="1710" spans="1:13">
      <c r="A1710" t="s">
        <v>13</v>
      </c>
      <c r="B1710" t="s">
        <v>3429</v>
      </c>
      <c r="C1710" t="s">
        <v>3430</v>
      </c>
      <c r="D1710">
        <v>1209389.48</v>
      </c>
      <c r="E1710">
        <v>1215389.48</v>
      </c>
      <c r="F1710">
        <v>4.126</v>
      </c>
      <c r="G1710">
        <v>-6000</v>
      </c>
      <c r="H1710">
        <v>501.469698</v>
      </c>
      <c r="I1710">
        <v>489.790315</v>
      </c>
      <c r="J1710">
        <v>11.679383</v>
      </c>
      <c r="K1710" s="4">
        <f t="shared" si="78"/>
        <v>0.0238456797578776</v>
      </c>
      <c r="L1710" s="4">
        <f t="shared" si="79"/>
        <v>-0.00493668910150514</v>
      </c>
      <c r="M1710" s="18">
        <f t="shared" si="80"/>
        <v>-2.4756</v>
      </c>
    </row>
    <row r="1711" spans="1:13">
      <c r="A1711" t="s">
        <v>13</v>
      </c>
      <c r="B1711" t="s">
        <v>3431</v>
      </c>
      <c r="C1711" t="s">
        <v>3432</v>
      </c>
      <c r="D1711">
        <v>15575.4</v>
      </c>
      <c r="E1711">
        <v>15825.4</v>
      </c>
      <c r="F1711">
        <v>2.038</v>
      </c>
      <c r="G1711">
        <v>-250</v>
      </c>
      <c r="H1711">
        <v>3.225217</v>
      </c>
      <c r="I1711">
        <v>3.194182</v>
      </c>
      <c r="J1711">
        <v>0.031035</v>
      </c>
      <c r="K1711" s="4">
        <f t="shared" si="78"/>
        <v>0.00971610258901966</v>
      </c>
      <c r="L1711" s="4">
        <f t="shared" si="79"/>
        <v>-0.0157973890075448</v>
      </c>
      <c r="M1711" s="18">
        <f t="shared" si="80"/>
        <v>-0.05095</v>
      </c>
    </row>
    <row r="1712" spans="1:13">
      <c r="A1712" t="s">
        <v>13</v>
      </c>
      <c r="B1712" t="s">
        <v>3433</v>
      </c>
      <c r="C1712" t="s">
        <v>3434</v>
      </c>
      <c r="D1712">
        <v>313069.79</v>
      </c>
      <c r="E1712">
        <v>316919.79</v>
      </c>
      <c r="F1712">
        <v>2.035</v>
      </c>
      <c r="G1712">
        <v>-3850</v>
      </c>
      <c r="H1712">
        <v>64.493176</v>
      </c>
      <c r="I1712">
        <v>61.897619</v>
      </c>
      <c r="J1712">
        <v>2.595557</v>
      </c>
      <c r="K1712" s="4">
        <f t="shared" si="78"/>
        <v>0.0419330669245937</v>
      </c>
      <c r="L1712" s="4">
        <f t="shared" si="79"/>
        <v>-0.0121481842456099</v>
      </c>
      <c r="M1712" s="18">
        <f t="shared" si="80"/>
        <v>-0.783475</v>
      </c>
    </row>
    <row r="1713" spans="1:13">
      <c r="A1713" t="s">
        <v>13</v>
      </c>
      <c r="B1713" t="s">
        <v>3435</v>
      </c>
      <c r="C1713" t="s">
        <v>3436</v>
      </c>
      <c r="D1713">
        <v>50993.9</v>
      </c>
      <c r="E1713">
        <v>52193.9</v>
      </c>
      <c r="F1713">
        <v>2.187</v>
      </c>
      <c r="G1713">
        <v>-1200</v>
      </c>
      <c r="H1713">
        <v>11.414806</v>
      </c>
      <c r="I1713">
        <v>10.907595</v>
      </c>
      <c r="J1713">
        <v>0.507211</v>
      </c>
      <c r="K1713" s="4">
        <f t="shared" si="78"/>
        <v>0.0465007180776331</v>
      </c>
      <c r="L1713" s="4">
        <f t="shared" si="79"/>
        <v>-0.0229911924573561</v>
      </c>
      <c r="M1713" s="18">
        <f t="shared" si="80"/>
        <v>-0.26244</v>
      </c>
    </row>
    <row r="1714" spans="1:13">
      <c r="A1714" t="s">
        <v>13</v>
      </c>
      <c r="B1714" t="s">
        <v>3437</v>
      </c>
      <c r="C1714" t="s">
        <v>3438</v>
      </c>
      <c r="D1714">
        <v>10463.3</v>
      </c>
      <c r="E1714">
        <v>10763.3</v>
      </c>
      <c r="F1714">
        <v>2.021</v>
      </c>
      <c r="G1714">
        <v>-300</v>
      </c>
      <c r="H1714">
        <v>2.175263</v>
      </c>
      <c r="I1714">
        <v>2.128981</v>
      </c>
      <c r="J1714">
        <v>0.046282</v>
      </c>
      <c r="K1714" s="4">
        <f t="shared" si="78"/>
        <v>0.0217390385353369</v>
      </c>
      <c r="L1714" s="4">
        <f t="shared" si="79"/>
        <v>-0.0278724926370165</v>
      </c>
      <c r="M1714" s="18">
        <f t="shared" si="80"/>
        <v>-0.06063</v>
      </c>
    </row>
    <row r="1715" spans="1:13">
      <c r="A1715" t="s">
        <v>13</v>
      </c>
      <c r="B1715" t="s">
        <v>3439</v>
      </c>
      <c r="C1715" t="s">
        <v>3440</v>
      </c>
      <c r="D1715">
        <v>25567.5</v>
      </c>
      <c r="E1715">
        <v>25767.5</v>
      </c>
      <c r="F1715">
        <v>0.949</v>
      </c>
      <c r="G1715">
        <v>-200</v>
      </c>
      <c r="H1715">
        <v>2.445336</v>
      </c>
      <c r="I1715">
        <v>2.409261</v>
      </c>
      <c r="J1715">
        <v>0.036075</v>
      </c>
      <c r="K1715" s="4">
        <f t="shared" si="78"/>
        <v>0.0149734711183222</v>
      </c>
      <c r="L1715" s="4">
        <f t="shared" si="79"/>
        <v>-0.00776171533908994</v>
      </c>
      <c r="M1715" s="18">
        <f t="shared" si="80"/>
        <v>-0.01898</v>
      </c>
    </row>
    <row r="1716" spans="1:13">
      <c r="A1716" t="s">
        <v>13</v>
      </c>
      <c r="B1716" t="s">
        <v>3441</v>
      </c>
      <c r="C1716" t="s">
        <v>3442</v>
      </c>
      <c r="D1716">
        <v>4674.6</v>
      </c>
      <c r="E1716">
        <v>4674.6</v>
      </c>
      <c r="F1716">
        <v>2.959</v>
      </c>
      <c r="G1716">
        <v>0</v>
      </c>
      <c r="H1716">
        <v>1.383214</v>
      </c>
      <c r="I1716">
        <v>1.322444</v>
      </c>
      <c r="J1716">
        <v>0.06077</v>
      </c>
      <c r="K1716" s="4">
        <f t="shared" si="78"/>
        <v>0.0459527964889251</v>
      </c>
      <c r="L1716" s="4">
        <f t="shared" si="79"/>
        <v>0</v>
      </c>
      <c r="M1716" s="18">
        <f t="shared" si="80"/>
        <v>0</v>
      </c>
    </row>
    <row r="1717" spans="1:13">
      <c r="A1717" t="s">
        <v>13</v>
      </c>
      <c r="B1717" t="s">
        <v>3443</v>
      </c>
      <c r="C1717" t="s">
        <v>3444</v>
      </c>
      <c r="D1717">
        <v>28341</v>
      </c>
      <c r="E1717">
        <v>28641</v>
      </c>
      <c r="F1717">
        <v>2.044</v>
      </c>
      <c r="G1717">
        <v>-300</v>
      </c>
      <c r="H1717">
        <v>5.85422</v>
      </c>
      <c r="I1717">
        <v>5.77373</v>
      </c>
      <c r="J1717">
        <v>0.08049</v>
      </c>
      <c r="K1717" s="4">
        <f t="shared" si="78"/>
        <v>0.0139407280908529</v>
      </c>
      <c r="L1717" s="4">
        <f t="shared" si="79"/>
        <v>-0.0104744946056353</v>
      </c>
      <c r="M1717" s="18">
        <f t="shared" si="80"/>
        <v>-0.06132</v>
      </c>
    </row>
    <row r="1718" spans="1:13">
      <c r="A1718" t="s">
        <v>13</v>
      </c>
      <c r="B1718" t="s">
        <v>3445</v>
      </c>
      <c r="C1718" t="s">
        <v>3446</v>
      </c>
      <c r="D1718">
        <v>25612.1</v>
      </c>
      <c r="E1718">
        <v>26012.1</v>
      </c>
      <c r="F1718">
        <v>1.377</v>
      </c>
      <c r="G1718">
        <v>-400</v>
      </c>
      <c r="H1718">
        <v>3.581866</v>
      </c>
      <c r="I1718">
        <v>3.489038</v>
      </c>
      <c r="J1718">
        <v>0.092828</v>
      </c>
      <c r="K1718" s="4">
        <f t="shared" si="78"/>
        <v>0.0266056144988963</v>
      </c>
      <c r="L1718" s="4">
        <f t="shared" si="79"/>
        <v>-0.0153774589517955</v>
      </c>
      <c r="M1718" s="18">
        <f t="shared" si="80"/>
        <v>-0.05508</v>
      </c>
    </row>
    <row r="1719" spans="1:13">
      <c r="A1719" t="s">
        <v>13</v>
      </c>
      <c r="B1719" t="s">
        <v>3447</v>
      </c>
      <c r="C1719" t="s">
        <v>3448</v>
      </c>
      <c r="D1719">
        <v>116139.7</v>
      </c>
      <c r="E1719">
        <v>117889.7</v>
      </c>
      <c r="F1719">
        <v>4.031</v>
      </c>
      <c r="G1719">
        <v>-1750</v>
      </c>
      <c r="H1719">
        <v>47.521338</v>
      </c>
      <c r="I1719">
        <v>45.987924</v>
      </c>
      <c r="J1719">
        <v>1.533414</v>
      </c>
      <c r="K1719" s="4">
        <f t="shared" si="78"/>
        <v>0.0333438404395032</v>
      </c>
      <c r="L1719" s="4">
        <f t="shared" si="79"/>
        <v>-0.0148443841998071</v>
      </c>
      <c r="M1719" s="18">
        <f t="shared" si="80"/>
        <v>-0.705425</v>
      </c>
    </row>
    <row r="1720" spans="1:13">
      <c r="A1720" t="s">
        <v>13</v>
      </c>
      <c r="B1720" t="s">
        <v>3449</v>
      </c>
      <c r="C1720" t="s">
        <v>3450</v>
      </c>
      <c r="D1720">
        <v>128521.05</v>
      </c>
      <c r="E1720">
        <v>129121.05</v>
      </c>
      <c r="F1720">
        <v>1.425</v>
      </c>
      <c r="G1720">
        <v>-600</v>
      </c>
      <c r="H1720">
        <v>18.39975</v>
      </c>
      <c r="I1720">
        <v>18.014737</v>
      </c>
      <c r="J1720">
        <v>0.385013</v>
      </c>
      <c r="K1720" s="4">
        <f t="shared" si="78"/>
        <v>0.0213721132870272</v>
      </c>
      <c r="L1720" s="4">
        <f t="shared" si="79"/>
        <v>-0.00464680236104028</v>
      </c>
      <c r="M1720" s="18">
        <f t="shared" si="80"/>
        <v>-0.0855</v>
      </c>
    </row>
    <row r="1721" spans="1:13">
      <c r="A1721" t="s">
        <v>13</v>
      </c>
      <c r="B1721" t="s">
        <v>3451</v>
      </c>
      <c r="C1721" t="s">
        <v>3452</v>
      </c>
      <c r="D1721">
        <v>2823.75</v>
      </c>
      <c r="E1721">
        <v>3063.75</v>
      </c>
      <c r="F1721">
        <v>1.489</v>
      </c>
      <c r="G1721">
        <v>-240</v>
      </c>
      <c r="H1721">
        <v>0.456192</v>
      </c>
      <c r="I1721">
        <v>0.439954</v>
      </c>
      <c r="J1721">
        <v>0.016238</v>
      </c>
      <c r="K1721" s="4">
        <f t="shared" si="78"/>
        <v>0.0369084040604245</v>
      </c>
      <c r="L1721" s="4">
        <f t="shared" si="79"/>
        <v>-0.0783353733170135</v>
      </c>
      <c r="M1721" s="18">
        <f t="shared" si="80"/>
        <v>-0.035736</v>
      </c>
    </row>
    <row r="1722" spans="1:13">
      <c r="A1722" t="s">
        <v>13</v>
      </c>
      <c r="B1722" t="s">
        <v>3453</v>
      </c>
      <c r="C1722" t="s">
        <v>3454</v>
      </c>
      <c r="D1722">
        <v>4182.46</v>
      </c>
      <c r="E1722">
        <v>4182.46</v>
      </c>
      <c r="F1722">
        <v>2.183</v>
      </c>
      <c r="G1722">
        <v>0</v>
      </c>
      <c r="H1722">
        <v>0.913032</v>
      </c>
      <c r="I1722">
        <v>0.818035</v>
      </c>
      <c r="J1722">
        <v>0.094997</v>
      </c>
      <c r="K1722" s="4">
        <f t="shared" si="78"/>
        <v>0.116128283019675</v>
      </c>
      <c r="L1722" s="4">
        <f t="shared" si="79"/>
        <v>0</v>
      </c>
      <c r="M1722" s="18">
        <f t="shared" si="80"/>
        <v>0</v>
      </c>
    </row>
    <row r="1723" spans="1:13">
      <c r="A1723" t="s">
        <v>13</v>
      </c>
      <c r="B1723" t="s">
        <v>3455</v>
      </c>
      <c r="C1723" t="s">
        <v>3456</v>
      </c>
      <c r="D1723">
        <v>92573.78</v>
      </c>
      <c r="E1723">
        <v>90373.78</v>
      </c>
      <c r="G1723">
        <v>2200</v>
      </c>
      <c r="H1723">
        <v>12.769815</v>
      </c>
      <c r="I1723">
        <v>11.963566</v>
      </c>
      <c r="J1723">
        <v>0.806249</v>
      </c>
      <c r="K1723" s="4">
        <f t="shared" si="78"/>
        <v>0.0673920301020615</v>
      </c>
      <c r="L1723" s="4">
        <f t="shared" si="79"/>
        <v>0.0243433438326913</v>
      </c>
      <c r="M1723" s="18">
        <f t="shared" si="80"/>
        <v>0</v>
      </c>
    </row>
    <row r="1724" spans="1:13">
      <c r="A1724" t="s">
        <v>13</v>
      </c>
      <c r="B1724" t="s">
        <v>3457</v>
      </c>
      <c r="C1724" t="s">
        <v>3458</v>
      </c>
      <c r="D1724">
        <v>64054.6</v>
      </c>
      <c r="E1724">
        <v>66054.6</v>
      </c>
      <c r="F1724">
        <v>2.146</v>
      </c>
      <c r="G1724">
        <v>-2000</v>
      </c>
      <c r="H1724">
        <v>14.175317</v>
      </c>
      <c r="I1724">
        <v>13.908251</v>
      </c>
      <c r="J1724">
        <v>0.267066</v>
      </c>
      <c r="K1724" s="4">
        <f t="shared" si="78"/>
        <v>0.0192019830530812</v>
      </c>
      <c r="L1724" s="4">
        <f t="shared" si="79"/>
        <v>-0.0302779821541574</v>
      </c>
      <c r="M1724" s="18">
        <f t="shared" si="80"/>
        <v>-0.4292</v>
      </c>
    </row>
    <row r="1725" spans="1:13">
      <c r="A1725" t="s">
        <v>13</v>
      </c>
      <c r="B1725" t="s">
        <v>3459</v>
      </c>
      <c r="C1725" t="s">
        <v>3460</v>
      </c>
      <c r="D1725">
        <v>20508.18</v>
      </c>
      <c r="E1725">
        <v>21068.18</v>
      </c>
      <c r="F1725">
        <v>1.499</v>
      </c>
      <c r="G1725">
        <v>-560</v>
      </c>
      <c r="H1725">
        <v>3.15812</v>
      </c>
      <c r="I1725">
        <v>3.052779</v>
      </c>
      <c r="J1725">
        <v>0.105341</v>
      </c>
      <c r="K1725" s="4">
        <f t="shared" si="78"/>
        <v>0.0345065921902634</v>
      </c>
      <c r="L1725" s="4">
        <f t="shared" si="79"/>
        <v>-0.0265803690684245</v>
      </c>
      <c r="M1725" s="18">
        <f t="shared" si="80"/>
        <v>-0.083944</v>
      </c>
    </row>
    <row r="1726" spans="1:13">
      <c r="A1726" t="s">
        <v>13</v>
      </c>
      <c r="B1726" t="s">
        <v>3461</v>
      </c>
      <c r="C1726" t="s">
        <v>3462</v>
      </c>
      <c r="D1726">
        <v>5827.2</v>
      </c>
      <c r="E1726">
        <v>5827.2</v>
      </c>
      <c r="F1726">
        <v>2.043</v>
      </c>
      <c r="G1726">
        <v>0</v>
      </c>
      <c r="H1726">
        <v>1.190497</v>
      </c>
      <c r="I1726">
        <v>1.195993</v>
      </c>
      <c r="J1726">
        <v>-0.005496</v>
      </c>
      <c r="K1726" s="4">
        <f t="shared" si="78"/>
        <v>-0.00459534462158223</v>
      </c>
      <c r="L1726" s="4">
        <f t="shared" si="79"/>
        <v>0</v>
      </c>
      <c r="M1726" s="18">
        <f t="shared" si="80"/>
        <v>0</v>
      </c>
    </row>
    <row r="1727" spans="1:13">
      <c r="A1727" t="s">
        <v>13</v>
      </c>
      <c r="B1727" t="s">
        <v>3463</v>
      </c>
      <c r="C1727" t="s">
        <v>3464</v>
      </c>
      <c r="D1727">
        <v>227077</v>
      </c>
      <c r="E1727">
        <v>220177</v>
      </c>
      <c r="F1727">
        <v>1.411</v>
      </c>
      <c r="G1727">
        <v>6900</v>
      </c>
      <c r="H1727">
        <v>31.066975</v>
      </c>
      <c r="I1727">
        <v>30.337246</v>
      </c>
      <c r="J1727">
        <v>0.729729</v>
      </c>
      <c r="K1727" s="4">
        <f t="shared" si="78"/>
        <v>0.0240538973115753</v>
      </c>
      <c r="L1727" s="4">
        <f t="shared" si="79"/>
        <v>0.0313384231777161</v>
      </c>
      <c r="M1727" s="18">
        <f t="shared" si="80"/>
        <v>0.97359</v>
      </c>
    </row>
    <row r="1728" spans="1:13">
      <c r="A1728" t="s">
        <v>13</v>
      </c>
      <c r="B1728" t="s">
        <v>3465</v>
      </c>
      <c r="C1728" t="s">
        <v>3466</v>
      </c>
      <c r="D1728">
        <v>14093.59</v>
      </c>
      <c r="E1728">
        <v>14393.59</v>
      </c>
      <c r="F1728">
        <v>1.498</v>
      </c>
      <c r="G1728">
        <v>-300</v>
      </c>
      <c r="H1728">
        <v>2.156159</v>
      </c>
      <c r="I1728">
        <v>2.08707</v>
      </c>
      <c r="J1728">
        <v>0.069089</v>
      </c>
      <c r="K1728" s="4">
        <f t="shared" si="78"/>
        <v>0.0331033458389033</v>
      </c>
      <c r="L1728" s="4">
        <f t="shared" si="79"/>
        <v>-0.02084261119012</v>
      </c>
      <c r="M1728" s="18">
        <f t="shared" si="80"/>
        <v>-0.04494</v>
      </c>
    </row>
    <row r="1729" spans="1:13">
      <c r="A1729" t="s">
        <v>13</v>
      </c>
      <c r="B1729" t="s">
        <v>3467</v>
      </c>
      <c r="C1729" t="s">
        <v>3468</v>
      </c>
      <c r="D1729">
        <v>117660.06</v>
      </c>
      <c r="E1729">
        <v>118860.06</v>
      </c>
      <c r="F1729">
        <v>1.395</v>
      </c>
      <c r="G1729">
        <v>-1200</v>
      </c>
      <c r="H1729">
        <v>16.580979</v>
      </c>
      <c r="I1729">
        <v>16.196103</v>
      </c>
      <c r="J1729">
        <v>0.384876</v>
      </c>
      <c r="K1729" s="4">
        <f t="shared" si="78"/>
        <v>0.0237634942183314</v>
      </c>
      <c r="L1729" s="4">
        <f t="shared" si="79"/>
        <v>-0.0100959060596133</v>
      </c>
      <c r="M1729" s="18">
        <f t="shared" si="80"/>
        <v>-0.1674</v>
      </c>
    </row>
    <row r="1730" spans="1:13">
      <c r="A1730" t="s">
        <v>13</v>
      </c>
      <c r="B1730" t="s">
        <v>3469</v>
      </c>
      <c r="C1730" t="s">
        <v>3470</v>
      </c>
      <c r="D1730">
        <v>10725</v>
      </c>
      <c r="E1730">
        <v>11125</v>
      </c>
      <c r="F1730">
        <v>1.479</v>
      </c>
      <c r="G1730">
        <v>-400</v>
      </c>
      <c r="H1730">
        <v>1.645388</v>
      </c>
      <c r="I1730">
        <v>1.4735</v>
      </c>
      <c r="J1730">
        <v>0.171888</v>
      </c>
      <c r="K1730" s="4">
        <f t="shared" ref="K1730:K1793" si="81">IFERROR(J1730/I1730,"")</f>
        <v>0.116652867322701</v>
      </c>
      <c r="L1730" s="4">
        <f t="shared" ref="L1730:L1793" si="82">IFERROR((D1730-E1730)/E1730,"")</f>
        <v>-0.0359550561797753</v>
      </c>
      <c r="M1730" s="18">
        <f t="shared" ref="M1730:M1793" si="83">IFERROR(F1730*G1730/10000,"")</f>
        <v>-0.05916</v>
      </c>
    </row>
    <row r="1731" spans="1:13">
      <c r="A1731" t="s">
        <v>13</v>
      </c>
      <c r="B1731" t="s">
        <v>3471</v>
      </c>
      <c r="C1731" t="s">
        <v>3472</v>
      </c>
      <c r="D1731">
        <v>13164.8</v>
      </c>
      <c r="E1731">
        <v>13564.8</v>
      </c>
      <c r="F1731">
        <v>1.477</v>
      </c>
      <c r="G1731">
        <v>-400</v>
      </c>
      <c r="H1731">
        <v>2.003521</v>
      </c>
      <c r="I1731">
        <v>1.955072</v>
      </c>
      <c r="J1731">
        <v>0.048449</v>
      </c>
      <c r="K1731" s="4">
        <f t="shared" si="81"/>
        <v>0.0247811845292654</v>
      </c>
      <c r="L1731" s="4">
        <f t="shared" si="82"/>
        <v>-0.0294880868129276</v>
      </c>
      <c r="M1731" s="18">
        <f t="shared" si="83"/>
        <v>-0.05908</v>
      </c>
    </row>
    <row r="1732" spans="1:13">
      <c r="A1732" t="s">
        <v>13</v>
      </c>
      <c r="B1732" t="s">
        <v>3473</v>
      </c>
      <c r="C1732" t="s">
        <v>3474</v>
      </c>
      <c r="D1732">
        <v>9645.8</v>
      </c>
      <c r="E1732">
        <v>10045.8</v>
      </c>
      <c r="F1732">
        <v>1.504</v>
      </c>
      <c r="G1732">
        <v>-400</v>
      </c>
      <c r="H1732">
        <v>1.510888</v>
      </c>
      <c r="I1732">
        <v>1.432531</v>
      </c>
      <c r="J1732">
        <v>0.078357</v>
      </c>
      <c r="K1732" s="4">
        <f t="shared" si="81"/>
        <v>0.054698292742007</v>
      </c>
      <c r="L1732" s="4">
        <f t="shared" si="82"/>
        <v>-0.0398176352306437</v>
      </c>
      <c r="M1732" s="18">
        <f t="shared" si="83"/>
        <v>-0.06016</v>
      </c>
    </row>
    <row r="1733" spans="1:13">
      <c r="A1733" t="s">
        <v>13</v>
      </c>
      <c r="B1733" t="s">
        <v>3475</v>
      </c>
      <c r="C1733" t="s">
        <v>3476</v>
      </c>
      <c r="D1733">
        <v>4556.87</v>
      </c>
      <c r="E1733">
        <v>4556.87</v>
      </c>
      <c r="F1733">
        <v>2.499</v>
      </c>
      <c r="G1733">
        <v>0</v>
      </c>
      <c r="H1733">
        <v>1.138763</v>
      </c>
      <c r="I1733">
        <v>1.094561</v>
      </c>
      <c r="J1733">
        <v>0.044202</v>
      </c>
      <c r="K1733" s="4">
        <f t="shared" si="81"/>
        <v>0.0403833134928067</v>
      </c>
      <c r="L1733" s="4">
        <f t="shared" si="82"/>
        <v>0</v>
      </c>
      <c r="M1733" s="18">
        <f t="shared" si="83"/>
        <v>0</v>
      </c>
    </row>
    <row r="1734" spans="1:13">
      <c r="A1734" t="s">
        <v>13</v>
      </c>
      <c r="B1734" t="s">
        <v>3477</v>
      </c>
      <c r="C1734" t="s">
        <v>3478</v>
      </c>
      <c r="D1734">
        <v>61801.4</v>
      </c>
      <c r="E1734">
        <v>64051.4</v>
      </c>
      <c r="F1734">
        <v>2.381</v>
      </c>
      <c r="G1734">
        <v>-2250</v>
      </c>
      <c r="H1734">
        <v>15.250638</v>
      </c>
      <c r="I1734">
        <v>14.976921</v>
      </c>
      <c r="J1734">
        <v>0.273717</v>
      </c>
      <c r="K1734" s="4">
        <f t="shared" si="81"/>
        <v>0.0182759193294803</v>
      </c>
      <c r="L1734" s="4">
        <f t="shared" si="82"/>
        <v>-0.0351280377946462</v>
      </c>
      <c r="M1734" s="18">
        <f t="shared" si="83"/>
        <v>-0.535725</v>
      </c>
    </row>
    <row r="1735" spans="1:13">
      <c r="A1735" t="s">
        <v>13</v>
      </c>
      <c r="B1735" t="s">
        <v>3479</v>
      </c>
      <c r="C1735" t="s">
        <v>3480</v>
      </c>
      <c r="D1735">
        <v>40990.7</v>
      </c>
      <c r="E1735">
        <v>51490.7</v>
      </c>
      <c r="F1735">
        <v>1.043</v>
      </c>
      <c r="G1735">
        <v>-10500</v>
      </c>
      <c r="H1735">
        <v>5.37048</v>
      </c>
      <c r="I1735">
        <v>5.251378</v>
      </c>
      <c r="J1735">
        <v>0.119102</v>
      </c>
      <c r="K1735" s="4">
        <f t="shared" si="81"/>
        <v>0.0226801422407604</v>
      </c>
      <c r="L1735" s="4">
        <f t="shared" si="82"/>
        <v>-0.203920319591693</v>
      </c>
      <c r="M1735" s="18">
        <f t="shared" si="83"/>
        <v>-1.09515</v>
      </c>
    </row>
    <row r="1736" spans="1:13">
      <c r="A1736" t="s">
        <v>13</v>
      </c>
      <c r="B1736" t="s">
        <v>3481</v>
      </c>
      <c r="C1736" t="s">
        <v>3482</v>
      </c>
      <c r="D1736">
        <v>19371.7</v>
      </c>
      <c r="E1736">
        <v>23371.7</v>
      </c>
      <c r="F1736">
        <v>1.109</v>
      </c>
      <c r="G1736">
        <v>-4000</v>
      </c>
      <c r="H1736">
        <v>2.591922</v>
      </c>
      <c r="I1736">
        <v>2.6927</v>
      </c>
      <c r="J1736">
        <v>-0.100778</v>
      </c>
      <c r="K1736" s="4">
        <f t="shared" si="81"/>
        <v>-0.0374263750139265</v>
      </c>
      <c r="L1736" s="4">
        <f t="shared" si="82"/>
        <v>-0.171147156603927</v>
      </c>
      <c r="M1736" s="18">
        <f t="shared" si="83"/>
        <v>-0.4436</v>
      </c>
    </row>
    <row r="1737" spans="1:13">
      <c r="A1737" t="s">
        <v>13</v>
      </c>
      <c r="B1737" t="s">
        <v>3483</v>
      </c>
      <c r="C1737" t="s">
        <v>3484</v>
      </c>
      <c r="D1737">
        <v>4164.7</v>
      </c>
      <c r="E1737">
        <v>4264.7</v>
      </c>
      <c r="F1737">
        <v>3.006</v>
      </c>
      <c r="G1737">
        <v>-100</v>
      </c>
      <c r="H1737">
        <v>1.281969</v>
      </c>
      <c r="I1737">
        <v>1.230669</v>
      </c>
      <c r="J1737">
        <v>0.0513</v>
      </c>
      <c r="K1737" s="4">
        <f t="shared" si="81"/>
        <v>0.0416846446932522</v>
      </c>
      <c r="L1737" s="4">
        <f t="shared" si="82"/>
        <v>-0.023448308204563</v>
      </c>
      <c r="M1737" s="18">
        <f t="shared" si="83"/>
        <v>-0.03006</v>
      </c>
    </row>
    <row r="1738" spans="1:13">
      <c r="A1738" t="s">
        <v>13</v>
      </c>
      <c r="B1738" t="s">
        <v>3485</v>
      </c>
      <c r="C1738" t="s">
        <v>3486</v>
      </c>
      <c r="D1738">
        <v>29917.5</v>
      </c>
      <c r="E1738">
        <v>34717.5</v>
      </c>
      <c r="F1738">
        <v>1.047</v>
      </c>
      <c r="G1738">
        <v>-4800</v>
      </c>
      <c r="H1738">
        <v>3.634922</v>
      </c>
      <c r="I1738">
        <v>3.573791</v>
      </c>
      <c r="J1738">
        <v>0.061131</v>
      </c>
      <c r="K1738" s="4">
        <f t="shared" si="81"/>
        <v>0.0171053651430652</v>
      </c>
      <c r="L1738" s="4">
        <f t="shared" si="82"/>
        <v>-0.138258803197235</v>
      </c>
      <c r="M1738" s="18">
        <f t="shared" si="83"/>
        <v>-0.50256</v>
      </c>
    </row>
    <row r="1739" spans="1:13">
      <c r="A1739" t="s">
        <v>13</v>
      </c>
      <c r="B1739" t="s">
        <v>3487</v>
      </c>
      <c r="C1739" t="s">
        <v>3488</v>
      </c>
      <c r="D1739">
        <v>1295.7</v>
      </c>
      <c r="E1739">
        <v>1295.7</v>
      </c>
      <c r="G1739">
        <v>0</v>
      </c>
      <c r="H1739">
        <v>0.204591</v>
      </c>
      <c r="I1739">
        <v>0.26046</v>
      </c>
      <c r="J1739">
        <v>-0.055869</v>
      </c>
      <c r="K1739" s="4">
        <f t="shared" si="81"/>
        <v>-0.214501266989173</v>
      </c>
      <c r="L1739" s="4">
        <f t="shared" si="82"/>
        <v>0</v>
      </c>
      <c r="M1739" s="18">
        <f t="shared" si="83"/>
        <v>0</v>
      </c>
    </row>
    <row r="1740" spans="1:13">
      <c r="A1740" t="s">
        <v>13</v>
      </c>
      <c r="B1740" t="s">
        <v>3489</v>
      </c>
      <c r="C1740" t="s">
        <v>3490</v>
      </c>
      <c r="D1740">
        <v>5129</v>
      </c>
      <c r="E1740">
        <v>5529</v>
      </c>
      <c r="F1740">
        <v>1.658</v>
      </c>
      <c r="G1740">
        <v>-400</v>
      </c>
      <c r="H1740">
        <v>0.916708</v>
      </c>
      <c r="I1740">
        <v>0.87137</v>
      </c>
      <c r="J1740">
        <v>0.045338</v>
      </c>
      <c r="K1740" s="4">
        <f t="shared" si="81"/>
        <v>0.0520307102608536</v>
      </c>
      <c r="L1740" s="4">
        <f t="shared" si="82"/>
        <v>-0.0723458129860734</v>
      </c>
      <c r="M1740" s="18">
        <f t="shared" si="83"/>
        <v>-0.06632</v>
      </c>
    </row>
    <row r="1741" spans="1:13">
      <c r="A1741" t="s">
        <v>13</v>
      </c>
      <c r="B1741" t="s">
        <v>3491</v>
      </c>
      <c r="C1741" t="s">
        <v>3492</v>
      </c>
      <c r="D1741">
        <v>2934.4</v>
      </c>
      <c r="E1741">
        <v>2934.4</v>
      </c>
      <c r="F1741">
        <v>2.311</v>
      </c>
      <c r="G1741">
        <v>0</v>
      </c>
      <c r="H1741">
        <v>0.67814</v>
      </c>
      <c r="I1741">
        <v>0.653785</v>
      </c>
      <c r="J1741">
        <v>0.024355</v>
      </c>
      <c r="K1741" s="4">
        <f t="shared" si="81"/>
        <v>0.0372523077158393</v>
      </c>
      <c r="L1741" s="4">
        <f t="shared" si="82"/>
        <v>0</v>
      </c>
      <c r="M1741" s="18">
        <f t="shared" si="83"/>
        <v>0</v>
      </c>
    </row>
    <row r="1742" spans="1:13">
      <c r="A1742" t="s">
        <v>13</v>
      </c>
      <c r="B1742" t="s">
        <v>3493</v>
      </c>
      <c r="C1742" t="s">
        <v>3494</v>
      </c>
      <c r="D1742">
        <v>4179.2</v>
      </c>
      <c r="E1742">
        <v>4179.2</v>
      </c>
      <c r="F1742">
        <v>2.07</v>
      </c>
      <c r="G1742">
        <v>0</v>
      </c>
      <c r="H1742">
        <v>0.865094</v>
      </c>
      <c r="I1742">
        <v>0.834168</v>
      </c>
      <c r="J1742">
        <v>0.030926</v>
      </c>
      <c r="K1742" s="4">
        <f t="shared" si="81"/>
        <v>0.0370740666148785</v>
      </c>
      <c r="L1742" s="4">
        <f t="shared" si="82"/>
        <v>0</v>
      </c>
      <c r="M1742" s="18">
        <f t="shared" si="83"/>
        <v>0</v>
      </c>
    </row>
    <row r="1743" spans="1:13">
      <c r="A1743" t="s">
        <v>13</v>
      </c>
      <c r="B1743" t="s">
        <v>3495</v>
      </c>
      <c r="C1743" t="s">
        <v>3496</v>
      </c>
      <c r="D1743">
        <v>3536.1</v>
      </c>
      <c r="E1743">
        <v>3536.1</v>
      </c>
      <c r="F1743">
        <v>2.826</v>
      </c>
      <c r="G1743">
        <v>0</v>
      </c>
      <c r="H1743">
        <v>0.999302</v>
      </c>
      <c r="I1743">
        <v>0.982682</v>
      </c>
      <c r="J1743">
        <v>0.01662</v>
      </c>
      <c r="K1743" s="4">
        <f t="shared" si="81"/>
        <v>0.0169128975599431</v>
      </c>
      <c r="L1743" s="4">
        <f t="shared" si="82"/>
        <v>0</v>
      </c>
      <c r="M1743" s="18">
        <f t="shared" si="83"/>
        <v>0</v>
      </c>
    </row>
    <row r="1744" spans="1:13">
      <c r="A1744" t="s">
        <v>13</v>
      </c>
      <c r="B1744" t="s">
        <v>3497</v>
      </c>
      <c r="C1744" t="s">
        <v>3498</v>
      </c>
      <c r="D1744">
        <v>5163.6</v>
      </c>
      <c r="E1744">
        <v>5163.6</v>
      </c>
      <c r="F1744">
        <v>1.42</v>
      </c>
      <c r="G1744">
        <v>0</v>
      </c>
      <c r="H1744">
        <v>0.733231</v>
      </c>
      <c r="I1744">
        <v>0.709479</v>
      </c>
      <c r="J1744">
        <v>0.023752</v>
      </c>
      <c r="K1744" s="4">
        <f t="shared" si="81"/>
        <v>0.0334780874416297</v>
      </c>
      <c r="L1744" s="4">
        <f t="shared" si="82"/>
        <v>0</v>
      </c>
      <c r="M1744" s="18">
        <f t="shared" si="83"/>
        <v>0</v>
      </c>
    </row>
    <row r="1745" spans="1:13">
      <c r="A1745" t="s">
        <v>13</v>
      </c>
      <c r="B1745" t="s">
        <v>3499</v>
      </c>
      <c r="C1745" t="s">
        <v>3500</v>
      </c>
      <c r="D1745">
        <v>40783.62</v>
      </c>
      <c r="E1745">
        <v>41283.62</v>
      </c>
      <c r="F1745">
        <v>0.91</v>
      </c>
      <c r="G1745">
        <v>-500</v>
      </c>
      <c r="H1745">
        <v>3.756809</v>
      </c>
      <c r="I1745">
        <v>3.721412</v>
      </c>
      <c r="J1745">
        <v>0.035397</v>
      </c>
      <c r="K1745" s="4">
        <f t="shared" si="81"/>
        <v>0.00951171222106018</v>
      </c>
      <c r="L1745" s="4">
        <f t="shared" si="82"/>
        <v>-0.0121113410112776</v>
      </c>
      <c r="M1745" s="18">
        <f t="shared" si="83"/>
        <v>-0.0455</v>
      </c>
    </row>
    <row r="1746" spans="1:13">
      <c r="A1746" t="s">
        <v>13</v>
      </c>
      <c r="B1746" t="s">
        <v>3501</v>
      </c>
      <c r="C1746" t="s">
        <v>3502</v>
      </c>
      <c r="D1746">
        <v>85229.5</v>
      </c>
      <c r="E1746">
        <v>78629.5</v>
      </c>
      <c r="F1746">
        <v>3.213</v>
      </c>
      <c r="G1746">
        <v>6600</v>
      </c>
      <c r="H1746">
        <v>25.263658</v>
      </c>
      <c r="I1746">
        <v>24.609688</v>
      </c>
      <c r="J1746">
        <v>0.65397</v>
      </c>
      <c r="K1746" s="4">
        <f t="shared" si="81"/>
        <v>0.0265736810641403</v>
      </c>
      <c r="L1746" s="4">
        <f t="shared" si="82"/>
        <v>0.0839379622151991</v>
      </c>
      <c r="M1746" s="18">
        <f t="shared" si="83"/>
        <v>2.12058</v>
      </c>
    </row>
    <row r="1747" spans="1:13">
      <c r="A1747" t="s">
        <v>13</v>
      </c>
      <c r="B1747" t="s">
        <v>3503</v>
      </c>
      <c r="C1747" t="s">
        <v>3504</v>
      </c>
      <c r="D1747">
        <v>8974.18</v>
      </c>
      <c r="E1747">
        <v>9224.18</v>
      </c>
      <c r="F1747">
        <v>1.923</v>
      </c>
      <c r="G1747">
        <v>-250</v>
      </c>
      <c r="H1747">
        <v>1.77381</v>
      </c>
      <c r="I1747">
        <v>1.707396</v>
      </c>
      <c r="J1747">
        <v>0.066414</v>
      </c>
      <c r="K1747" s="4">
        <f t="shared" si="81"/>
        <v>0.0388978303802984</v>
      </c>
      <c r="L1747" s="4">
        <f t="shared" si="82"/>
        <v>-0.0271026801298327</v>
      </c>
      <c r="M1747" s="18">
        <f t="shared" si="83"/>
        <v>-0.048075</v>
      </c>
    </row>
    <row r="1748" spans="1:13">
      <c r="A1748" t="s">
        <v>13</v>
      </c>
      <c r="B1748" t="s">
        <v>3505</v>
      </c>
      <c r="C1748" t="s">
        <v>3506</v>
      </c>
      <c r="D1748">
        <v>65739.63</v>
      </c>
      <c r="E1748">
        <v>67139.63</v>
      </c>
      <c r="F1748">
        <v>1.79</v>
      </c>
      <c r="G1748">
        <v>-1400</v>
      </c>
      <c r="H1748">
        <v>12.017994</v>
      </c>
      <c r="I1748">
        <v>11.416209</v>
      </c>
      <c r="J1748">
        <v>0.601785</v>
      </c>
      <c r="K1748" s="4">
        <f t="shared" si="81"/>
        <v>0.0527132080360477</v>
      </c>
      <c r="L1748" s="4">
        <f t="shared" si="82"/>
        <v>-0.0208520660599411</v>
      </c>
      <c r="M1748" s="18">
        <f t="shared" si="83"/>
        <v>-0.2506</v>
      </c>
    </row>
    <row r="1749" spans="1:13">
      <c r="A1749" t="s">
        <v>13</v>
      </c>
      <c r="B1749" t="s">
        <v>3507</v>
      </c>
      <c r="C1749" t="s">
        <v>3508</v>
      </c>
      <c r="D1749">
        <v>213122.8</v>
      </c>
      <c r="E1749">
        <v>216422.8</v>
      </c>
      <c r="F1749">
        <v>2.749</v>
      </c>
      <c r="G1749">
        <v>-3300</v>
      </c>
      <c r="H1749">
        <v>59.494628</v>
      </c>
      <c r="I1749">
        <v>58.373872</v>
      </c>
      <c r="J1749">
        <v>1.120756</v>
      </c>
      <c r="K1749" s="4">
        <f t="shared" si="81"/>
        <v>0.0191996172534178</v>
      </c>
      <c r="L1749" s="4">
        <f t="shared" si="82"/>
        <v>-0.0152479313639783</v>
      </c>
      <c r="M1749" s="18">
        <f t="shared" si="83"/>
        <v>-0.90717</v>
      </c>
    </row>
    <row r="1750" spans="1:13">
      <c r="A1750" t="s">
        <v>13</v>
      </c>
      <c r="B1750" t="s">
        <v>3509</v>
      </c>
      <c r="C1750" t="s">
        <v>3510</v>
      </c>
      <c r="D1750">
        <v>222753.2</v>
      </c>
      <c r="E1750">
        <v>223653.2</v>
      </c>
      <c r="F1750">
        <v>0.909</v>
      </c>
      <c r="G1750">
        <v>-900</v>
      </c>
      <c r="H1750">
        <v>20.330076</v>
      </c>
      <c r="I1750">
        <v>19.387058</v>
      </c>
      <c r="J1750">
        <v>0.943018</v>
      </c>
      <c r="K1750" s="4">
        <f t="shared" si="81"/>
        <v>0.0486416247374924</v>
      </c>
      <c r="L1750" s="4">
        <f t="shared" si="82"/>
        <v>-0.00402408729229003</v>
      </c>
      <c r="M1750" s="18">
        <f t="shared" si="83"/>
        <v>-0.08181</v>
      </c>
    </row>
    <row r="1751" spans="1:13">
      <c r="A1751" t="s">
        <v>13</v>
      </c>
      <c r="B1751" t="s">
        <v>3511</v>
      </c>
      <c r="C1751" t="s">
        <v>3512</v>
      </c>
      <c r="D1751">
        <v>29059.71</v>
      </c>
      <c r="E1751">
        <v>29359.71</v>
      </c>
      <c r="F1751">
        <v>2.154</v>
      </c>
      <c r="G1751">
        <v>-300</v>
      </c>
      <c r="H1751">
        <v>6.324081</v>
      </c>
      <c r="I1751">
        <v>6.068651</v>
      </c>
      <c r="J1751">
        <v>0.25543</v>
      </c>
      <c r="K1751" s="4">
        <f t="shared" si="81"/>
        <v>0.0420900789977871</v>
      </c>
      <c r="L1751" s="4">
        <f t="shared" si="82"/>
        <v>-0.0102180845791733</v>
      </c>
      <c r="M1751" s="18">
        <f t="shared" si="83"/>
        <v>-0.06462</v>
      </c>
    </row>
    <row r="1752" spans="1:13">
      <c r="A1752" t="s">
        <v>13</v>
      </c>
      <c r="B1752" t="s">
        <v>3513</v>
      </c>
      <c r="C1752" t="s">
        <v>3514</v>
      </c>
      <c r="D1752">
        <v>82390.2</v>
      </c>
      <c r="E1752">
        <v>80390.2</v>
      </c>
      <c r="F1752">
        <v>1.222</v>
      </c>
      <c r="G1752">
        <v>2000</v>
      </c>
      <c r="H1752">
        <v>9.823682</v>
      </c>
      <c r="I1752">
        <v>9.716615</v>
      </c>
      <c r="J1752">
        <v>0.107067</v>
      </c>
      <c r="K1752" s="4">
        <f t="shared" si="81"/>
        <v>0.0110189608212325</v>
      </c>
      <c r="L1752" s="4">
        <f t="shared" si="82"/>
        <v>0.0248786543633428</v>
      </c>
      <c r="M1752" s="18">
        <f t="shared" si="83"/>
        <v>0.2444</v>
      </c>
    </row>
    <row r="1753" spans="1:13">
      <c r="A1753" t="s">
        <v>13</v>
      </c>
      <c r="B1753" t="s">
        <v>3515</v>
      </c>
      <c r="C1753" t="s">
        <v>3516</v>
      </c>
      <c r="D1753">
        <v>306438.4</v>
      </c>
      <c r="E1753">
        <v>313938.4</v>
      </c>
      <c r="F1753">
        <v>0.958</v>
      </c>
      <c r="G1753">
        <v>-7500</v>
      </c>
      <c r="H1753">
        <v>30.075299</v>
      </c>
      <c r="I1753">
        <v>28.564397</v>
      </c>
      <c r="J1753">
        <v>1.510902</v>
      </c>
      <c r="K1753" s="4">
        <f t="shared" si="81"/>
        <v>0.0528945876224868</v>
      </c>
      <c r="L1753" s="4">
        <f t="shared" si="82"/>
        <v>-0.023890037026372</v>
      </c>
      <c r="M1753" s="18">
        <f t="shared" si="83"/>
        <v>-0.7185</v>
      </c>
    </row>
    <row r="1754" spans="1:13">
      <c r="A1754" t="s">
        <v>13</v>
      </c>
      <c r="B1754" t="s">
        <v>3517</v>
      </c>
      <c r="C1754" t="s">
        <v>3518</v>
      </c>
      <c r="D1754">
        <v>142987.7</v>
      </c>
      <c r="E1754">
        <v>138737.7</v>
      </c>
      <c r="F1754">
        <v>2.013</v>
      </c>
      <c r="G1754">
        <v>4250</v>
      </c>
      <c r="H1754">
        <v>27.927899</v>
      </c>
      <c r="I1754">
        <v>27.338881</v>
      </c>
      <c r="J1754">
        <v>0.589018</v>
      </c>
      <c r="K1754" s="4">
        <f t="shared" si="81"/>
        <v>0.021545066164193</v>
      </c>
      <c r="L1754" s="4">
        <f t="shared" si="82"/>
        <v>0.030633346235378</v>
      </c>
      <c r="M1754" s="18">
        <f t="shared" si="83"/>
        <v>0.855525</v>
      </c>
    </row>
    <row r="1755" spans="1:13">
      <c r="A1755" t="s">
        <v>13</v>
      </c>
      <c r="B1755" t="s">
        <v>3519</v>
      </c>
      <c r="C1755" t="s">
        <v>3520</v>
      </c>
      <c r="D1755">
        <v>40232.4</v>
      </c>
      <c r="E1755">
        <v>41432.4</v>
      </c>
      <c r="F1755">
        <v>2.929</v>
      </c>
      <c r="G1755">
        <v>-1200</v>
      </c>
      <c r="H1755">
        <v>12.13555</v>
      </c>
      <c r="I1755">
        <v>11.853072</v>
      </c>
      <c r="J1755">
        <v>0.282478</v>
      </c>
      <c r="K1755" s="4">
        <f t="shared" si="81"/>
        <v>0.0238316277839196</v>
      </c>
      <c r="L1755" s="4">
        <f t="shared" si="82"/>
        <v>-0.0289628406754134</v>
      </c>
      <c r="M1755" s="18">
        <f t="shared" si="83"/>
        <v>-0.35148</v>
      </c>
    </row>
    <row r="1756" spans="1:13">
      <c r="A1756" t="s">
        <v>13</v>
      </c>
      <c r="B1756" t="s">
        <v>3521</v>
      </c>
      <c r="C1756" t="s">
        <v>3522</v>
      </c>
      <c r="D1756">
        <v>15440</v>
      </c>
      <c r="E1756">
        <v>15440</v>
      </c>
      <c r="F1756">
        <v>2.338</v>
      </c>
      <c r="G1756">
        <v>0</v>
      </c>
      <c r="H1756">
        <v>3.609872</v>
      </c>
      <c r="I1756">
        <v>3.631218</v>
      </c>
      <c r="J1756">
        <v>-0.021346</v>
      </c>
      <c r="K1756" s="4">
        <f t="shared" si="81"/>
        <v>-0.00587846832660556</v>
      </c>
      <c r="L1756" s="4">
        <f t="shared" si="82"/>
        <v>0</v>
      </c>
      <c r="M1756" s="18">
        <f t="shared" si="83"/>
        <v>0</v>
      </c>
    </row>
    <row r="1757" spans="1:13">
      <c r="A1757" t="s">
        <v>13</v>
      </c>
      <c r="B1757" t="s">
        <v>3523</v>
      </c>
      <c r="C1757" t="s">
        <v>3524</v>
      </c>
      <c r="D1757">
        <v>63784.79</v>
      </c>
      <c r="E1757">
        <v>63084.79</v>
      </c>
      <c r="F1757">
        <v>1.601</v>
      </c>
      <c r="G1757">
        <v>700</v>
      </c>
      <c r="H1757">
        <v>10.099875</v>
      </c>
      <c r="I1757">
        <v>9.838724</v>
      </c>
      <c r="J1757">
        <v>0.261151</v>
      </c>
      <c r="K1757" s="4">
        <f t="shared" si="81"/>
        <v>0.026543177753538</v>
      </c>
      <c r="L1757" s="4">
        <f t="shared" si="82"/>
        <v>0.0110961770658189</v>
      </c>
      <c r="M1757" s="18">
        <f t="shared" si="83"/>
        <v>0.11207</v>
      </c>
    </row>
    <row r="1758" spans="1:13">
      <c r="A1758" t="s">
        <v>13</v>
      </c>
      <c r="B1758" t="s">
        <v>3525</v>
      </c>
      <c r="C1758" t="s">
        <v>3526</v>
      </c>
      <c r="D1758">
        <v>3123.6</v>
      </c>
      <c r="E1758">
        <v>3123.6</v>
      </c>
      <c r="F1758">
        <v>1.771</v>
      </c>
      <c r="G1758">
        <v>0</v>
      </c>
      <c r="H1758">
        <v>0.55319</v>
      </c>
      <c r="I1758">
        <v>0.530387</v>
      </c>
      <c r="J1758">
        <v>0.022803</v>
      </c>
      <c r="K1758" s="4">
        <f t="shared" si="81"/>
        <v>0.0429931352012776</v>
      </c>
      <c r="L1758" s="4">
        <f t="shared" si="82"/>
        <v>0</v>
      </c>
      <c r="M1758" s="18">
        <f t="shared" si="83"/>
        <v>0</v>
      </c>
    </row>
    <row r="1759" spans="1:13">
      <c r="A1759" t="s">
        <v>13</v>
      </c>
      <c r="B1759" t="s">
        <v>3527</v>
      </c>
      <c r="C1759" t="s">
        <v>3528</v>
      </c>
      <c r="D1759">
        <v>8877.9</v>
      </c>
      <c r="E1759">
        <v>8277.9</v>
      </c>
      <c r="F1759">
        <v>2.283</v>
      </c>
      <c r="G1759">
        <v>600</v>
      </c>
      <c r="H1759">
        <v>1.889845</v>
      </c>
      <c r="I1759">
        <v>1.679157</v>
      </c>
      <c r="J1759">
        <v>0.210688</v>
      </c>
      <c r="K1759" s="4">
        <f t="shared" si="81"/>
        <v>0.125472484109586</v>
      </c>
      <c r="L1759" s="4">
        <f t="shared" si="82"/>
        <v>0.0724821512702497</v>
      </c>
      <c r="M1759" s="18">
        <f t="shared" si="83"/>
        <v>0.13698</v>
      </c>
    </row>
    <row r="1760" spans="1:13">
      <c r="A1760" t="s">
        <v>13</v>
      </c>
      <c r="B1760" t="s">
        <v>3529</v>
      </c>
      <c r="C1760" t="s">
        <v>3530</v>
      </c>
      <c r="D1760">
        <v>38088.94</v>
      </c>
      <c r="E1760">
        <v>38888.94</v>
      </c>
      <c r="F1760">
        <v>0.607</v>
      </c>
      <c r="G1760">
        <v>-800</v>
      </c>
      <c r="H1760">
        <v>2.360559</v>
      </c>
      <c r="I1760">
        <v>2.325559</v>
      </c>
      <c r="J1760">
        <v>0.035</v>
      </c>
      <c r="K1760" s="4">
        <f t="shared" si="81"/>
        <v>0.0150501449328957</v>
      </c>
      <c r="L1760" s="4">
        <f t="shared" si="82"/>
        <v>-0.0205714015347294</v>
      </c>
      <c r="M1760" s="18">
        <f t="shared" si="83"/>
        <v>-0.04856</v>
      </c>
    </row>
    <row r="1761" spans="1:13">
      <c r="A1761" t="s">
        <v>13</v>
      </c>
      <c r="B1761" t="s">
        <v>3531</v>
      </c>
      <c r="C1761" t="s">
        <v>3532</v>
      </c>
      <c r="D1761">
        <v>24555.2</v>
      </c>
      <c r="E1761">
        <v>25755.2</v>
      </c>
      <c r="F1761">
        <v>1.937</v>
      </c>
      <c r="G1761">
        <v>-1200</v>
      </c>
      <c r="H1761">
        <v>4.988782</v>
      </c>
      <c r="I1761">
        <v>5.083095</v>
      </c>
      <c r="J1761">
        <v>-0.094313</v>
      </c>
      <c r="K1761" s="4">
        <f t="shared" si="81"/>
        <v>-0.018554246969612</v>
      </c>
      <c r="L1761" s="4">
        <f t="shared" si="82"/>
        <v>-0.0465925327700814</v>
      </c>
      <c r="M1761" s="18">
        <f t="shared" si="83"/>
        <v>-0.23244</v>
      </c>
    </row>
    <row r="1762" spans="1:13">
      <c r="A1762" t="s">
        <v>13</v>
      </c>
      <c r="B1762" t="s">
        <v>3533</v>
      </c>
      <c r="C1762" t="s">
        <v>3534</v>
      </c>
      <c r="D1762">
        <v>9936.8</v>
      </c>
      <c r="E1762">
        <v>9936.8</v>
      </c>
      <c r="F1762">
        <v>2.007</v>
      </c>
      <c r="G1762">
        <v>0</v>
      </c>
      <c r="H1762">
        <v>1.994316</v>
      </c>
      <c r="I1762">
        <v>1.9496</v>
      </c>
      <c r="J1762">
        <v>0.044716</v>
      </c>
      <c r="K1762" s="4">
        <f t="shared" si="81"/>
        <v>0.0229359868691014</v>
      </c>
      <c r="L1762" s="4">
        <f t="shared" si="82"/>
        <v>0</v>
      </c>
      <c r="M1762" s="18">
        <f t="shared" si="83"/>
        <v>0</v>
      </c>
    </row>
    <row r="1763" spans="1:13">
      <c r="A1763" t="s">
        <v>13</v>
      </c>
      <c r="B1763" t="s">
        <v>3535</v>
      </c>
      <c r="C1763" t="s">
        <v>3536</v>
      </c>
      <c r="D1763">
        <v>79481</v>
      </c>
      <c r="E1763">
        <v>80381</v>
      </c>
      <c r="F1763">
        <v>4.656</v>
      </c>
      <c r="G1763">
        <v>-900</v>
      </c>
      <c r="H1763">
        <v>37.425394</v>
      </c>
      <c r="I1763">
        <v>36.90458</v>
      </c>
      <c r="J1763">
        <v>0.520814</v>
      </c>
      <c r="K1763" s="4">
        <f t="shared" si="81"/>
        <v>0.0141124489155547</v>
      </c>
      <c r="L1763" s="4">
        <f t="shared" si="82"/>
        <v>-0.0111966758313532</v>
      </c>
      <c r="M1763" s="18">
        <f t="shared" si="83"/>
        <v>-0.41904</v>
      </c>
    </row>
    <row r="1764" spans="1:13">
      <c r="A1764" t="s">
        <v>13</v>
      </c>
      <c r="B1764" t="s">
        <v>3537</v>
      </c>
      <c r="C1764" t="s">
        <v>3538</v>
      </c>
      <c r="D1764">
        <v>30478.3</v>
      </c>
      <c r="E1764">
        <v>31078.3</v>
      </c>
      <c r="F1764">
        <v>2.079</v>
      </c>
      <c r="G1764">
        <v>-600</v>
      </c>
      <c r="H1764">
        <v>6.461179</v>
      </c>
      <c r="I1764">
        <v>6.430695</v>
      </c>
      <c r="J1764">
        <v>0.030484</v>
      </c>
      <c r="K1764" s="4">
        <f t="shared" si="81"/>
        <v>0.00474038964684222</v>
      </c>
      <c r="L1764" s="4">
        <f t="shared" si="82"/>
        <v>-0.019306075300129</v>
      </c>
      <c r="M1764" s="18">
        <f t="shared" si="83"/>
        <v>-0.12474</v>
      </c>
    </row>
    <row r="1765" spans="1:13">
      <c r="A1765" t="s">
        <v>13</v>
      </c>
      <c r="B1765" t="s">
        <v>3539</v>
      </c>
      <c r="C1765" t="s">
        <v>3540</v>
      </c>
      <c r="D1765">
        <v>11504.91</v>
      </c>
      <c r="E1765">
        <v>11504.91</v>
      </c>
      <c r="F1765">
        <v>1.684</v>
      </c>
      <c r="G1765">
        <v>0</v>
      </c>
      <c r="H1765">
        <v>1.937427</v>
      </c>
      <c r="I1765">
        <v>1.919019</v>
      </c>
      <c r="J1765">
        <v>0.018408</v>
      </c>
      <c r="K1765" s="4">
        <f t="shared" si="81"/>
        <v>0.00959240111744595</v>
      </c>
      <c r="L1765" s="4">
        <f t="shared" si="82"/>
        <v>0</v>
      </c>
      <c r="M1765" s="18">
        <f t="shared" si="83"/>
        <v>0</v>
      </c>
    </row>
    <row r="1766" spans="1:13">
      <c r="A1766" t="s">
        <v>13</v>
      </c>
      <c r="B1766" t="s">
        <v>3541</v>
      </c>
      <c r="C1766" t="s">
        <v>3542</v>
      </c>
      <c r="D1766">
        <v>11593.8</v>
      </c>
      <c r="E1766">
        <v>11593.8</v>
      </c>
      <c r="F1766">
        <v>2.641</v>
      </c>
      <c r="G1766">
        <v>0</v>
      </c>
      <c r="H1766">
        <v>3.061923</v>
      </c>
      <c r="I1766">
        <v>3.115575</v>
      </c>
      <c r="J1766">
        <v>-0.053652</v>
      </c>
      <c r="K1766" s="4">
        <f t="shared" si="81"/>
        <v>-0.0172205772610192</v>
      </c>
      <c r="L1766" s="4">
        <f t="shared" si="82"/>
        <v>0</v>
      </c>
      <c r="M1766" s="18">
        <f t="shared" si="83"/>
        <v>0</v>
      </c>
    </row>
    <row r="1767" spans="1:13">
      <c r="A1767" t="s">
        <v>13</v>
      </c>
      <c r="B1767" t="s">
        <v>3543</v>
      </c>
      <c r="C1767" t="s">
        <v>3544</v>
      </c>
      <c r="D1767">
        <v>51132.9</v>
      </c>
      <c r="E1767">
        <v>51932.9</v>
      </c>
      <c r="F1767">
        <v>1.892</v>
      </c>
      <c r="G1767">
        <v>-800</v>
      </c>
      <c r="H1767">
        <v>9.825705</v>
      </c>
      <c r="I1767">
        <v>9.384275</v>
      </c>
      <c r="J1767">
        <v>0.44143</v>
      </c>
      <c r="K1767" s="4">
        <f t="shared" si="81"/>
        <v>0.0470393290904199</v>
      </c>
      <c r="L1767" s="4">
        <f t="shared" si="82"/>
        <v>-0.0154044931055266</v>
      </c>
      <c r="M1767" s="18">
        <f t="shared" si="83"/>
        <v>-0.15136</v>
      </c>
    </row>
    <row r="1768" spans="1:13">
      <c r="A1768" t="s">
        <v>13</v>
      </c>
      <c r="B1768" t="s">
        <v>3545</v>
      </c>
      <c r="C1768" t="s">
        <v>3546</v>
      </c>
      <c r="D1768">
        <v>40042</v>
      </c>
      <c r="E1768">
        <v>37642</v>
      </c>
      <c r="F1768">
        <v>1.977</v>
      </c>
      <c r="G1768">
        <v>2400</v>
      </c>
      <c r="H1768">
        <v>7.441823</v>
      </c>
      <c r="I1768">
        <v>7.429152</v>
      </c>
      <c r="J1768">
        <v>0.012671</v>
      </c>
      <c r="K1768" s="4">
        <f t="shared" si="81"/>
        <v>0.00170557824096209</v>
      </c>
      <c r="L1768" s="4">
        <f t="shared" si="82"/>
        <v>0.0637585675575155</v>
      </c>
      <c r="M1768" s="18">
        <f t="shared" si="83"/>
        <v>0.47448</v>
      </c>
    </row>
    <row r="1769" spans="1:13">
      <c r="A1769" t="s">
        <v>13</v>
      </c>
      <c r="B1769" t="s">
        <v>3547</v>
      </c>
      <c r="C1769" t="s">
        <v>3548</v>
      </c>
      <c r="D1769">
        <v>20072.97</v>
      </c>
      <c r="E1769">
        <v>20072.97</v>
      </c>
      <c r="F1769">
        <v>1.994</v>
      </c>
      <c r="G1769">
        <v>0</v>
      </c>
      <c r="H1769">
        <v>4.00255</v>
      </c>
      <c r="I1769">
        <v>4.007934</v>
      </c>
      <c r="J1769">
        <v>-0.005384</v>
      </c>
      <c r="K1769" s="4">
        <f t="shared" si="81"/>
        <v>-0.00134333549404756</v>
      </c>
      <c r="L1769" s="4">
        <f t="shared" si="82"/>
        <v>0</v>
      </c>
      <c r="M1769" s="18">
        <f t="shared" si="83"/>
        <v>0</v>
      </c>
    </row>
    <row r="1770" spans="1:13">
      <c r="A1770" t="s">
        <v>13</v>
      </c>
      <c r="B1770" t="s">
        <v>3549</v>
      </c>
      <c r="C1770" t="s">
        <v>3550</v>
      </c>
      <c r="D1770">
        <v>15357.98</v>
      </c>
      <c r="E1770">
        <v>15557.98</v>
      </c>
      <c r="F1770">
        <v>1.462</v>
      </c>
      <c r="G1770">
        <v>-200</v>
      </c>
      <c r="H1770">
        <v>2.274577</v>
      </c>
      <c r="I1770">
        <v>2.253773</v>
      </c>
      <c r="J1770">
        <v>0.020804</v>
      </c>
      <c r="K1770" s="4">
        <f t="shared" si="81"/>
        <v>0.00923074329136075</v>
      </c>
      <c r="L1770" s="4">
        <f t="shared" si="82"/>
        <v>-0.0128551392918618</v>
      </c>
      <c r="M1770" s="18">
        <f t="shared" si="83"/>
        <v>-0.02924</v>
      </c>
    </row>
    <row r="1771" spans="1:13">
      <c r="A1771" t="s">
        <v>13</v>
      </c>
      <c r="B1771" t="s">
        <v>3551</v>
      </c>
      <c r="C1771" t="s">
        <v>3552</v>
      </c>
      <c r="D1771">
        <v>1442</v>
      </c>
      <c r="E1771">
        <v>1442</v>
      </c>
      <c r="F1771">
        <v>1.851</v>
      </c>
      <c r="G1771">
        <v>0</v>
      </c>
      <c r="H1771">
        <v>0.266914</v>
      </c>
      <c r="I1771">
        <v>0.259848</v>
      </c>
      <c r="J1771">
        <v>0.007066</v>
      </c>
      <c r="K1771" s="4">
        <f t="shared" si="81"/>
        <v>0.0271928204180906</v>
      </c>
      <c r="L1771" s="4">
        <f t="shared" si="82"/>
        <v>0</v>
      </c>
      <c r="M1771" s="18">
        <f t="shared" si="83"/>
        <v>0</v>
      </c>
    </row>
    <row r="1772" spans="1:13">
      <c r="A1772" t="s">
        <v>13</v>
      </c>
      <c r="B1772" t="s">
        <v>3553</v>
      </c>
      <c r="C1772" t="s">
        <v>3554</v>
      </c>
      <c r="D1772">
        <v>16774.54</v>
      </c>
      <c r="E1772">
        <v>16774.54</v>
      </c>
      <c r="F1772">
        <v>4.29</v>
      </c>
      <c r="G1772">
        <v>0</v>
      </c>
      <c r="H1772">
        <v>7.196279</v>
      </c>
      <c r="I1772">
        <v>7.130512</v>
      </c>
      <c r="J1772">
        <v>0.065767</v>
      </c>
      <c r="K1772" s="4">
        <f t="shared" si="81"/>
        <v>0.00922332084989128</v>
      </c>
      <c r="L1772" s="4">
        <f t="shared" si="82"/>
        <v>0</v>
      </c>
      <c r="M1772" s="18">
        <f t="shared" si="83"/>
        <v>0</v>
      </c>
    </row>
    <row r="1773" spans="1:13">
      <c r="A1773" t="s">
        <v>13</v>
      </c>
      <c r="B1773" t="s">
        <v>3555</v>
      </c>
      <c r="C1773" t="s">
        <v>3556</v>
      </c>
      <c r="D1773">
        <v>78750.78</v>
      </c>
      <c r="E1773">
        <v>80350.78</v>
      </c>
      <c r="F1773">
        <v>1.835</v>
      </c>
      <c r="G1773">
        <v>-1600</v>
      </c>
      <c r="H1773">
        <v>14.744369</v>
      </c>
      <c r="I1773">
        <v>14.349414</v>
      </c>
      <c r="J1773">
        <v>0.394955</v>
      </c>
      <c r="K1773" s="4">
        <f t="shared" si="81"/>
        <v>0.0275241204971855</v>
      </c>
      <c r="L1773" s="4">
        <f t="shared" si="82"/>
        <v>-0.0199126878419849</v>
      </c>
      <c r="M1773" s="18">
        <f t="shared" si="83"/>
        <v>-0.2936</v>
      </c>
    </row>
    <row r="1774" spans="1:13">
      <c r="A1774" t="s">
        <v>13</v>
      </c>
      <c r="B1774" t="s">
        <v>3557</v>
      </c>
      <c r="C1774" t="s">
        <v>3558</v>
      </c>
      <c r="D1774">
        <v>97779.3</v>
      </c>
      <c r="E1774">
        <v>97479.3</v>
      </c>
      <c r="F1774">
        <v>1.693</v>
      </c>
      <c r="G1774">
        <v>300</v>
      </c>
      <c r="H1774">
        <v>16.503245</v>
      </c>
      <c r="I1774">
        <v>15.898095</v>
      </c>
      <c r="J1774">
        <v>0.60515</v>
      </c>
      <c r="K1774" s="4">
        <f t="shared" si="81"/>
        <v>0.0380643089628034</v>
      </c>
      <c r="L1774" s="4">
        <f t="shared" si="82"/>
        <v>0.00307757647008134</v>
      </c>
      <c r="M1774" s="18">
        <f t="shared" si="83"/>
        <v>0.05079</v>
      </c>
    </row>
    <row r="1775" spans="1:13">
      <c r="A1775" t="s">
        <v>13</v>
      </c>
      <c r="B1775" t="s">
        <v>3559</v>
      </c>
      <c r="C1775" t="s">
        <v>3560</v>
      </c>
      <c r="D1775">
        <v>48821.9</v>
      </c>
      <c r="E1775">
        <v>42421.9</v>
      </c>
      <c r="F1775">
        <v>2.514</v>
      </c>
      <c r="G1775">
        <v>6400</v>
      </c>
      <c r="H1775">
        <v>10.664866</v>
      </c>
      <c r="I1775">
        <v>10.602702</v>
      </c>
      <c r="J1775">
        <v>0.062164</v>
      </c>
      <c r="K1775" s="4">
        <f t="shared" si="81"/>
        <v>0.00586303378138893</v>
      </c>
      <c r="L1775" s="4">
        <f t="shared" si="82"/>
        <v>0.150865472786462</v>
      </c>
      <c r="M1775" s="18">
        <f t="shared" si="83"/>
        <v>1.60896</v>
      </c>
    </row>
    <row r="1776" spans="1:13">
      <c r="A1776" t="s">
        <v>13</v>
      </c>
      <c r="B1776" t="s">
        <v>3561</v>
      </c>
      <c r="C1776" t="s">
        <v>3562</v>
      </c>
      <c r="D1776">
        <v>30407.7</v>
      </c>
      <c r="E1776">
        <v>31007.7</v>
      </c>
      <c r="F1776">
        <v>1.41</v>
      </c>
      <c r="G1776">
        <v>-600</v>
      </c>
      <c r="H1776">
        <v>4.372086</v>
      </c>
      <c r="I1776">
        <v>4.070561</v>
      </c>
      <c r="J1776">
        <v>0.301525</v>
      </c>
      <c r="K1776" s="4">
        <f t="shared" si="81"/>
        <v>0.0740745563080863</v>
      </c>
      <c r="L1776" s="4">
        <f t="shared" si="82"/>
        <v>-0.0193500324113043</v>
      </c>
      <c r="M1776" s="18">
        <f t="shared" si="83"/>
        <v>-0.0846</v>
      </c>
    </row>
    <row r="1777" spans="1:13">
      <c r="A1777" t="s">
        <v>13</v>
      </c>
      <c r="B1777" t="s">
        <v>3563</v>
      </c>
      <c r="C1777" t="s">
        <v>3564</v>
      </c>
      <c r="D1777">
        <v>4696.8</v>
      </c>
      <c r="E1777">
        <v>4696.8</v>
      </c>
      <c r="F1777">
        <v>1.611</v>
      </c>
      <c r="G1777">
        <v>0</v>
      </c>
      <c r="H1777">
        <v>0.756654</v>
      </c>
      <c r="I1777">
        <v>0.730352</v>
      </c>
      <c r="J1777">
        <v>0.026302</v>
      </c>
      <c r="K1777" s="4">
        <f t="shared" si="81"/>
        <v>0.0360127719236752</v>
      </c>
      <c r="L1777" s="4">
        <f t="shared" si="82"/>
        <v>0</v>
      </c>
      <c r="M1777" s="18">
        <f t="shared" si="83"/>
        <v>0</v>
      </c>
    </row>
    <row r="1778" spans="1:13">
      <c r="A1778" t="s">
        <v>13</v>
      </c>
      <c r="B1778" t="s">
        <v>3565</v>
      </c>
      <c r="C1778" t="s">
        <v>3566</v>
      </c>
      <c r="D1778">
        <v>6713.79</v>
      </c>
      <c r="E1778">
        <v>6713.79</v>
      </c>
      <c r="F1778">
        <v>1.92</v>
      </c>
      <c r="G1778">
        <v>0</v>
      </c>
      <c r="H1778">
        <v>1.289047</v>
      </c>
      <c r="I1778">
        <v>1.246079</v>
      </c>
      <c r="J1778">
        <v>0.042968</v>
      </c>
      <c r="K1778" s="4">
        <f t="shared" si="81"/>
        <v>0.0344825649096085</v>
      </c>
      <c r="L1778" s="4">
        <f t="shared" si="82"/>
        <v>0</v>
      </c>
      <c r="M1778" s="18">
        <f t="shared" si="83"/>
        <v>0</v>
      </c>
    </row>
    <row r="1779" spans="1:13">
      <c r="A1779" t="s">
        <v>13</v>
      </c>
      <c r="B1779" t="s">
        <v>3567</v>
      </c>
      <c r="C1779" t="s">
        <v>3568</v>
      </c>
      <c r="D1779">
        <v>47129.3</v>
      </c>
      <c r="E1779">
        <v>46329.3</v>
      </c>
      <c r="G1779">
        <v>800</v>
      </c>
      <c r="H1779">
        <v>6.143265</v>
      </c>
      <c r="I1779">
        <v>5.655221</v>
      </c>
      <c r="J1779">
        <v>0.488044</v>
      </c>
      <c r="K1779" s="4">
        <f t="shared" si="81"/>
        <v>0.0862997219737301</v>
      </c>
      <c r="L1779" s="4">
        <f t="shared" si="82"/>
        <v>0.0172676902090038</v>
      </c>
      <c r="M1779" s="18">
        <f t="shared" si="83"/>
        <v>0</v>
      </c>
    </row>
    <row r="1780" spans="1:13">
      <c r="A1780" t="s">
        <v>13</v>
      </c>
      <c r="B1780" t="s">
        <v>3569</v>
      </c>
      <c r="C1780" t="s">
        <v>3570</v>
      </c>
      <c r="D1780">
        <v>14306.1</v>
      </c>
      <c r="E1780">
        <v>14306.1</v>
      </c>
      <c r="F1780">
        <v>1.822</v>
      </c>
      <c r="G1780">
        <v>0</v>
      </c>
      <c r="H1780">
        <v>2.606571</v>
      </c>
      <c r="I1780">
        <v>2.525027</v>
      </c>
      <c r="J1780">
        <v>0.081544</v>
      </c>
      <c r="K1780" s="4">
        <f t="shared" si="81"/>
        <v>0.0322943081400714</v>
      </c>
      <c r="L1780" s="4">
        <f t="shared" si="82"/>
        <v>0</v>
      </c>
      <c r="M1780" s="18">
        <f t="shared" si="83"/>
        <v>0</v>
      </c>
    </row>
    <row r="1781" spans="1:13">
      <c r="A1781" t="s">
        <v>13</v>
      </c>
      <c r="B1781" t="s">
        <v>3571</v>
      </c>
      <c r="C1781" t="s">
        <v>3572</v>
      </c>
      <c r="D1781">
        <v>18193.1</v>
      </c>
      <c r="E1781">
        <v>17943.1</v>
      </c>
      <c r="F1781">
        <v>1.279</v>
      </c>
      <c r="G1781">
        <v>250</v>
      </c>
      <c r="H1781">
        <v>2.294922</v>
      </c>
      <c r="I1781">
        <v>2.219558</v>
      </c>
      <c r="J1781">
        <v>0.075364</v>
      </c>
      <c r="K1781" s="4">
        <f t="shared" si="81"/>
        <v>0.0339545080597128</v>
      </c>
      <c r="L1781" s="4">
        <f t="shared" si="82"/>
        <v>0.013932932436424</v>
      </c>
      <c r="M1781" s="18">
        <f t="shared" si="83"/>
        <v>0.031975</v>
      </c>
    </row>
    <row r="1782" spans="1:13">
      <c r="A1782" t="s">
        <v>13</v>
      </c>
      <c r="B1782" t="s">
        <v>3573</v>
      </c>
      <c r="C1782" t="s">
        <v>3574</v>
      </c>
      <c r="D1782">
        <v>30577.7</v>
      </c>
      <c r="E1782">
        <v>31177.7</v>
      </c>
      <c r="F1782">
        <v>2.643</v>
      </c>
      <c r="G1782">
        <v>-600</v>
      </c>
      <c r="H1782">
        <v>8.240266</v>
      </c>
      <c r="I1782">
        <v>8.11245</v>
      </c>
      <c r="J1782">
        <v>0.127816</v>
      </c>
      <c r="K1782" s="4">
        <f t="shared" si="81"/>
        <v>0.0157555362436748</v>
      </c>
      <c r="L1782" s="4">
        <f t="shared" si="82"/>
        <v>-0.0192445241310296</v>
      </c>
      <c r="M1782" s="18">
        <f t="shared" si="83"/>
        <v>-0.15858</v>
      </c>
    </row>
    <row r="1783" spans="1:13">
      <c r="A1783" t="s">
        <v>13</v>
      </c>
      <c r="B1783" t="s">
        <v>3575</v>
      </c>
      <c r="C1783" t="s">
        <v>3576</v>
      </c>
      <c r="D1783">
        <v>56741.3</v>
      </c>
      <c r="E1783">
        <v>57341.3</v>
      </c>
      <c r="F1783">
        <v>1.11</v>
      </c>
      <c r="G1783">
        <v>-600</v>
      </c>
      <c r="H1783">
        <v>6.364884</v>
      </c>
      <c r="I1783">
        <v>6.15916</v>
      </c>
      <c r="J1783">
        <v>0.205724</v>
      </c>
      <c r="K1783" s="4">
        <f t="shared" si="81"/>
        <v>0.0334013079705674</v>
      </c>
      <c r="L1783" s="4">
        <f t="shared" si="82"/>
        <v>-0.0104636623166897</v>
      </c>
      <c r="M1783" s="18">
        <f t="shared" si="83"/>
        <v>-0.0666</v>
      </c>
    </row>
    <row r="1784" spans="1:13">
      <c r="A1784" t="s">
        <v>13</v>
      </c>
      <c r="B1784" t="s">
        <v>3577</v>
      </c>
      <c r="C1784" t="s">
        <v>3578</v>
      </c>
      <c r="D1784">
        <v>68662</v>
      </c>
      <c r="E1784">
        <v>68962</v>
      </c>
      <c r="F1784">
        <v>0.719</v>
      </c>
      <c r="G1784">
        <v>-300</v>
      </c>
      <c r="H1784">
        <v>4.958368</v>
      </c>
      <c r="I1784">
        <v>4.799857</v>
      </c>
      <c r="J1784">
        <v>0.158511</v>
      </c>
      <c r="K1784" s="4">
        <f t="shared" si="81"/>
        <v>0.0330241088432426</v>
      </c>
      <c r="L1784" s="4">
        <f t="shared" si="82"/>
        <v>-0.00435022186131493</v>
      </c>
      <c r="M1784" s="18">
        <f t="shared" si="83"/>
        <v>-0.02157</v>
      </c>
    </row>
    <row r="1785" spans="1:13">
      <c r="A1785" t="s">
        <v>13</v>
      </c>
      <c r="B1785" t="s">
        <v>3579</v>
      </c>
      <c r="C1785" t="s">
        <v>3580</v>
      </c>
      <c r="D1785">
        <v>248078</v>
      </c>
      <c r="E1785">
        <v>250778</v>
      </c>
      <c r="F1785">
        <v>1.631</v>
      </c>
      <c r="G1785">
        <v>-2700</v>
      </c>
      <c r="H1785">
        <v>40.901892</v>
      </c>
      <c r="I1785">
        <v>40.572168</v>
      </c>
      <c r="J1785">
        <v>0.329724</v>
      </c>
      <c r="K1785" s="4">
        <f t="shared" si="81"/>
        <v>0.00812685188526282</v>
      </c>
      <c r="L1785" s="4">
        <f t="shared" si="82"/>
        <v>-0.0107664946685913</v>
      </c>
      <c r="M1785" s="18">
        <f t="shared" si="83"/>
        <v>-0.44037</v>
      </c>
    </row>
    <row r="1786" spans="1:13">
      <c r="A1786" t="s">
        <v>13</v>
      </c>
      <c r="B1786" t="s">
        <v>3581</v>
      </c>
      <c r="C1786" t="s">
        <v>3582</v>
      </c>
      <c r="D1786">
        <v>7543.72</v>
      </c>
      <c r="E1786">
        <v>7743.72</v>
      </c>
      <c r="F1786">
        <v>1.39</v>
      </c>
      <c r="G1786">
        <v>-200</v>
      </c>
      <c r="H1786">
        <v>1.076376</v>
      </c>
      <c r="I1786">
        <v>1.033786</v>
      </c>
      <c r="J1786">
        <v>0.04259</v>
      </c>
      <c r="K1786" s="4">
        <f t="shared" si="81"/>
        <v>0.0411980816145701</v>
      </c>
      <c r="L1786" s="4">
        <f t="shared" si="82"/>
        <v>-0.0258273801222152</v>
      </c>
      <c r="M1786" s="18">
        <f t="shared" si="83"/>
        <v>-0.0278</v>
      </c>
    </row>
    <row r="1787" spans="1:13">
      <c r="A1787" t="s">
        <v>13</v>
      </c>
      <c r="B1787" t="s">
        <v>3583</v>
      </c>
      <c r="C1787" t="s">
        <v>3584</v>
      </c>
      <c r="D1787">
        <v>15829.6</v>
      </c>
      <c r="E1787">
        <v>15829.6</v>
      </c>
      <c r="F1787">
        <v>1.489</v>
      </c>
      <c r="G1787">
        <v>0</v>
      </c>
      <c r="H1787">
        <v>2.357027</v>
      </c>
      <c r="I1787">
        <v>2.425015</v>
      </c>
      <c r="J1787">
        <v>-0.067988</v>
      </c>
      <c r="K1787" s="4">
        <f t="shared" si="81"/>
        <v>-0.0280361152405243</v>
      </c>
      <c r="L1787" s="4">
        <f t="shared" si="82"/>
        <v>0</v>
      </c>
      <c r="M1787" s="18">
        <f t="shared" si="83"/>
        <v>0</v>
      </c>
    </row>
    <row r="1788" spans="1:13">
      <c r="A1788" t="s">
        <v>13</v>
      </c>
      <c r="B1788" t="s">
        <v>3585</v>
      </c>
      <c r="C1788" t="s">
        <v>3586</v>
      </c>
      <c r="D1788">
        <v>9690.9</v>
      </c>
      <c r="E1788">
        <v>9390.9</v>
      </c>
      <c r="F1788">
        <v>1.336</v>
      </c>
      <c r="G1788">
        <v>300</v>
      </c>
      <c r="H1788">
        <v>1.254624</v>
      </c>
      <c r="I1788">
        <v>1.274839</v>
      </c>
      <c r="J1788">
        <v>-0.020215</v>
      </c>
      <c r="K1788" s="4">
        <f t="shared" si="81"/>
        <v>-0.0158569042835997</v>
      </c>
      <c r="L1788" s="4">
        <f t="shared" si="82"/>
        <v>0.0319458198894675</v>
      </c>
      <c r="M1788" s="18">
        <f t="shared" si="83"/>
        <v>0.04008</v>
      </c>
    </row>
    <row r="1789" spans="1:13">
      <c r="A1789" t="s">
        <v>13</v>
      </c>
      <c r="B1789" t="s">
        <v>3587</v>
      </c>
      <c r="C1789" t="s">
        <v>3588</v>
      </c>
      <c r="D1789">
        <v>6531.8</v>
      </c>
      <c r="E1789">
        <v>6231.8</v>
      </c>
      <c r="F1789">
        <v>2.273</v>
      </c>
      <c r="G1789">
        <v>300</v>
      </c>
      <c r="H1789">
        <v>1.416488</v>
      </c>
      <c r="I1789">
        <v>1.321605</v>
      </c>
      <c r="J1789">
        <v>0.094883</v>
      </c>
      <c r="K1789" s="4">
        <f t="shared" si="81"/>
        <v>0.0717937659134159</v>
      </c>
      <c r="L1789" s="4">
        <f t="shared" si="82"/>
        <v>0.0481401842164383</v>
      </c>
      <c r="M1789" s="18">
        <f t="shared" si="83"/>
        <v>0.06819</v>
      </c>
    </row>
    <row r="1790" spans="1:13">
      <c r="A1790" t="s">
        <v>13</v>
      </c>
      <c r="B1790" t="s">
        <v>3589</v>
      </c>
      <c r="C1790" t="s">
        <v>3590</v>
      </c>
      <c r="D1790">
        <v>104778.1</v>
      </c>
      <c r="E1790">
        <v>107478.1</v>
      </c>
      <c r="F1790">
        <v>1.499</v>
      </c>
      <c r="G1790">
        <v>-2700</v>
      </c>
      <c r="H1790">
        <v>16.110967</v>
      </c>
      <c r="I1790">
        <v>16.154957</v>
      </c>
      <c r="J1790">
        <v>-0.04399</v>
      </c>
      <c r="K1790" s="4">
        <f t="shared" si="81"/>
        <v>-0.00272300322433542</v>
      </c>
      <c r="L1790" s="4">
        <f t="shared" si="82"/>
        <v>-0.0251213968240972</v>
      </c>
      <c r="M1790" s="18">
        <f t="shared" si="83"/>
        <v>-0.40473</v>
      </c>
    </row>
    <row r="1791" spans="1:13">
      <c r="A1791" t="s">
        <v>13</v>
      </c>
      <c r="B1791" t="s">
        <v>3591</v>
      </c>
      <c r="C1791" t="s">
        <v>3592</v>
      </c>
      <c r="D1791">
        <v>2250.7</v>
      </c>
      <c r="E1791">
        <v>2250.7</v>
      </c>
      <c r="F1791">
        <v>1.676</v>
      </c>
      <c r="G1791">
        <v>0</v>
      </c>
      <c r="H1791">
        <v>0.377217</v>
      </c>
      <c r="I1791">
        <v>0.368665</v>
      </c>
      <c r="J1791">
        <v>0.008552</v>
      </c>
      <c r="K1791" s="4">
        <f t="shared" si="81"/>
        <v>0.0231972115606309</v>
      </c>
      <c r="L1791" s="4">
        <f t="shared" si="82"/>
        <v>0</v>
      </c>
      <c r="M1791" s="18">
        <f t="shared" si="83"/>
        <v>0</v>
      </c>
    </row>
    <row r="1792" spans="1:13">
      <c r="A1792" t="s">
        <v>13</v>
      </c>
      <c r="B1792" t="s">
        <v>3593</v>
      </c>
      <c r="C1792" t="s">
        <v>3594</v>
      </c>
      <c r="D1792">
        <v>28846.9</v>
      </c>
      <c r="E1792">
        <v>28446.9</v>
      </c>
      <c r="F1792">
        <v>1.681</v>
      </c>
      <c r="G1792">
        <v>400</v>
      </c>
      <c r="H1792">
        <v>4.781924</v>
      </c>
      <c r="I1792">
        <v>4.638582</v>
      </c>
      <c r="J1792">
        <v>0.143342</v>
      </c>
      <c r="K1792" s="4">
        <f t="shared" si="81"/>
        <v>0.030902116207065</v>
      </c>
      <c r="L1792" s="4">
        <f t="shared" si="82"/>
        <v>0.0140612861155346</v>
      </c>
      <c r="M1792" s="18">
        <f t="shared" si="83"/>
        <v>0.06724</v>
      </c>
    </row>
    <row r="1793" spans="1:13">
      <c r="A1793" t="s">
        <v>13</v>
      </c>
      <c r="B1793" t="s">
        <v>3595</v>
      </c>
      <c r="C1793" t="s">
        <v>3596</v>
      </c>
      <c r="D1793">
        <v>35849.58</v>
      </c>
      <c r="E1793">
        <v>37349.58</v>
      </c>
      <c r="F1793">
        <v>1.235</v>
      </c>
      <c r="G1793">
        <v>-1500</v>
      </c>
      <c r="H1793">
        <v>4.612673</v>
      </c>
      <c r="I1793">
        <v>4.601424</v>
      </c>
      <c r="J1793">
        <v>0.011249</v>
      </c>
      <c r="K1793" s="4">
        <f t="shared" si="81"/>
        <v>0.00244467799533362</v>
      </c>
      <c r="L1793" s="4">
        <f t="shared" si="82"/>
        <v>-0.0401610941809787</v>
      </c>
      <c r="M1793" s="18">
        <f t="shared" si="83"/>
        <v>-0.18525</v>
      </c>
    </row>
    <row r="1794" spans="1:13">
      <c r="A1794" t="s">
        <v>13</v>
      </c>
      <c r="B1794" t="s">
        <v>3597</v>
      </c>
      <c r="C1794" t="s">
        <v>3598</v>
      </c>
      <c r="D1794">
        <v>24855.3</v>
      </c>
      <c r="E1794">
        <v>25605.3</v>
      </c>
      <c r="G1794">
        <v>-750</v>
      </c>
      <c r="H1794">
        <v>2.65527</v>
      </c>
      <c r="I1794">
        <v>2.534925</v>
      </c>
      <c r="J1794">
        <v>0.120345</v>
      </c>
      <c r="K1794" s="4">
        <f t="shared" ref="K1794:K1826" si="84">IFERROR(J1794/I1794,"")</f>
        <v>0.0474747773602769</v>
      </c>
      <c r="L1794" s="4">
        <f t="shared" ref="L1794:L1826" si="85">IFERROR((D1794-E1794)/E1794,"")</f>
        <v>-0.0292908108868086</v>
      </c>
      <c r="M1794" s="18">
        <f t="shared" ref="M1794:M1826" si="86">IFERROR(F1794*G1794/10000,"")</f>
        <v>0</v>
      </c>
    </row>
    <row r="1795" spans="1:13">
      <c r="A1795" t="s">
        <v>13</v>
      </c>
      <c r="B1795" t="s">
        <v>3599</v>
      </c>
      <c r="C1795" t="s">
        <v>3600</v>
      </c>
      <c r="D1795">
        <v>5510.13</v>
      </c>
      <c r="E1795">
        <v>6310.13</v>
      </c>
      <c r="G1795">
        <v>-800</v>
      </c>
      <c r="H1795">
        <v>0.969236</v>
      </c>
      <c r="I1795">
        <v>0.928851</v>
      </c>
      <c r="J1795">
        <v>0.040385</v>
      </c>
      <c r="K1795" s="4">
        <f t="shared" si="84"/>
        <v>0.0434784481041631</v>
      </c>
      <c r="L1795" s="4">
        <f t="shared" si="85"/>
        <v>-0.12678027235572</v>
      </c>
      <c r="M1795" s="18">
        <f t="shared" si="86"/>
        <v>0</v>
      </c>
    </row>
    <row r="1796" spans="1:13">
      <c r="A1796" t="s">
        <v>13</v>
      </c>
      <c r="B1796" t="s">
        <v>3601</v>
      </c>
      <c r="C1796" t="s">
        <v>3602</v>
      </c>
      <c r="D1796">
        <v>5515.6</v>
      </c>
      <c r="E1796">
        <v>5815.6</v>
      </c>
      <c r="G1796">
        <v>-300</v>
      </c>
      <c r="H1796">
        <v>0.896766</v>
      </c>
      <c r="I1796">
        <v>0.902663</v>
      </c>
      <c r="J1796">
        <v>-0.005897</v>
      </c>
      <c r="K1796" s="4">
        <f t="shared" si="84"/>
        <v>-0.00653289212031511</v>
      </c>
      <c r="L1796" s="4">
        <f t="shared" si="85"/>
        <v>-0.0515853910172639</v>
      </c>
      <c r="M1796" s="18">
        <f t="shared" si="86"/>
        <v>0</v>
      </c>
    </row>
    <row r="1797" spans="1:13">
      <c r="A1797" t="s">
        <v>13</v>
      </c>
      <c r="B1797" t="s">
        <v>3603</v>
      </c>
      <c r="C1797" t="s">
        <v>3604</v>
      </c>
      <c r="D1797">
        <v>3051.66</v>
      </c>
      <c r="E1797">
        <v>3051.66</v>
      </c>
      <c r="F1797">
        <v>1.286</v>
      </c>
      <c r="G1797">
        <v>0</v>
      </c>
      <c r="H1797">
        <v>0.392444</v>
      </c>
      <c r="I1797">
        <v>0.419963</v>
      </c>
      <c r="J1797">
        <v>-0.027519</v>
      </c>
      <c r="K1797" s="4">
        <f t="shared" si="84"/>
        <v>-0.0655272012058205</v>
      </c>
      <c r="L1797" s="4">
        <f t="shared" si="85"/>
        <v>0</v>
      </c>
      <c r="M1797" s="18">
        <f t="shared" si="86"/>
        <v>0</v>
      </c>
    </row>
    <row r="1798" spans="1:13">
      <c r="A1798" t="s">
        <v>13</v>
      </c>
      <c r="B1798" t="s">
        <v>3605</v>
      </c>
      <c r="C1798" t="s">
        <v>3606</v>
      </c>
      <c r="D1798">
        <v>8406.9</v>
      </c>
      <c r="E1798">
        <v>8906.9</v>
      </c>
      <c r="F1798">
        <v>1.045</v>
      </c>
      <c r="G1798">
        <v>-500</v>
      </c>
      <c r="H1798">
        <v>0.930771</v>
      </c>
      <c r="I1798">
        <v>0.963267</v>
      </c>
      <c r="J1798">
        <v>-0.032496</v>
      </c>
      <c r="K1798" s="4">
        <f t="shared" si="84"/>
        <v>-0.0337351949148055</v>
      </c>
      <c r="L1798" s="4">
        <f t="shared" si="85"/>
        <v>-0.0561362539155037</v>
      </c>
      <c r="M1798" s="18">
        <f t="shared" si="86"/>
        <v>-0.05225</v>
      </c>
    </row>
    <row r="1799" spans="1:13">
      <c r="A1799" t="s">
        <v>13</v>
      </c>
      <c r="B1799" t="s">
        <v>3607</v>
      </c>
      <c r="C1799" t="s">
        <v>3608</v>
      </c>
      <c r="D1799">
        <v>4158.25</v>
      </c>
      <c r="E1799">
        <v>4158.25</v>
      </c>
      <c r="F1799">
        <v>2.01</v>
      </c>
      <c r="G1799">
        <v>0</v>
      </c>
      <c r="H1799">
        <v>0.835809</v>
      </c>
      <c r="I1799">
        <v>0.809612</v>
      </c>
      <c r="J1799">
        <v>0.026197</v>
      </c>
      <c r="K1799" s="4">
        <f t="shared" si="84"/>
        <v>0.0323574749386126</v>
      </c>
      <c r="L1799" s="4">
        <f t="shared" si="85"/>
        <v>0</v>
      </c>
      <c r="M1799" s="18">
        <f t="shared" si="86"/>
        <v>0</v>
      </c>
    </row>
    <row r="1800" spans="1:13">
      <c r="A1800" t="s">
        <v>13</v>
      </c>
      <c r="B1800" t="s">
        <v>3609</v>
      </c>
      <c r="C1800" t="s">
        <v>3610</v>
      </c>
      <c r="D1800">
        <v>18605.3</v>
      </c>
      <c r="E1800">
        <v>20705.3</v>
      </c>
      <c r="G1800">
        <v>-2100</v>
      </c>
      <c r="H1800">
        <v>2.159563</v>
      </c>
      <c r="I1800">
        <v>2.41557</v>
      </c>
      <c r="J1800">
        <v>-0.256007</v>
      </c>
      <c r="K1800" s="4">
        <f t="shared" si="84"/>
        <v>-0.105982024946493</v>
      </c>
      <c r="L1800" s="4">
        <f t="shared" si="85"/>
        <v>-0.101423307075966</v>
      </c>
      <c r="M1800" s="18">
        <f t="shared" si="86"/>
        <v>0</v>
      </c>
    </row>
    <row r="1801" spans="1:13">
      <c r="A1801" t="s">
        <v>13</v>
      </c>
      <c r="B1801" t="s">
        <v>3611</v>
      </c>
      <c r="C1801" t="s">
        <v>3612</v>
      </c>
      <c r="D1801">
        <v>12590.2</v>
      </c>
      <c r="E1801">
        <v>15590.2</v>
      </c>
      <c r="F1801">
        <v>1.058</v>
      </c>
      <c r="G1801">
        <v>-3000</v>
      </c>
      <c r="H1801">
        <v>1.649443</v>
      </c>
      <c r="I1801">
        <v>1.820586</v>
      </c>
      <c r="J1801">
        <v>-0.171143</v>
      </c>
      <c r="K1801" s="4">
        <f t="shared" si="84"/>
        <v>-0.0940043480505727</v>
      </c>
      <c r="L1801" s="4">
        <f t="shared" si="85"/>
        <v>-0.192428576926531</v>
      </c>
      <c r="M1801" s="18">
        <f t="shared" si="86"/>
        <v>-0.3174</v>
      </c>
    </row>
    <row r="1802" spans="1:13">
      <c r="A1802" t="s">
        <v>13</v>
      </c>
      <c r="B1802" t="s">
        <v>3613</v>
      </c>
      <c r="C1802" t="s">
        <v>3614</v>
      </c>
      <c r="D1802">
        <v>9169.43</v>
      </c>
      <c r="E1802">
        <v>9769.43</v>
      </c>
      <c r="F1802">
        <v>1.714</v>
      </c>
      <c r="G1802">
        <v>-600</v>
      </c>
      <c r="H1802">
        <v>1.67448</v>
      </c>
      <c r="I1802">
        <v>1.597301</v>
      </c>
      <c r="J1802">
        <v>0.077179</v>
      </c>
      <c r="K1802" s="4">
        <f t="shared" si="84"/>
        <v>0.0483183820707556</v>
      </c>
      <c r="L1802" s="4">
        <f t="shared" si="85"/>
        <v>-0.0614160703336837</v>
      </c>
      <c r="M1802" s="18">
        <f t="shared" si="86"/>
        <v>-0.10284</v>
      </c>
    </row>
    <row r="1803" spans="1:13">
      <c r="A1803" t="s">
        <v>13</v>
      </c>
      <c r="B1803" t="s">
        <v>3615</v>
      </c>
      <c r="C1803" t="s">
        <v>3616</v>
      </c>
      <c r="D1803">
        <v>9006.4</v>
      </c>
      <c r="E1803">
        <v>9006.4</v>
      </c>
      <c r="F1803">
        <v>1.853</v>
      </c>
      <c r="G1803">
        <v>0</v>
      </c>
      <c r="H1803">
        <v>1.668886</v>
      </c>
      <c r="I1803">
        <v>1.614848</v>
      </c>
      <c r="J1803">
        <v>0.054038</v>
      </c>
      <c r="K1803" s="4">
        <f t="shared" si="84"/>
        <v>0.0334632113982245</v>
      </c>
      <c r="L1803" s="4">
        <f t="shared" si="85"/>
        <v>0</v>
      </c>
      <c r="M1803" s="18">
        <f t="shared" si="86"/>
        <v>0</v>
      </c>
    </row>
    <row r="1804" spans="1:13">
      <c r="A1804" t="s">
        <v>13</v>
      </c>
      <c r="B1804" t="s">
        <v>3617</v>
      </c>
      <c r="C1804" t="s">
        <v>3618</v>
      </c>
      <c r="D1804">
        <v>72910.46</v>
      </c>
      <c r="E1804">
        <v>74110.46</v>
      </c>
      <c r="F1804">
        <v>0.727</v>
      </c>
      <c r="G1804">
        <v>-1200</v>
      </c>
      <c r="H1804">
        <v>5.38783</v>
      </c>
      <c r="I1804">
        <v>5.177435</v>
      </c>
      <c r="J1804">
        <v>0.210395</v>
      </c>
      <c r="K1804" s="4">
        <f t="shared" si="84"/>
        <v>0.040636917701526</v>
      </c>
      <c r="L1804" s="4">
        <f t="shared" si="85"/>
        <v>-0.0161920463049346</v>
      </c>
      <c r="M1804" s="18">
        <f t="shared" si="86"/>
        <v>-0.08724</v>
      </c>
    </row>
    <row r="1805" spans="1:13">
      <c r="A1805" t="s">
        <v>13</v>
      </c>
      <c r="B1805" t="s">
        <v>3619</v>
      </c>
      <c r="C1805" t="s">
        <v>3620</v>
      </c>
      <c r="D1805">
        <v>2529.55</v>
      </c>
      <c r="E1805">
        <v>2529.55</v>
      </c>
      <c r="F1805">
        <v>1.379</v>
      </c>
      <c r="G1805">
        <v>0</v>
      </c>
      <c r="H1805">
        <v>0.348824</v>
      </c>
      <c r="I1805">
        <v>0.342248</v>
      </c>
      <c r="J1805">
        <v>0.006576</v>
      </c>
      <c r="K1805" s="4">
        <f t="shared" si="84"/>
        <v>0.0192141371169444</v>
      </c>
      <c r="L1805" s="4">
        <f t="shared" si="85"/>
        <v>0</v>
      </c>
      <c r="M1805" s="18">
        <f t="shared" si="86"/>
        <v>0</v>
      </c>
    </row>
    <row r="1806" spans="1:13">
      <c r="A1806" t="s">
        <v>13</v>
      </c>
      <c r="B1806" t="s">
        <v>3621</v>
      </c>
      <c r="C1806" t="s">
        <v>3622</v>
      </c>
      <c r="D1806">
        <v>25635.5</v>
      </c>
      <c r="E1806">
        <v>26235.5</v>
      </c>
      <c r="F1806">
        <v>1.15</v>
      </c>
      <c r="G1806">
        <v>-600</v>
      </c>
      <c r="H1806">
        <v>3.017083</v>
      </c>
      <c r="I1806">
        <v>2.880658</v>
      </c>
      <c r="J1806">
        <v>0.136425</v>
      </c>
      <c r="K1806" s="4">
        <f t="shared" si="84"/>
        <v>0.0473589714572157</v>
      </c>
      <c r="L1806" s="4">
        <f t="shared" si="85"/>
        <v>-0.0228697756856168</v>
      </c>
      <c r="M1806" s="18">
        <f t="shared" si="86"/>
        <v>-0.069</v>
      </c>
    </row>
    <row r="1807" spans="1:13">
      <c r="A1807" t="s">
        <v>13</v>
      </c>
      <c r="B1807" t="s">
        <v>3623</v>
      </c>
      <c r="C1807" t="s">
        <v>3624</v>
      </c>
      <c r="D1807">
        <v>1035.48</v>
      </c>
      <c r="E1807">
        <v>1035.48</v>
      </c>
      <c r="F1807">
        <v>1.843</v>
      </c>
      <c r="G1807">
        <v>0</v>
      </c>
      <c r="H1807">
        <v>0.190839</v>
      </c>
      <c r="I1807">
        <v>0.183695</v>
      </c>
      <c r="J1807">
        <v>0.007144</v>
      </c>
      <c r="K1807" s="4">
        <f t="shared" si="84"/>
        <v>0.0388905522741501</v>
      </c>
      <c r="L1807" s="4">
        <f t="shared" si="85"/>
        <v>0</v>
      </c>
      <c r="M1807" s="18">
        <f t="shared" si="86"/>
        <v>0</v>
      </c>
    </row>
    <row r="1808" spans="1:13">
      <c r="A1808" t="s">
        <v>13</v>
      </c>
      <c r="B1808" t="s">
        <v>3625</v>
      </c>
      <c r="C1808" t="s">
        <v>3626</v>
      </c>
      <c r="D1808">
        <v>22953.5</v>
      </c>
      <c r="E1808">
        <v>23353.5</v>
      </c>
      <c r="F1808">
        <v>1.828</v>
      </c>
      <c r="G1808">
        <v>-400</v>
      </c>
      <c r="H1808">
        <v>4.26902</v>
      </c>
      <c r="I1808">
        <v>4.147582</v>
      </c>
      <c r="J1808">
        <v>0.121438</v>
      </c>
      <c r="K1808" s="4">
        <f t="shared" si="84"/>
        <v>0.0292792282346678</v>
      </c>
      <c r="L1808" s="4">
        <f t="shared" si="85"/>
        <v>-0.0171280536108078</v>
      </c>
      <c r="M1808" s="18">
        <f t="shared" si="86"/>
        <v>-0.07312</v>
      </c>
    </row>
    <row r="1809" spans="1:13">
      <c r="A1809" t="s">
        <v>13</v>
      </c>
      <c r="B1809" t="s">
        <v>3627</v>
      </c>
      <c r="C1809" t="s">
        <v>3628</v>
      </c>
      <c r="D1809">
        <v>16262.9</v>
      </c>
      <c r="E1809">
        <v>16862.9</v>
      </c>
      <c r="F1809">
        <v>1.834</v>
      </c>
      <c r="G1809">
        <v>-600</v>
      </c>
      <c r="H1809">
        <v>3.092656</v>
      </c>
      <c r="I1809">
        <v>2.989792</v>
      </c>
      <c r="J1809">
        <v>0.102864</v>
      </c>
      <c r="K1809" s="4">
        <f t="shared" si="84"/>
        <v>0.0344050689813873</v>
      </c>
      <c r="L1809" s="4">
        <f t="shared" si="85"/>
        <v>-0.0355810684994871</v>
      </c>
      <c r="M1809" s="18">
        <f t="shared" si="86"/>
        <v>-0.11004</v>
      </c>
    </row>
    <row r="1810" spans="1:13">
      <c r="A1810" t="s">
        <v>13</v>
      </c>
      <c r="B1810" t="s">
        <v>3629</v>
      </c>
      <c r="C1810" t="s">
        <v>3630</v>
      </c>
      <c r="D1810">
        <v>22953</v>
      </c>
      <c r="E1810">
        <v>23353</v>
      </c>
      <c r="F1810">
        <v>1.845</v>
      </c>
      <c r="G1810">
        <v>-400</v>
      </c>
      <c r="H1810">
        <v>4.308629</v>
      </c>
      <c r="I1810">
        <v>4.244661</v>
      </c>
      <c r="J1810">
        <v>0.063968</v>
      </c>
      <c r="K1810" s="4">
        <f t="shared" si="84"/>
        <v>0.0150702258672719</v>
      </c>
      <c r="L1810" s="4">
        <f t="shared" si="85"/>
        <v>-0.0171284203314349</v>
      </c>
      <c r="M1810" s="18">
        <f t="shared" si="86"/>
        <v>-0.0738</v>
      </c>
    </row>
    <row r="1811" spans="1:13">
      <c r="A1811" t="s">
        <v>13</v>
      </c>
      <c r="B1811" t="s">
        <v>3631</v>
      </c>
      <c r="C1811" t="s">
        <v>3632</v>
      </c>
      <c r="D1811">
        <v>96494.37</v>
      </c>
      <c r="E1811">
        <v>95494.37</v>
      </c>
      <c r="F1811">
        <v>1.791</v>
      </c>
      <c r="G1811">
        <v>1000</v>
      </c>
      <c r="H1811">
        <v>17.103041</v>
      </c>
      <c r="I1811">
        <v>16.741773</v>
      </c>
      <c r="J1811">
        <v>0.361268</v>
      </c>
      <c r="K1811" s="4">
        <f t="shared" si="84"/>
        <v>0.0215788375580054</v>
      </c>
      <c r="L1811" s="4">
        <f t="shared" si="85"/>
        <v>0.0104718215325155</v>
      </c>
      <c r="M1811" s="18">
        <f t="shared" si="86"/>
        <v>0.1791</v>
      </c>
    </row>
    <row r="1812" spans="1:13">
      <c r="A1812" t="s">
        <v>13</v>
      </c>
      <c r="B1812" t="s">
        <v>3633</v>
      </c>
      <c r="C1812" t="s">
        <v>3634</v>
      </c>
      <c r="D1812">
        <v>1429.1</v>
      </c>
      <c r="E1812">
        <v>1429.1</v>
      </c>
      <c r="F1812">
        <v>2.728</v>
      </c>
      <c r="G1812">
        <v>0</v>
      </c>
      <c r="H1812">
        <v>0.389858</v>
      </c>
      <c r="I1812">
        <v>0.373138</v>
      </c>
      <c r="J1812">
        <v>0.01672</v>
      </c>
      <c r="K1812" s="4">
        <f t="shared" si="84"/>
        <v>0.0448091590778747</v>
      </c>
      <c r="L1812" s="4">
        <f t="shared" si="85"/>
        <v>0</v>
      </c>
      <c r="M1812" s="18">
        <f t="shared" si="86"/>
        <v>0</v>
      </c>
    </row>
    <row r="1813" spans="1:13">
      <c r="A1813" t="s">
        <v>13</v>
      </c>
      <c r="B1813" t="s">
        <v>3635</v>
      </c>
      <c r="C1813" t="s">
        <v>3636</v>
      </c>
      <c r="D1813">
        <v>191082.3</v>
      </c>
      <c r="E1813">
        <v>194682.3</v>
      </c>
      <c r="F1813">
        <v>0.78</v>
      </c>
      <c r="G1813">
        <v>-3600</v>
      </c>
      <c r="H1813">
        <v>15.185219</v>
      </c>
      <c r="I1813">
        <v>14.689697</v>
      </c>
      <c r="J1813">
        <v>0.495522</v>
      </c>
      <c r="K1813" s="4">
        <f t="shared" si="84"/>
        <v>0.0337326222589887</v>
      </c>
      <c r="L1813" s="4">
        <f t="shared" si="85"/>
        <v>-0.0184916656521933</v>
      </c>
      <c r="M1813" s="18">
        <f t="shared" si="86"/>
        <v>-0.2808</v>
      </c>
    </row>
    <row r="1814" spans="1:13">
      <c r="A1814" t="s">
        <v>13</v>
      </c>
      <c r="B1814" t="s">
        <v>3637</v>
      </c>
      <c r="C1814" t="s">
        <v>3638</v>
      </c>
      <c r="D1814">
        <v>17356.92</v>
      </c>
      <c r="E1814">
        <v>17856.92</v>
      </c>
      <c r="F1814">
        <v>1.856</v>
      </c>
      <c r="G1814">
        <v>-500</v>
      </c>
      <c r="H1814">
        <v>3.314244</v>
      </c>
      <c r="I1814">
        <v>3.191031</v>
      </c>
      <c r="J1814">
        <v>0.123213</v>
      </c>
      <c r="K1814" s="4">
        <f t="shared" si="84"/>
        <v>0.038612285496443</v>
      </c>
      <c r="L1814" s="4">
        <f t="shared" si="85"/>
        <v>-0.0280003494443611</v>
      </c>
      <c r="M1814" s="18">
        <f t="shared" si="86"/>
        <v>-0.0928</v>
      </c>
    </row>
    <row r="1815" spans="1:13">
      <c r="A1815" t="s">
        <v>13</v>
      </c>
      <c r="B1815" t="s">
        <v>3639</v>
      </c>
      <c r="C1815" t="s">
        <v>3640</v>
      </c>
      <c r="D1815">
        <v>5721.5</v>
      </c>
      <c r="E1815">
        <v>5721.5</v>
      </c>
      <c r="F1815">
        <v>1.487</v>
      </c>
      <c r="G1815">
        <v>0</v>
      </c>
      <c r="H1815">
        <v>0.850787</v>
      </c>
      <c r="I1815">
        <v>0.830762</v>
      </c>
      <c r="J1815">
        <v>0.020025</v>
      </c>
      <c r="K1815" s="4">
        <f t="shared" si="84"/>
        <v>0.0241043764640174</v>
      </c>
      <c r="L1815" s="4">
        <f t="shared" si="85"/>
        <v>0</v>
      </c>
      <c r="M1815" s="18">
        <f t="shared" si="86"/>
        <v>0</v>
      </c>
    </row>
    <row r="1816" spans="1:13">
      <c r="A1816" t="s">
        <v>13</v>
      </c>
      <c r="B1816" t="s">
        <v>3641</v>
      </c>
      <c r="C1816" t="s">
        <v>3642</v>
      </c>
      <c r="D1816">
        <v>95598.82</v>
      </c>
      <c r="E1816">
        <v>95598.82</v>
      </c>
      <c r="F1816">
        <v>1.843</v>
      </c>
      <c r="G1816">
        <v>0</v>
      </c>
      <c r="H1816">
        <v>17.618863</v>
      </c>
      <c r="I1816">
        <v>16.982348</v>
      </c>
      <c r="J1816">
        <v>0.636515</v>
      </c>
      <c r="K1816" s="4">
        <f t="shared" si="84"/>
        <v>0.0374809773065538</v>
      </c>
      <c r="L1816" s="4">
        <f t="shared" si="85"/>
        <v>0</v>
      </c>
      <c r="M1816" s="18">
        <f t="shared" si="86"/>
        <v>0</v>
      </c>
    </row>
    <row r="1817" spans="1:13">
      <c r="A1817" t="s">
        <v>13</v>
      </c>
      <c r="B1817" t="s">
        <v>3643</v>
      </c>
      <c r="C1817" t="s">
        <v>3644</v>
      </c>
      <c r="D1817">
        <v>13272.02</v>
      </c>
      <c r="E1817">
        <v>13272.02</v>
      </c>
      <c r="F1817">
        <v>1.52</v>
      </c>
      <c r="G1817">
        <v>0</v>
      </c>
      <c r="H1817">
        <v>2.017347</v>
      </c>
      <c r="I1817">
        <v>1.972222</v>
      </c>
      <c r="J1817">
        <v>0.045125</v>
      </c>
      <c r="K1817" s="4">
        <f t="shared" si="84"/>
        <v>0.022880284268201</v>
      </c>
      <c r="L1817" s="4">
        <f t="shared" si="85"/>
        <v>0</v>
      </c>
      <c r="M1817" s="18">
        <f t="shared" si="86"/>
        <v>0</v>
      </c>
    </row>
    <row r="1818" spans="1:13">
      <c r="A1818" t="s">
        <v>13</v>
      </c>
      <c r="B1818" t="s">
        <v>3645</v>
      </c>
      <c r="C1818" t="s">
        <v>3646</v>
      </c>
      <c r="D1818">
        <v>31005.7</v>
      </c>
      <c r="E1818">
        <v>32205.7</v>
      </c>
      <c r="F1818">
        <v>1.828</v>
      </c>
      <c r="G1818">
        <v>-1200</v>
      </c>
      <c r="H1818">
        <v>5.887202</v>
      </c>
      <c r="I1818">
        <v>6.083682</v>
      </c>
      <c r="J1818">
        <v>-0.19648</v>
      </c>
      <c r="K1818" s="4">
        <f t="shared" si="84"/>
        <v>-0.0322962311310815</v>
      </c>
      <c r="L1818" s="4">
        <f t="shared" si="85"/>
        <v>-0.0372604849452116</v>
      </c>
      <c r="M1818" s="18">
        <f t="shared" si="86"/>
        <v>-0.21936</v>
      </c>
    </row>
    <row r="1819" spans="1:13">
      <c r="A1819" t="s">
        <v>13</v>
      </c>
      <c r="B1819" t="s">
        <v>3647</v>
      </c>
      <c r="C1819" t="s">
        <v>3648</v>
      </c>
      <c r="D1819">
        <v>16622.4</v>
      </c>
      <c r="E1819">
        <v>17022.4</v>
      </c>
      <c r="F1819">
        <v>1.828</v>
      </c>
      <c r="G1819">
        <v>-400</v>
      </c>
      <c r="H1819">
        <v>3.111695</v>
      </c>
      <c r="I1819">
        <v>3.011263</v>
      </c>
      <c r="J1819">
        <v>0.100432</v>
      </c>
      <c r="K1819" s="4">
        <f t="shared" si="84"/>
        <v>0.0333521183636235</v>
      </c>
      <c r="L1819" s="4">
        <f t="shared" si="85"/>
        <v>-0.0234984491023592</v>
      </c>
      <c r="M1819" s="18">
        <f t="shared" si="86"/>
        <v>-0.07312</v>
      </c>
    </row>
    <row r="1820" spans="1:13">
      <c r="A1820" t="s">
        <v>13</v>
      </c>
      <c r="B1820" t="s">
        <v>3649</v>
      </c>
      <c r="C1820" t="s">
        <v>3650</v>
      </c>
      <c r="D1820">
        <v>48499.6</v>
      </c>
      <c r="E1820">
        <v>46999.6</v>
      </c>
      <c r="F1820">
        <v>1.824</v>
      </c>
      <c r="G1820">
        <v>1500</v>
      </c>
      <c r="H1820">
        <v>8.572728</v>
      </c>
      <c r="I1820">
        <v>8.30013</v>
      </c>
      <c r="J1820">
        <v>0.272598</v>
      </c>
      <c r="K1820" s="4">
        <f t="shared" si="84"/>
        <v>0.0328426181276679</v>
      </c>
      <c r="L1820" s="4">
        <f t="shared" si="85"/>
        <v>0.0319151652354488</v>
      </c>
      <c r="M1820" s="18">
        <f t="shared" si="86"/>
        <v>0.2736</v>
      </c>
    </row>
    <row r="1821" spans="1:13">
      <c r="A1821" t="s">
        <v>13</v>
      </c>
      <c r="B1821" t="s">
        <v>3651</v>
      </c>
      <c r="C1821" t="s">
        <v>3652</v>
      </c>
      <c r="D1821">
        <v>8998.7</v>
      </c>
      <c r="E1821">
        <v>8998.7</v>
      </c>
      <c r="F1821">
        <v>1.821</v>
      </c>
      <c r="G1821">
        <v>0</v>
      </c>
      <c r="H1821">
        <v>1.638663</v>
      </c>
      <c r="I1821">
        <v>1.58917</v>
      </c>
      <c r="J1821">
        <v>0.049493</v>
      </c>
      <c r="K1821" s="4">
        <f t="shared" si="84"/>
        <v>0.0311439304794327</v>
      </c>
      <c r="L1821" s="4">
        <f t="shared" si="85"/>
        <v>0</v>
      </c>
      <c r="M1821" s="18">
        <f t="shared" si="86"/>
        <v>0</v>
      </c>
    </row>
    <row r="1822" spans="1:13">
      <c r="A1822" t="s">
        <v>13</v>
      </c>
      <c r="B1822" t="s">
        <v>3653</v>
      </c>
      <c r="C1822" t="s">
        <v>3654</v>
      </c>
      <c r="D1822">
        <v>17390.82</v>
      </c>
      <c r="E1822">
        <v>17390.82</v>
      </c>
      <c r="F1822">
        <v>1.842</v>
      </c>
      <c r="G1822">
        <v>0</v>
      </c>
      <c r="H1822">
        <v>3.203389</v>
      </c>
      <c r="I1822">
        <v>3.097305</v>
      </c>
      <c r="J1822">
        <v>0.106084</v>
      </c>
      <c r="K1822" s="4">
        <f t="shared" si="84"/>
        <v>0.0342504209304541</v>
      </c>
      <c r="L1822" s="4">
        <f t="shared" si="85"/>
        <v>0</v>
      </c>
      <c r="M1822" s="18">
        <f t="shared" si="86"/>
        <v>0</v>
      </c>
    </row>
    <row r="1823" spans="1:13">
      <c r="A1823" t="s">
        <v>13</v>
      </c>
      <c r="B1823" t="s">
        <v>3655</v>
      </c>
      <c r="C1823" t="s">
        <v>3656</v>
      </c>
      <c r="D1823">
        <v>28887.3</v>
      </c>
      <c r="E1823">
        <v>29487.3</v>
      </c>
      <c r="F1823">
        <v>1.515</v>
      </c>
      <c r="G1823">
        <v>-600</v>
      </c>
      <c r="H1823">
        <v>4.467326</v>
      </c>
      <c r="I1823">
        <v>4.414478</v>
      </c>
      <c r="J1823">
        <v>0.052848</v>
      </c>
      <c r="K1823" s="4">
        <f t="shared" si="84"/>
        <v>0.0119715173572051</v>
      </c>
      <c r="L1823" s="4">
        <f t="shared" si="85"/>
        <v>-0.0203477429266159</v>
      </c>
      <c r="M1823" s="18">
        <f t="shared" si="86"/>
        <v>-0.0909</v>
      </c>
    </row>
    <row r="1824" spans="1:13">
      <c r="A1824" t="s">
        <v>13</v>
      </c>
      <c r="B1824" t="s">
        <v>3657</v>
      </c>
      <c r="C1824" t="s">
        <v>3658</v>
      </c>
      <c r="D1824">
        <v>13631.6</v>
      </c>
      <c r="E1824">
        <v>14331.6</v>
      </c>
      <c r="F1824">
        <v>1.122</v>
      </c>
      <c r="G1824">
        <v>-700</v>
      </c>
      <c r="H1824">
        <v>1.608006</v>
      </c>
      <c r="I1824">
        <v>1.655207</v>
      </c>
      <c r="J1824">
        <v>-0.047201</v>
      </c>
      <c r="K1824" s="4">
        <f t="shared" si="84"/>
        <v>-0.0285166749536463</v>
      </c>
      <c r="L1824" s="4">
        <f t="shared" si="85"/>
        <v>-0.0488431159116916</v>
      </c>
      <c r="M1824" s="18">
        <f t="shared" si="86"/>
        <v>-0.07854</v>
      </c>
    </row>
    <row r="1825" spans="1:13">
      <c r="A1825" t="s">
        <v>13</v>
      </c>
      <c r="B1825" t="s">
        <v>3659</v>
      </c>
      <c r="C1825" t="s">
        <v>3660</v>
      </c>
      <c r="D1825">
        <v>12612.2</v>
      </c>
      <c r="E1825">
        <v>12612.2</v>
      </c>
      <c r="F1825">
        <v>2.092</v>
      </c>
      <c r="G1825">
        <v>0</v>
      </c>
      <c r="H1825">
        <v>2.638472</v>
      </c>
      <c r="I1825">
        <v>2.644419</v>
      </c>
      <c r="J1825">
        <v>-0.005947</v>
      </c>
      <c r="K1825" s="4">
        <f t="shared" si="84"/>
        <v>-0.00224888718467081</v>
      </c>
      <c r="L1825" s="4">
        <f t="shared" si="85"/>
        <v>0</v>
      </c>
      <c r="M1825" s="18">
        <f t="shared" si="86"/>
        <v>0</v>
      </c>
    </row>
    <row r="1826" spans="1:13">
      <c r="A1826" t="s">
        <v>13</v>
      </c>
      <c r="B1826" t="s">
        <v>3661</v>
      </c>
      <c r="C1826" t="s">
        <v>3662</v>
      </c>
      <c r="D1826">
        <v>10609</v>
      </c>
      <c r="E1826">
        <v>11009</v>
      </c>
      <c r="F1826">
        <v>1.898</v>
      </c>
      <c r="G1826">
        <v>-400</v>
      </c>
      <c r="H1826">
        <v>2.089508</v>
      </c>
      <c r="I1826">
        <v>2.019051</v>
      </c>
      <c r="J1826">
        <v>0.070457</v>
      </c>
      <c r="K1826" s="4">
        <f t="shared" si="84"/>
        <v>0.0348960972258749</v>
      </c>
      <c r="L1826" s="4">
        <f t="shared" si="85"/>
        <v>-0.0363339086202198</v>
      </c>
      <c r="M1826" s="18">
        <f t="shared" si="86"/>
        <v>-0.07592</v>
      </c>
    </row>
    <row r="1828" spans="1:13">
      <c r="A1828" t="s">
        <v>3663</v>
      </c>
      <c r="B1828" t="s">
        <v>3664</v>
      </c>
      <c r="C1828" t="s">
        <v>3665</v>
      </c>
    </row>
    <row r="1829" spans="1:13">
      <c r="A1829" t="s">
        <v>3663</v>
      </c>
      <c r="B1829" t="s">
        <v>3666</v>
      </c>
      <c r="C1829" t="s">
        <v>3667</v>
      </c>
    </row>
    <row r="1830" spans="1:13">
      <c r="A1830" t="s">
        <v>3663</v>
      </c>
      <c r="B1830" t="s">
        <v>3668</v>
      </c>
      <c r="C1830" t="s">
        <v>3669</v>
      </c>
    </row>
    <row r="1832" spans="1:13">
      <c r="A1832" t="s">
        <v>3670</v>
      </c>
      <c r="B1832" t="s">
        <v>3664</v>
      </c>
      <c r="C1832" t="s">
        <v>3665</v>
      </c>
    </row>
    <row r="1833" spans="1:13">
      <c r="A1833" t="s">
        <v>3670</v>
      </c>
      <c r="B1833" t="s">
        <v>3666</v>
      </c>
      <c r="C1833" t="s">
        <v>3667</v>
      </c>
    </row>
    <row r="1834" spans="1:13">
      <c r="A1834" t="s">
        <v>3670</v>
      </c>
      <c r="B1834" t="s">
        <v>3668</v>
      </c>
      <c r="C1834" t="s">
        <v>3669</v>
      </c>
    </row>
    <row r="1836" spans="1:13">
      <c r="A1836" t="s">
        <v>3670</v>
      </c>
      <c r="B1836" t="s">
        <v>3664</v>
      </c>
      <c r="C1836" t="s">
        <v>3665</v>
      </c>
    </row>
    <row r="1837" spans="1:13">
      <c r="A1837" t="s">
        <v>3670</v>
      </c>
      <c r="B1837" t="s">
        <v>3666</v>
      </c>
      <c r="C1837" t="s">
        <v>3667</v>
      </c>
    </row>
    <row r="1838" spans="1:13">
      <c r="A1838" t="s">
        <v>3670</v>
      </c>
      <c r="B1838" t="s">
        <v>3668</v>
      </c>
      <c r="C1838" t="s">
        <v>3669</v>
      </c>
    </row>
    <row r="1840" spans="1:13">
      <c r="A1840" t="s">
        <v>3670</v>
      </c>
      <c r="B1840" t="s">
        <v>3664</v>
      </c>
      <c r="C1840" t="s">
        <v>3665</v>
      </c>
    </row>
    <row r="1841" spans="1:13">
      <c r="A1841" t="s">
        <v>3670</v>
      </c>
      <c r="B1841" t="s">
        <v>3666</v>
      </c>
      <c r="C1841" t="s">
        <v>3667</v>
      </c>
    </row>
    <row r="1842" spans="1:13">
      <c r="A1842" t="s">
        <v>3670</v>
      </c>
      <c r="B1842" t="s">
        <v>3668</v>
      </c>
      <c r="C1842" t="s">
        <v>3669</v>
      </c>
    </row>
    <row r="1844" spans="1:13">
      <c r="A1844" t="s">
        <v>3670</v>
      </c>
      <c r="B1844" t="s">
        <v>3664</v>
      </c>
      <c r="C1844" t="s">
        <v>3665</v>
      </c>
    </row>
    <row r="1845" spans="1:13">
      <c r="A1845" t="s">
        <v>3670</v>
      </c>
      <c r="B1845" t="s">
        <v>3666</v>
      </c>
      <c r="C1845" t="s">
        <v>3667</v>
      </c>
    </row>
    <row r="1846" spans="1:13">
      <c r="A1846" t="s">
        <v>3670</v>
      </c>
      <c r="B1846" t="s">
        <v>3668</v>
      </c>
      <c r="C1846" t="s">
        <v>3669</v>
      </c>
    </row>
    <row r="1848" spans="1:13">
      <c r="A1848" t="s">
        <v>3670</v>
      </c>
      <c r="B1848" t="s">
        <v>3664</v>
      </c>
      <c r="C1848" t="s">
        <v>3665</v>
      </c>
      <c r="D1848">
        <v>291906732.7</v>
      </c>
      <c r="H1848">
        <v>45790.8305</v>
      </c>
      <c r="J1848">
        <v>99.429</v>
      </c>
    </row>
    <row r="1849" spans="1:13">
      <c r="A1849" t="s">
        <v>3670</v>
      </c>
      <c r="B1849" t="s">
        <v>3671</v>
      </c>
      <c r="C1849" t="s">
        <v>3667</v>
      </c>
      <c r="D1849">
        <v>183535526.46</v>
      </c>
      <c r="H1849">
        <v>29955.4573</v>
      </c>
      <c r="J1849">
        <v>105.7634</v>
      </c>
    </row>
    <row r="1850" spans="1:13">
      <c r="A1850" t="s">
        <v>3670</v>
      </c>
      <c r="B1850" t="s">
        <v>3672</v>
      </c>
      <c r="C1850" t="s">
        <v>3669</v>
      </c>
      <c r="D1850">
        <v>108371206.24</v>
      </c>
      <c r="H1850">
        <v>15835.3733</v>
      </c>
      <c r="J1850">
        <v>-6.3344</v>
      </c>
    </row>
    <row r="1852" spans="1:13">
      <c r="A1852" t="s">
        <v>3673</v>
      </c>
      <c r="B1852" t="s">
        <v>3664</v>
      </c>
      <c r="C1852" t="s">
        <v>3665</v>
      </c>
      <c r="D1852">
        <v>290431146.25</v>
      </c>
      <c r="H1852">
        <v>46378.9066</v>
      </c>
      <c r="J1852">
        <v>-66.3428</v>
      </c>
    </row>
    <row r="1853" spans="1:13">
      <c r="A1853" t="s">
        <v>3673</v>
      </c>
      <c r="B1853" t="s">
        <v>3671</v>
      </c>
      <c r="C1853" t="s">
        <v>3667</v>
      </c>
      <c r="D1853">
        <v>182672354.06</v>
      </c>
      <c r="H1853">
        <v>30609.8762</v>
      </c>
      <c r="J1853">
        <v>0</v>
      </c>
    </row>
    <row r="1854" spans="1:13">
      <c r="A1854" t="s">
        <v>3673</v>
      </c>
      <c r="B1854" t="s">
        <v>3672</v>
      </c>
      <c r="C1854" t="s">
        <v>3669</v>
      </c>
      <c r="D1854">
        <v>107758792.19</v>
      </c>
      <c r="H1854">
        <v>15769.0304</v>
      </c>
      <c r="J1854">
        <v>-66.3428</v>
      </c>
    </row>
    <row r="1855" spans="1:13">
      <c r="A1855" t="s">
        <v>13</v>
      </c>
      <c r="B1855" t="s">
        <v>3674</v>
      </c>
      <c r="C1855" t="s">
        <v>3675</v>
      </c>
      <c r="D1855">
        <v>26646.1422</v>
      </c>
      <c r="F1855">
        <v>0.9993</v>
      </c>
      <c r="H1855">
        <v>2.662749</v>
      </c>
      <c r="K1855" s="4" t="str">
        <f>IFERROR(J1855/I1855,"")</f>
        <v/>
      </c>
      <c r="L1855" s="4" t="str">
        <f>IFERROR((D1855-E1855)/E1855,"")</f>
        <v/>
      </c>
      <c r="M1855" s="18">
        <f>IFERROR(F1855*G1855/10000,"")</f>
        <v>0</v>
      </c>
    </row>
    <row r="1856" spans="1:13">
      <c r="A1856" t="s">
        <v>13</v>
      </c>
      <c r="B1856" t="s">
        <v>3676</v>
      </c>
      <c r="C1856" t="s">
        <v>3677</v>
      </c>
      <c r="D1856">
        <v>10820.1256</v>
      </c>
      <c r="F1856">
        <v>1.0132</v>
      </c>
      <c r="H1856">
        <v>1.096295</v>
      </c>
      <c r="K1856" s="4" t="str">
        <f>IFERROR(J1856/I1856,"")</f>
        <v/>
      </c>
      <c r="L1856" s="4" t="str">
        <f>IFERROR((D1856-E1856)/E1856,"")</f>
        <v/>
      </c>
      <c r="M1856" s="18">
        <f>IFERROR(F1856*G1856/10000,"")</f>
        <v>0</v>
      </c>
    </row>
    <row r="1857" spans="1:13">
      <c r="A1857" t="s">
        <v>13</v>
      </c>
      <c r="B1857" t="s">
        <v>3678</v>
      </c>
      <c r="C1857" t="s">
        <v>3679</v>
      </c>
      <c r="D1857">
        <v>25591.1738</v>
      </c>
      <c r="F1857">
        <v>1.0435</v>
      </c>
      <c r="H1857">
        <v>2.670439</v>
      </c>
      <c r="K1857" s="4" t="str">
        <f>IFERROR(J1857/I1857,"")</f>
        <v/>
      </c>
      <c r="L1857" s="4" t="str">
        <f>IFERROR((D1857-E1857)/E1857,"")</f>
        <v/>
      </c>
      <c r="M1857" s="18">
        <f>IFERROR(F1857*G1857/10000,"")</f>
        <v>0</v>
      </c>
    </row>
    <row r="1859" spans="1:13">
      <c r="A1859" t="s">
        <v>13</v>
      </c>
      <c r="B1859" t="s">
        <v>3664</v>
      </c>
      <c r="C1859" t="s">
        <v>3680</v>
      </c>
      <c r="D1859">
        <v>289331263.39</v>
      </c>
      <c r="H1859">
        <v>46186.4407</v>
      </c>
      <c r="J1859">
        <v>-110.8157</v>
      </c>
    </row>
    <row r="1860" spans="1:13">
      <c r="A1860" t="s">
        <v>13</v>
      </c>
      <c r="B1860" t="s">
        <v>3671</v>
      </c>
      <c r="C1860" t="s">
        <v>3667</v>
      </c>
      <c r="D1860">
        <v>181971481.56</v>
      </c>
      <c r="H1860">
        <v>30385.3645</v>
      </c>
      <c r="J1860">
        <v>-136.432</v>
      </c>
    </row>
    <row r="1861" spans="1:13">
      <c r="A1861" t="s">
        <v>13</v>
      </c>
      <c r="B1861" t="s">
        <v>3672</v>
      </c>
      <c r="C1861" t="s">
        <v>3681</v>
      </c>
      <c r="D1861">
        <v>107359781.83</v>
      </c>
      <c r="H1861">
        <v>15801.0762</v>
      </c>
      <c r="J1861">
        <v>25.6163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7"/>
  <sheetViews>
    <sheetView topLeftCell="A27" workbookViewId="0">
      <selection activeCell="A38" sqref="A38:I67"/>
    </sheetView>
  </sheetViews>
  <sheetFormatPr defaultColWidth="9" defaultRowHeight="13.5"/>
  <cols>
    <col min="1" max="1" width="10" style="2" customWidth="1"/>
    <col min="2" max="2" width="22" style="2" customWidth="1"/>
    <col min="3" max="3" width="14" style="2" customWidth="1"/>
    <col min="4" max="4" width="10" customWidth="1"/>
    <col min="5" max="5" width="22" customWidth="1"/>
    <col min="6" max="6" width="14" customWidth="1"/>
    <col min="7" max="7" width="10" style="2" customWidth="1"/>
    <col min="8" max="8" width="22" style="2" customWidth="1"/>
    <col min="9" max="9" width="14" style="3" customWidth="1"/>
    <col min="10" max="12" width="20.625" customWidth="1"/>
    <col min="13" max="13" width="20.625" style="4" customWidth="1"/>
  </cols>
  <sheetData>
    <row r="1" ht="22" customHeight="1" spans="1:9">
      <c r="A1" s="5" t="s">
        <v>13</v>
      </c>
    </row>
    <row r="2" s="1" customFormat="1" ht="12" customHeight="1" spans="1:9">
      <c r="A2" s="6" t="s">
        <v>3682</v>
      </c>
      <c r="D2" s="6" t="s">
        <v>3683</v>
      </c>
      <c r="G2" s="6" t="s">
        <v>3684</v>
      </c>
    </row>
    <row r="3" spans="1:9">
      <c r="A3" s="7" t="s">
        <v>1</v>
      </c>
      <c r="B3" s="7" t="s">
        <v>2</v>
      </c>
      <c r="C3" s="7" t="s">
        <v>11</v>
      </c>
      <c r="D3" s="7" t="s">
        <v>1</v>
      </c>
      <c r="E3" s="7" t="s">
        <v>2</v>
      </c>
      <c r="F3" s="7" t="s">
        <v>3685</v>
      </c>
      <c r="G3" s="7" t="s">
        <v>1</v>
      </c>
      <c r="H3" s="7" t="s">
        <v>2</v>
      </c>
      <c r="I3" s="7" t="s">
        <v>3686</v>
      </c>
    </row>
    <row r="4" spans="1:9">
      <c r="A4" s="8" t="s">
        <v>234</v>
      </c>
      <c r="B4" s="9" t="s">
        <v>235</v>
      </c>
      <c r="C4" s="10">
        <v>0.284750038224407</v>
      </c>
      <c r="D4" s="8" t="s">
        <v>636</v>
      </c>
      <c r="E4" s="9" t="s">
        <v>637</v>
      </c>
      <c r="F4" s="11">
        <v>35.347396</v>
      </c>
      <c r="G4" s="8" t="s">
        <v>2058</v>
      </c>
      <c r="H4" s="9" t="s">
        <v>2059</v>
      </c>
      <c r="I4" s="10">
        <v>0.342296280128905</v>
      </c>
    </row>
    <row r="5" spans="1:9">
      <c r="A5" s="8" t="s">
        <v>2032</v>
      </c>
      <c r="B5" s="9" t="s">
        <v>2033</v>
      </c>
      <c r="C5" s="10">
        <v>0.201818159475103</v>
      </c>
      <c r="D5" s="8" t="s">
        <v>2513</v>
      </c>
      <c r="E5" s="9" t="s">
        <v>2514</v>
      </c>
      <c r="F5" s="11">
        <v>17.521098</v>
      </c>
      <c r="G5" s="8" t="s">
        <v>234</v>
      </c>
      <c r="H5" s="9" t="s">
        <v>235</v>
      </c>
      <c r="I5" s="10">
        <v>0.280332572372687</v>
      </c>
    </row>
    <row r="6" spans="1:9">
      <c r="A6" s="8" t="s">
        <v>2058</v>
      </c>
      <c r="B6" s="9" t="s">
        <v>2059</v>
      </c>
      <c r="C6" s="10">
        <v>0.189812332439678</v>
      </c>
      <c r="D6" s="8" t="s">
        <v>3405</v>
      </c>
      <c r="E6" s="9" t="s">
        <v>3406</v>
      </c>
      <c r="F6" s="11">
        <v>13.769601</v>
      </c>
      <c r="G6" s="8" t="s">
        <v>3391</v>
      </c>
      <c r="H6" s="9" t="s">
        <v>3392</v>
      </c>
      <c r="I6" s="10">
        <v>0.210629284281846</v>
      </c>
    </row>
    <row r="7" spans="1:9">
      <c r="A7" s="8" t="s">
        <v>174</v>
      </c>
      <c r="B7" s="9" t="s">
        <v>175</v>
      </c>
      <c r="C7" s="10">
        <v>0.171459515462153</v>
      </c>
      <c r="D7" s="8" t="s">
        <v>2903</v>
      </c>
      <c r="E7" s="9" t="s">
        <v>2904</v>
      </c>
      <c r="F7" s="11">
        <v>12.724294</v>
      </c>
      <c r="G7" s="8" t="s">
        <v>174</v>
      </c>
      <c r="H7" s="9" t="s">
        <v>175</v>
      </c>
      <c r="I7" s="10">
        <v>0.204788620597103</v>
      </c>
    </row>
    <row r="8" spans="1:9">
      <c r="A8" s="8" t="s">
        <v>3559</v>
      </c>
      <c r="B8" s="9" t="s">
        <v>3560</v>
      </c>
      <c r="C8" s="10">
        <v>0.150865472786462</v>
      </c>
      <c r="D8" s="8" t="s">
        <v>3429</v>
      </c>
      <c r="E8" s="9" t="s">
        <v>3430</v>
      </c>
      <c r="F8" s="11">
        <v>11.679383</v>
      </c>
      <c r="G8" s="8" t="s">
        <v>490</v>
      </c>
      <c r="H8" s="9" t="s">
        <v>491</v>
      </c>
      <c r="I8" s="10">
        <v>0.174418608807358</v>
      </c>
    </row>
    <row r="9" spans="1:9">
      <c r="A9" s="8" t="s">
        <v>3421</v>
      </c>
      <c r="B9" s="9" t="s">
        <v>3422</v>
      </c>
      <c r="C9" s="10">
        <v>0.13211203100229</v>
      </c>
      <c r="D9" s="8" t="s">
        <v>1366</v>
      </c>
      <c r="E9" s="9" t="s">
        <v>1367</v>
      </c>
      <c r="F9" s="11">
        <v>10.294854</v>
      </c>
      <c r="G9" s="8" t="s">
        <v>3421</v>
      </c>
      <c r="H9" s="9" t="s">
        <v>3422</v>
      </c>
      <c r="I9" s="10">
        <v>0.146414380265368</v>
      </c>
    </row>
    <row r="10" spans="1:9">
      <c r="A10" s="8" t="s">
        <v>1044</v>
      </c>
      <c r="B10" s="9" t="s">
        <v>1045</v>
      </c>
      <c r="C10" s="10">
        <v>0.122995309219856</v>
      </c>
      <c r="D10" s="8" t="s">
        <v>708</v>
      </c>
      <c r="E10" s="9" t="s">
        <v>709</v>
      </c>
      <c r="F10" s="11">
        <v>9.949104</v>
      </c>
      <c r="G10" s="8" t="s">
        <v>636</v>
      </c>
      <c r="H10" s="9" t="s">
        <v>637</v>
      </c>
      <c r="I10" s="10">
        <v>0.143879364022318</v>
      </c>
    </row>
    <row r="11" spans="1:9">
      <c r="A11" s="8" t="s">
        <v>1850</v>
      </c>
      <c r="B11" s="9" t="s">
        <v>1851</v>
      </c>
      <c r="C11" s="10">
        <v>0.114662988505747</v>
      </c>
      <c r="D11" s="8" t="s">
        <v>2401</v>
      </c>
      <c r="E11" s="9" t="s">
        <v>2402</v>
      </c>
      <c r="F11" s="11">
        <v>9.083843</v>
      </c>
      <c r="G11" s="8" t="s">
        <v>494</v>
      </c>
      <c r="H11" s="9" t="s">
        <v>495</v>
      </c>
      <c r="I11" s="10">
        <v>0.141797973463088</v>
      </c>
    </row>
    <row r="12" spans="1:9">
      <c r="A12" s="8" t="s">
        <v>3119</v>
      </c>
      <c r="B12" s="9" t="s">
        <v>3120</v>
      </c>
      <c r="C12" s="10">
        <v>0.105494690979676</v>
      </c>
      <c r="D12" s="8" t="s">
        <v>2090</v>
      </c>
      <c r="E12" s="9" t="s">
        <v>2091</v>
      </c>
      <c r="F12" s="11">
        <v>7.463702</v>
      </c>
      <c r="G12" s="8" t="s">
        <v>3527</v>
      </c>
      <c r="H12" s="9" t="s">
        <v>3528</v>
      </c>
      <c r="I12" s="10">
        <v>0.125472484109586</v>
      </c>
    </row>
    <row r="13" spans="1:9">
      <c r="A13" s="8" t="s">
        <v>490</v>
      </c>
      <c r="B13" s="9" t="s">
        <v>491</v>
      </c>
      <c r="C13" s="10">
        <v>0.100940197374424</v>
      </c>
      <c r="D13" s="8" t="s">
        <v>2058</v>
      </c>
      <c r="E13" s="9" t="s">
        <v>2059</v>
      </c>
      <c r="F13" s="11">
        <v>6.983629</v>
      </c>
      <c r="G13" s="8" t="s">
        <v>1044</v>
      </c>
      <c r="H13" s="9" t="s">
        <v>1045</v>
      </c>
      <c r="I13" s="10">
        <v>0.121804337672181</v>
      </c>
    </row>
    <row r="14" spans="1:9">
      <c r="A14" s="8" t="s">
        <v>2991</v>
      </c>
      <c r="B14" s="9" t="s">
        <v>2992</v>
      </c>
      <c r="C14" s="10">
        <v>0.0957957842887947</v>
      </c>
      <c r="D14" s="8" t="s">
        <v>1256</v>
      </c>
      <c r="E14" s="9" t="s">
        <v>1257</v>
      </c>
      <c r="F14" s="11">
        <v>6.766875</v>
      </c>
      <c r="G14" s="8" t="s">
        <v>708</v>
      </c>
      <c r="H14" s="9" t="s">
        <v>709</v>
      </c>
      <c r="I14" s="10">
        <v>0.119555980291891</v>
      </c>
    </row>
    <row r="15" spans="1:9">
      <c r="A15" s="8" t="s">
        <v>1736</v>
      </c>
      <c r="B15" s="9" t="s">
        <v>1737</v>
      </c>
      <c r="C15" s="10">
        <v>0.0926830101053997</v>
      </c>
      <c r="D15" s="8" t="s">
        <v>2168</v>
      </c>
      <c r="E15" s="9" t="s">
        <v>2169</v>
      </c>
      <c r="F15" s="11">
        <v>5.321203</v>
      </c>
      <c r="G15" s="8" t="s">
        <v>688</v>
      </c>
      <c r="H15" s="9" t="s">
        <v>689</v>
      </c>
      <c r="I15" s="10">
        <v>0.118807857033111</v>
      </c>
    </row>
    <row r="16" spans="1:9">
      <c r="A16" s="8" t="s">
        <v>3403</v>
      </c>
      <c r="B16" s="9" t="s">
        <v>3404</v>
      </c>
      <c r="C16" s="10">
        <v>0.0891384766234345</v>
      </c>
      <c r="D16" s="8" t="s">
        <v>3389</v>
      </c>
      <c r="E16" s="9" t="s">
        <v>3390</v>
      </c>
      <c r="F16" s="11">
        <v>5.180711</v>
      </c>
      <c r="G16" s="8" t="s">
        <v>198</v>
      </c>
      <c r="H16" s="9" t="s">
        <v>199</v>
      </c>
      <c r="I16" s="10">
        <v>0.11795366438766</v>
      </c>
    </row>
    <row r="17" spans="1:9">
      <c r="A17" s="8" t="s">
        <v>3501</v>
      </c>
      <c r="B17" s="9" t="s">
        <v>3502</v>
      </c>
      <c r="C17" s="10">
        <v>0.0839379622151991</v>
      </c>
      <c r="D17" s="8" t="s">
        <v>2076</v>
      </c>
      <c r="E17" s="9" t="s">
        <v>2077</v>
      </c>
      <c r="F17" s="11">
        <v>5.061698</v>
      </c>
      <c r="G17" s="8" t="s">
        <v>3469</v>
      </c>
      <c r="H17" s="9" t="s">
        <v>3470</v>
      </c>
      <c r="I17" s="10">
        <v>0.116652867322701</v>
      </c>
    </row>
    <row r="18" spans="1:9">
      <c r="A18" s="8" t="s">
        <v>2917</v>
      </c>
      <c r="B18" s="9" t="s">
        <v>2918</v>
      </c>
      <c r="C18" s="10">
        <v>0.0827763009835137</v>
      </c>
      <c r="D18" s="8" t="s">
        <v>1306</v>
      </c>
      <c r="E18" s="9" t="s">
        <v>1307</v>
      </c>
      <c r="F18" s="11">
        <v>4.640695</v>
      </c>
      <c r="G18" s="8" t="s">
        <v>3453</v>
      </c>
      <c r="H18" s="9" t="s">
        <v>3454</v>
      </c>
      <c r="I18" s="10">
        <v>0.116128283019675</v>
      </c>
    </row>
    <row r="19" spans="1:9">
      <c r="A19" s="8" t="s">
        <v>3117</v>
      </c>
      <c r="B19" s="9" t="s">
        <v>3118</v>
      </c>
      <c r="C19" s="10">
        <v>0.0771505722000771</v>
      </c>
      <c r="D19" s="8" t="s">
        <v>1056</v>
      </c>
      <c r="E19" s="9" t="s">
        <v>1057</v>
      </c>
      <c r="F19" s="11">
        <v>4.498623</v>
      </c>
      <c r="G19" s="8" t="s">
        <v>2917</v>
      </c>
      <c r="H19" s="9" t="s">
        <v>2918</v>
      </c>
      <c r="I19" s="10">
        <v>0.111863818588438</v>
      </c>
    </row>
    <row r="20" spans="1:9">
      <c r="A20" s="8" t="s">
        <v>2961</v>
      </c>
      <c r="B20" s="9" t="s">
        <v>2962</v>
      </c>
      <c r="C20" s="10">
        <v>0.0764212617845059</v>
      </c>
      <c r="D20" s="8" t="s">
        <v>382</v>
      </c>
      <c r="E20" s="9" t="s">
        <v>383</v>
      </c>
      <c r="F20" s="11">
        <v>4.281316</v>
      </c>
      <c r="G20" s="8" t="s">
        <v>1850</v>
      </c>
      <c r="H20" s="9" t="s">
        <v>1851</v>
      </c>
      <c r="I20" s="10">
        <v>0.109988109393579</v>
      </c>
    </row>
    <row r="21" spans="1:9">
      <c r="A21" s="8" t="s">
        <v>3527</v>
      </c>
      <c r="B21" s="9" t="s">
        <v>3528</v>
      </c>
      <c r="C21" s="10">
        <v>0.0724821512702497</v>
      </c>
      <c r="D21" s="8" t="s">
        <v>2272</v>
      </c>
      <c r="E21" s="9" t="s">
        <v>2273</v>
      </c>
      <c r="F21" s="11">
        <v>4.183826</v>
      </c>
      <c r="G21" s="8" t="s">
        <v>3147</v>
      </c>
      <c r="H21" s="9" t="s">
        <v>3148</v>
      </c>
      <c r="I21" s="10">
        <v>0.103786116426005</v>
      </c>
    </row>
    <row r="22" spans="1:9">
      <c r="A22" s="8" t="s">
        <v>1380</v>
      </c>
      <c r="B22" s="9" t="s">
        <v>1381</v>
      </c>
      <c r="C22" s="10">
        <v>0.0702215914087927</v>
      </c>
      <c r="D22" s="8" t="s">
        <v>992</v>
      </c>
      <c r="E22" s="9" t="s">
        <v>993</v>
      </c>
      <c r="F22" s="11">
        <v>4.135346</v>
      </c>
      <c r="G22" s="8" t="s">
        <v>240</v>
      </c>
      <c r="H22" s="9" t="s">
        <v>241</v>
      </c>
      <c r="I22" s="10">
        <v>0.0981770128652082</v>
      </c>
    </row>
    <row r="23" spans="1:9">
      <c r="A23" s="8" t="s">
        <v>964</v>
      </c>
      <c r="B23" s="9" t="s">
        <v>965</v>
      </c>
      <c r="C23" s="10">
        <v>0.0698239416379153</v>
      </c>
      <c r="D23" s="8" t="s">
        <v>2306</v>
      </c>
      <c r="E23" s="9" t="s">
        <v>2307</v>
      </c>
      <c r="F23" s="11">
        <v>4.052076</v>
      </c>
      <c r="G23" s="8" t="s">
        <v>992</v>
      </c>
      <c r="H23" s="9" t="s">
        <v>993</v>
      </c>
      <c r="I23" s="10">
        <v>0.0923894384762733</v>
      </c>
    </row>
    <row r="24" spans="1:9">
      <c r="A24" s="8" t="s">
        <v>198</v>
      </c>
      <c r="B24" s="9" t="s">
        <v>199</v>
      </c>
      <c r="C24" s="10">
        <v>0.0680071726711635</v>
      </c>
      <c r="D24" s="8" t="s">
        <v>2405</v>
      </c>
      <c r="E24" s="9" t="s">
        <v>2406</v>
      </c>
      <c r="F24" s="11">
        <v>3.805163</v>
      </c>
      <c r="G24" s="8" t="s">
        <v>2036</v>
      </c>
      <c r="H24" s="9" t="s">
        <v>2037</v>
      </c>
      <c r="I24" s="10">
        <v>0.0920436872118928</v>
      </c>
    </row>
    <row r="25" spans="1:9">
      <c r="A25" s="8" t="s">
        <v>636</v>
      </c>
      <c r="B25" s="9" t="s">
        <v>637</v>
      </c>
      <c r="C25" s="10">
        <v>0.0655136417376978</v>
      </c>
      <c r="D25" s="8" t="s">
        <v>514</v>
      </c>
      <c r="E25" s="9" t="s">
        <v>515</v>
      </c>
      <c r="F25" s="11">
        <v>3.764305</v>
      </c>
      <c r="G25" s="8" t="s">
        <v>382</v>
      </c>
      <c r="H25" s="9" t="s">
        <v>383</v>
      </c>
      <c r="I25" s="10">
        <v>0.0898559698955817</v>
      </c>
    </row>
    <row r="26" spans="1:9">
      <c r="A26" s="8" t="s">
        <v>688</v>
      </c>
      <c r="B26" s="9" t="s">
        <v>689</v>
      </c>
      <c r="C26" s="10">
        <v>0.0638395910936297</v>
      </c>
      <c r="D26" s="8" t="s">
        <v>2917</v>
      </c>
      <c r="E26" s="9" t="s">
        <v>2918</v>
      </c>
      <c r="F26" s="11">
        <v>3.621853</v>
      </c>
      <c r="G26" s="8" t="s">
        <v>3567</v>
      </c>
      <c r="H26" s="9" t="s">
        <v>3568</v>
      </c>
      <c r="I26" s="10">
        <v>0.0862997219737301</v>
      </c>
    </row>
    <row r="27" spans="1:9">
      <c r="A27" s="8" t="s">
        <v>3545</v>
      </c>
      <c r="B27" s="9" t="s">
        <v>3546</v>
      </c>
      <c r="C27" s="10">
        <v>0.0637585675575155</v>
      </c>
      <c r="D27" s="8" t="s">
        <v>290</v>
      </c>
      <c r="E27" s="9" t="s">
        <v>291</v>
      </c>
      <c r="F27" s="11">
        <v>3.168507</v>
      </c>
      <c r="G27" s="8" t="s">
        <v>2090</v>
      </c>
      <c r="H27" s="9" t="s">
        <v>2091</v>
      </c>
      <c r="I27" s="10">
        <v>0.0853701281380837</v>
      </c>
    </row>
    <row r="28" spans="1:9">
      <c r="A28" s="8" t="s">
        <v>494</v>
      </c>
      <c r="B28" s="9" t="s">
        <v>495</v>
      </c>
      <c r="C28" s="10">
        <v>0.0634439534473978</v>
      </c>
      <c r="D28" s="8" t="s">
        <v>2060</v>
      </c>
      <c r="E28" s="9" t="s">
        <v>2061</v>
      </c>
      <c r="F28" s="11">
        <v>3.120013</v>
      </c>
      <c r="G28" s="8" t="s">
        <v>2032</v>
      </c>
      <c r="H28" s="9" t="s">
        <v>2033</v>
      </c>
      <c r="I28" s="10">
        <v>0.0848391213953473</v>
      </c>
    </row>
    <row r="29" spans="1:9">
      <c r="A29" s="8" t="s">
        <v>2873</v>
      </c>
      <c r="B29" s="9" t="s">
        <v>2874</v>
      </c>
      <c r="C29" s="10">
        <v>0.062546910182637</v>
      </c>
      <c r="D29" s="8" t="s">
        <v>124</v>
      </c>
      <c r="E29" s="9" t="s">
        <v>125</v>
      </c>
      <c r="F29" s="11">
        <v>3.107142</v>
      </c>
      <c r="G29" s="8" t="s">
        <v>1370</v>
      </c>
      <c r="H29" s="9" t="s">
        <v>1371</v>
      </c>
      <c r="I29" s="10">
        <v>0.0813665845311143</v>
      </c>
    </row>
    <row r="30" spans="1:9">
      <c r="A30" s="8" t="s">
        <v>382</v>
      </c>
      <c r="B30" s="9" t="s">
        <v>383</v>
      </c>
      <c r="C30" s="10">
        <v>0.0600771163364977</v>
      </c>
      <c r="D30" s="8" t="s">
        <v>126</v>
      </c>
      <c r="E30" s="9" t="s">
        <v>127</v>
      </c>
      <c r="F30" s="11">
        <v>3.073158</v>
      </c>
      <c r="G30" s="8" t="s">
        <v>1736</v>
      </c>
      <c r="H30" s="9" t="s">
        <v>1737</v>
      </c>
      <c r="I30" s="10">
        <v>0.0812787656723318</v>
      </c>
    </row>
    <row r="31" spans="1:9">
      <c r="A31" s="8" t="s">
        <v>3093</v>
      </c>
      <c r="B31" s="9" t="s">
        <v>3094</v>
      </c>
      <c r="C31" s="10">
        <v>0.0577621022434594</v>
      </c>
      <c r="D31" s="8" t="s">
        <v>1330</v>
      </c>
      <c r="E31" s="9" t="s">
        <v>1331</v>
      </c>
      <c r="F31" s="11">
        <v>3.02093</v>
      </c>
      <c r="G31" s="8" t="s">
        <v>2220</v>
      </c>
      <c r="H31" s="9" t="s">
        <v>2221</v>
      </c>
      <c r="I31" s="10">
        <v>0.0803945147604044</v>
      </c>
    </row>
    <row r="32" spans="1:9">
      <c r="A32" s="8" t="s">
        <v>2036</v>
      </c>
      <c r="B32" s="9" t="s">
        <v>2037</v>
      </c>
      <c r="C32" s="10">
        <v>0.0574477130065452</v>
      </c>
      <c r="D32" s="8" t="s">
        <v>522</v>
      </c>
      <c r="E32" s="9" t="s">
        <v>523</v>
      </c>
      <c r="F32" s="11">
        <v>2.843699</v>
      </c>
      <c r="G32" s="8" t="s">
        <v>3561</v>
      </c>
      <c r="H32" s="9" t="s">
        <v>3562</v>
      </c>
      <c r="I32" s="10">
        <v>0.0740745563080863</v>
      </c>
    </row>
    <row r="33" spans="1:9">
      <c r="A33" s="8" t="s">
        <v>880</v>
      </c>
      <c r="B33" s="9" t="s">
        <v>881</v>
      </c>
      <c r="C33" s="10">
        <v>0.0551304122766166</v>
      </c>
      <c r="D33" s="8" t="s">
        <v>602</v>
      </c>
      <c r="E33" s="9" t="s">
        <v>603</v>
      </c>
      <c r="F33" s="11">
        <v>2.797217</v>
      </c>
      <c r="G33" s="8" t="s">
        <v>678</v>
      </c>
      <c r="H33" s="9" t="s">
        <v>679</v>
      </c>
      <c r="I33" s="10">
        <v>0.0737351363954302</v>
      </c>
    </row>
    <row r="36" ht="15" customHeight="1" spans="1:9">
      <c r="A36" s="6" t="s">
        <v>3687</v>
      </c>
      <c r="D36" s="6" t="s">
        <v>3688</v>
      </c>
      <c r="G36" s="6" t="s">
        <v>3689</v>
      </c>
    </row>
    <row r="37" spans="1:9">
      <c r="A37" s="7" t="s">
        <v>1</v>
      </c>
      <c r="B37" s="7" t="s">
        <v>2</v>
      </c>
      <c r="C37" s="7" t="s">
        <v>11</v>
      </c>
      <c r="D37" s="7" t="s">
        <v>1</v>
      </c>
      <c r="E37" s="7" t="s">
        <v>2</v>
      </c>
      <c r="F37" s="7" t="s">
        <v>3690</v>
      </c>
      <c r="G37" s="7" t="s">
        <v>1</v>
      </c>
      <c r="H37" s="7" t="s">
        <v>2</v>
      </c>
      <c r="I37" s="7" t="s">
        <v>3686</v>
      </c>
    </row>
    <row r="38" spans="1:9">
      <c r="A38" s="12" t="s">
        <v>2012</v>
      </c>
      <c r="B38" s="13" t="s">
        <v>2013</v>
      </c>
      <c r="C38" s="14">
        <v>-0.438975781706123</v>
      </c>
      <c r="D38" s="12" t="s">
        <v>1984</v>
      </c>
      <c r="E38" s="13" t="s">
        <v>1985</v>
      </c>
      <c r="F38" s="15">
        <v>-46.401302</v>
      </c>
      <c r="G38" s="12" t="s">
        <v>3087</v>
      </c>
      <c r="H38" s="13" t="s">
        <v>3088</v>
      </c>
      <c r="I38" s="14">
        <v>-0.342478419755046</v>
      </c>
    </row>
    <row r="39" spans="1:9">
      <c r="A39" s="12" t="s">
        <v>3255</v>
      </c>
      <c r="B39" s="13" t="s">
        <v>3256</v>
      </c>
      <c r="C39" s="14">
        <v>-0.229939923702486</v>
      </c>
      <c r="D39" s="12" t="s">
        <v>1982</v>
      </c>
      <c r="E39" s="13" t="s">
        <v>1983</v>
      </c>
      <c r="F39" s="15">
        <v>-37.000494</v>
      </c>
      <c r="G39" s="12" t="s">
        <v>3487</v>
      </c>
      <c r="H39" s="13" t="s">
        <v>3488</v>
      </c>
      <c r="I39" s="14">
        <v>-0.214501266989173</v>
      </c>
    </row>
    <row r="40" spans="1:9">
      <c r="A40" s="12" t="s">
        <v>3479</v>
      </c>
      <c r="B40" s="13" t="s">
        <v>3480</v>
      </c>
      <c r="C40" s="14">
        <v>-0.203920319591693</v>
      </c>
      <c r="D40" s="12" t="s">
        <v>1262</v>
      </c>
      <c r="E40" s="13" t="s">
        <v>1263</v>
      </c>
      <c r="F40" s="15">
        <v>-19.289962</v>
      </c>
      <c r="G40" s="12" t="s">
        <v>1818</v>
      </c>
      <c r="H40" s="13" t="s">
        <v>1819</v>
      </c>
      <c r="I40" s="14">
        <v>-0.184038625390514</v>
      </c>
    </row>
    <row r="41" spans="1:9">
      <c r="A41" s="12" t="s">
        <v>3611</v>
      </c>
      <c r="B41" s="13" t="s">
        <v>3612</v>
      </c>
      <c r="C41" s="14">
        <v>-0.192428576926531</v>
      </c>
      <c r="D41" s="12" t="s">
        <v>2226</v>
      </c>
      <c r="E41" s="13" t="s">
        <v>2227</v>
      </c>
      <c r="F41" s="15">
        <v>-19.16174</v>
      </c>
      <c r="G41" s="12" t="s">
        <v>738</v>
      </c>
      <c r="H41" s="13" t="s">
        <v>739</v>
      </c>
      <c r="I41" s="14">
        <v>-0.168604462342892</v>
      </c>
    </row>
    <row r="42" spans="1:9">
      <c r="A42" s="12" t="s">
        <v>1818</v>
      </c>
      <c r="B42" s="13" t="s">
        <v>1819</v>
      </c>
      <c r="C42" s="14">
        <v>-0.184214791975048</v>
      </c>
      <c r="D42" s="12" t="s">
        <v>1952</v>
      </c>
      <c r="E42" s="13" t="s">
        <v>1953</v>
      </c>
      <c r="F42" s="15">
        <v>-17.048399</v>
      </c>
      <c r="G42" s="12" t="s">
        <v>88</v>
      </c>
      <c r="H42" s="13" t="s">
        <v>89</v>
      </c>
      <c r="I42" s="14">
        <v>-0.160433587938299</v>
      </c>
    </row>
    <row r="43" spans="1:9">
      <c r="A43" s="12" t="s">
        <v>738</v>
      </c>
      <c r="B43" s="13" t="s">
        <v>739</v>
      </c>
      <c r="C43" s="14">
        <v>-0.175278309090152</v>
      </c>
      <c r="D43" s="12" t="s">
        <v>2100</v>
      </c>
      <c r="E43" s="13" t="s">
        <v>2101</v>
      </c>
      <c r="F43" s="15">
        <v>-13.964015</v>
      </c>
      <c r="G43" s="12" t="s">
        <v>646</v>
      </c>
      <c r="H43" s="13" t="s">
        <v>647</v>
      </c>
      <c r="I43" s="14">
        <v>-0.160152799331503</v>
      </c>
    </row>
    <row r="44" spans="1:9">
      <c r="A44" s="12" t="s">
        <v>3481</v>
      </c>
      <c r="B44" s="13" t="s">
        <v>3482</v>
      </c>
      <c r="C44" s="14">
        <v>-0.171147156603927</v>
      </c>
      <c r="D44" s="12" t="s">
        <v>2094</v>
      </c>
      <c r="E44" s="13" t="s">
        <v>2095</v>
      </c>
      <c r="F44" s="15">
        <v>-13.588643</v>
      </c>
      <c r="G44" s="12" t="s">
        <v>1302</v>
      </c>
      <c r="H44" s="13" t="s">
        <v>1303</v>
      </c>
      <c r="I44" s="14">
        <v>-0.137800424694417</v>
      </c>
    </row>
    <row r="45" spans="1:9">
      <c r="A45" s="12" t="s">
        <v>88</v>
      </c>
      <c r="B45" s="13" t="s">
        <v>89</v>
      </c>
      <c r="C45" s="14">
        <v>-0.165056762426394</v>
      </c>
      <c r="D45" s="12" t="s">
        <v>1988</v>
      </c>
      <c r="E45" s="13" t="s">
        <v>1989</v>
      </c>
      <c r="F45" s="15">
        <v>-11.032414</v>
      </c>
      <c r="G45" s="12" t="s">
        <v>3171</v>
      </c>
      <c r="H45" s="13" t="s">
        <v>3172</v>
      </c>
      <c r="I45" s="14">
        <v>-0.110522521735331</v>
      </c>
    </row>
    <row r="46" spans="1:9">
      <c r="A46" s="12" t="s">
        <v>646</v>
      </c>
      <c r="B46" s="13" t="s">
        <v>647</v>
      </c>
      <c r="C46" s="14">
        <v>-0.164163762108103</v>
      </c>
      <c r="D46" s="12" t="s">
        <v>1190</v>
      </c>
      <c r="E46" s="13" t="s">
        <v>1191</v>
      </c>
      <c r="F46" s="15">
        <v>-8.837372</v>
      </c>
      <c r="G46" s="12" t="s">
        <v>82</v>
      </c>
      <c r="H46" s="13" t="s">
        <v>83</v>
      </c>
      <c r="I46" s="14">
        <v>-0.106817582789675</v>
      </c>
    </row>
    <row r="47" spans="1:9">
      <c r="A47" s="12" t="s">
        <v>3061</v>
      </c>
      <c r="B47" s="13" t="s">
        <v>3062</v>
      </c>
      <c r="C47" s="14">
        <v>-0.149302452157047</v>
      </c>
      <c r="D47" s="12" t="s">
        <v>1072</v>
      </c>
      <c r="E47" s="13" t="s">
        <v>1073</v>
      </c>
      <c r="F47" s="15">
        <v>-8.719097</v>
      </c>
      <c r="G47" s="12" t="s">
        <v>3609</v>
      </c>
      <c r="H47" s="13" t="s">
        <v>3610</v>
      </c>
      <c r="I47" s="14">
        <v>-0.105982024946493</v>
      </c>
    </row>
    <row r="48" spans="1:9">
      <c r="A48" s="12" t="s">
        <v>3485</v>
      </c>
      <c r="B48" s="13" t="s">
        <v>3486</v>
      </c>
      <c r="C48" s="14">
        <v>-0.138258803197235</v>
      </c>
      <c r="D48" s="12" t="s">
        <v>2284</v>
      </c>
      <c r="E48" s="13" t="s">
        <v>2285</v>
      </c>
      <c r="F48" s="15">
        <v>-8.308824</v>
      </c>
      <c r="G48" s="12" t="s">
        <v>28</v>
      </c>
      <c r="H48" s="13" t="s">
        <v>29</v>
      </c>
      <c r="I48" s="14">
        <v>-0.102186385358447</v>
      </c>
    </row>
    <row r="49" spans="1:9">
      <c r="A49" s="12" t="s">
        <v>3077</v>
      </c>
      <c r="B49" s="13" t="s">
        <v>3078</v>
      </c>
      <c r="C49" s="14">
        <v>-0.131690711195686</v>
      </c>
      <c r="D49" s="12" t="s">
        <v>2258</v>
      </c>
      <c r="E49" s="13" t="s">
        <v>2259</v>
      </c>
      <c r="F49" s="15">
        <v>-8.278609</v>
      </c>
      <c r="G49" s="12" t="s">
        <v>3611</v>
      </c>
      <c r="H49" s="13" t="s">
        <v>3612</v>
      </c>
      <c r="I49" s="14">
        <v>-0.0940043480505727</v>
      </c>
    </row>
    <row r="50" spans="1:9">
      <c r="A50" s="12" t="s">
        <v>3599</v>
      </c>
      <c r="B50" s="13" t="s">
        <v>3600</v>
      </c>
      <c r="C50" s="14">
        <v>-0.12678027235572</v>
      </c>
      <c r="D50" s="12" t="s">
        <v>2353</v>
      </c>
      <c r="E50" s="13" t="s">
        <v>2354</v>
      </c>
      <c r="F50" s="15">
        <v>-8.197849</v>
      </c>
      <c r="G50" s="12" t="s">
        <v>666</v>
      </c>
      <c r="H50" s="13" t="s">
        <v>667</v>
      </c>
      <c r="I50" s="14">
        <v>-0.0934771625346794</v>
      </c>
    </row>
    <row r="51" spans="1:9">
      <c r="A51" s="12" t="s">
        <v>1302</v>
      </c>
      <c r="B51" s="13" t="s">
        <v>1303</v>
      </c>
      <c r="C51" s="14">
        <v>-0.126466494403282</v>
      </c>
      <c r="D51" s="12" t="s">
        <v>2266</v>
      </c>
      <c r="E51" s="13" t="s">
        <v>2267</v>
      </c>
      <c r="F51" s="15">
        <v>-7.889668</v>
      </c>
      <c r="G51" s="12" t="s">
        <v>1882</v>
      </c>
      <c r="H51" s="13" t="s">
        <v>1883</v>
      </c>
      <c r="I51" s="14">
        <v>-0.0926327794585861</v>
      </c>
    </row>
    <row r="52" spans="1:9">
      <c r="A52" s="12" t="s">
        <v>2889</v>
      </c>
      <c r="B52" s="13" t="s">
        <v>2890</v>
      </c>
      <c r="C52" s="14">
        <v>-0.116412350454904</v>
      </c>
      <c r="D52" s="12" t="s">
        <v>796</v>
      </c>
      <c r="E52" s="13" t="s">
        <v>797</v>
      </c>
      <c r="F52" s="15">
        <v>-7.170759</v>
      </c>
      <c r="G52" s="12" t="s">
        <v>438</v>
      </c>
      <c r="H52" s="13" t="s">
        <v>439</v>
      </c>
      <c r="I52" s="14">
        <v>-0.0913165794988954</v>
      </c>
    </row>
    <row r="53" spans="1:9">
      <c r="A53" s="12" t="s">
        <v>30</v>
      </c>
      <c r="B53" s="13" t="s">
        <v>31</v>
      </c>
      <c r="C53" s="14">
        <v>-0.103589791424027</v>
      </c>
      <c r="D53" s="12" t="s">
        <v>2310</v>
      </c>
      <c r="E53" s="13" t="s">
        <v>2311</v>
      </c>
      <c r="F53" s="15">
        <v>-6.594254</v>
      </c>
      <c r="G53" s="12" t="s">
        <v>2643</v>
      </c>
      <c r="H53" s="13" t="s">
        <v>2644</v>
      </c>
      <c r="I53" s="14">
        <v>-0.0880286355184591</v>
      </c>
    </row>
    <row r="54" spans="1:9">
      <c r="A54" s="12" t="s">
        <v>438</v>
      </c>
      <c r="B54" s="13" t="s">
        <v>439</v>
      </c>
      <c r="C54" s="14">
        <v>-0.102788719636983</v>
      </c>
      <c r="D54" s="12" t="s">
        <v>1296</v>
      </c>
      <c r="E54" s="13" t="s">
        <v>1297</v>
      </c>
      <c r="F54" s="15">
        <v>-6.520289</v>
      </c>
      <c r="G54" s="12" t="s">
        <v>2138</v>
      </c>
      <c r="H54" s="13" t="s">
        <v>2139</v>
      </c>
      <c r="I54" s="14">
        <v>-0.0840005841259887</v>
      </c>
    </row>
    <row r="55" spans="1:9">
      <c r="A55" s="12" t="s">
        <v>3609</v>
      </c>
      <c r="B55" s="13" t="s">
        <v>3610</v>
      </c>
      <c r="C55" s="14">
        <v>-0.101423307075966</v>
      </c>
      <c r="D55" s="12" t="s">
        <v>2274</v>
      </c>
      <c r="E55" s="13" t="s">
        <v>2275</v>
      </c>
      <c r="F55" s="15">
        <v>-6.112291</v>
      </c>
      <c r="G55" s="12" t="s">
        <v>684</v>
      </c>
      <c r="H55" s="13" t="s">
        <v>685</v>
      </c>
      <c r="I55" s="14">
        <v>-0.0839206961467069</v>
      </c>
    </row>
    <row r="56" spans="1:9">
      <c r="A56" s="12" t="s">
        <v>82</v>
      </c>
      <c r="B56" s="13" t="s">
        <v>83</v>
      </c>
      <c r="C56" s="14">
        <v>-0.0995996606579802</v>
      </c>
      <c r="D56" s="12" t="s">
        <v>2340</v>
      </c>
      <c r="E56" s="13" t="s">
        <v>2341</v>
      </c>
      <c r="F56" s="15">
        <v>-6.097346</v>
      </c>
      <c r="G56" s="12" t="s">
        <v>3101</v>
      </c>
      <c r="H56" s="13" t="s">
        <v>3102</v>
      </c>
      <c r="I56" s="14">
        <v>-0.0820452901406708</v>
      </c>
    </row>
    <row r="57" spans="1:9">
      <c r="A57" s="12" t="s">
        <v>2811</v>
      </c>
      <c r="B57" s="13" t="s">
        <v>2812</v>
      </c>
      <c r="C57" s="14">
        <v>-0.099059411079914</v>
      </c>
      <c r="D57" s="12" t="s">
        <v>2114</v>
      </c>
      <c r="E57" s="13" t="s">
        <v>2115</v>
      </c>
      <c r="F57" s="15">
        <v>-6.018819</v>
      </c>
      <c r="G57" s="12" t="s">
        <v>744</v>
      </c>
      <c r="H57" s="13" t="s">
        <v>745</v>
      </c>
      <c r="I57" s="14">
        <v>-0.0813416705264783</v>
      </c>
    </row>
    <row r="58" spans="1:9">
      <c r="A58" s="12" t="s">
        <v>666</v>
      </c>
      <c r="B58" s="13" t="s">
        <v>667</v>
      </c>
      <c r="C58" s="14">
        <v>-0.0956134006005478</v>
      </c>
      <c r="D58" s="12" t="s">
        <v>2761</v>
      </c>
      <c r="E58" s="13" t="s">
        <v>2762</v>
      </c>
      <c r="F58" s="15">
        <v>-5.947479</v>
      </c>
      <c r="G58" s="12" t="s">
        <v>30</v>
      </c>
      <c r="H58" s="13" t="s">
        <v>31</v>
      </c>
      <c r="I58" s="14">
        <v>-0.0785984116763254</v>
      </c>
    </row>
    <row r="59" spans="1:9">
      <c r="A59" s="12" t="s">
        <v>3425</v>
      </c>
      <c r="B59" s="13" t="s">
        <v>3426</v>
      </c>
      <c r="C59" s="14">
        <v>-0.0937653101170425</v>
      </c>
      <c r="D59" s="12" t="s">
        <v>2250</v>
      </c>
      <c r="E59" s="13" t="s">
        <v>2251</v>
      </c>
      <c r="F59" s="15">
        <v>-5.135054</v>
      </c>
      <c r="G59" s="12" t="s">
        <v>702</v>
      </c>
      <c r="H59" s="13" t="s">
        <v>703</v>
      </c>
      <c r="I59" s="14">
        <v>-0.0785299290154448</v>
      </c>
    </row>
    <row r="60" spans="1:9">
      <c r="A60" s="12" t="s">
        <v>1882</v>
      </c>
      <c r="B60" s="13" t="s">
        <v>1883</v>
      </c>
      <c r="C60" s="14">
        <v>-0.0930282718137337</v>
      </c>
      <c r="D60" s="12" t="s">
        <v>2228</v>
      </c>
      <c r="E60" s="13" t="s">
        <v>2229</v>
      </c>
      <c r="F60" s="15">
        <v>-4.812928</v>
      </c>
      <c r="G60" s="12" t="s">
        <v>2537</v>
      </c>
      <c r="H60" s="13" t="s">
        <v>2538</v>
      </c>
      <c r="I60" s="14">
        <v>-0.0779395904559359</v>
      </c>
    </row>
    <row r="61" spans="1:9">
      <c r="A61" s="12" t="s">
        <v>744</v>
      </c>
      <c r="B61" s="13" t="s">
        <v>745</v>
      </c>
      <c r="C61" s="14">
        <v>-0.0909139217442963</v>
      </c>
      <c r="D61" s="12" t="s">
        <v>730</v>
      </c>
      <c r="E61" s="13" t="s">
        <v>731</v>
      </c>
      <c r="F61" s="15">
        <v>-4.090427</v>
      </c>
      <c r="G61" s="12" t="s">
        <v>2949</v>
      </c>
      <c r="H61" s="13" t="s">
        <v>2950</v>
      </c>
      <c r="I61" s="14">
        <v>-0.0767925558747139</v>
      </c>
    </row>
    <row r="62" spans="1:9">
      <c r="A62" s="12" t="s">
        <v>28</v>
      </c>
      <c r="B62" s="13" t="s">
        <v>29</v>
      </c>
      <c r="C62" s="14">
        <v>-0.0897921302389463</v>
      </c>
      <c r="D62" s="12" t="s">
        <v>2433</v>
      </c>
      <c r="E62" s="13" t="s">
        <v>2434</v>
      </c>
      <c r="F62" s="15">
        <v>-3.992029</v>
      </c>
      <c r="G62" s="12" t="s">
        <v>2048</v>
      </c>
      <c r="H62" s="13" t="s">
        <v>2049</v>
      </c>
      <c r="I62" s="14">
        <v>-0.0754869528307607</v>
      </c>
    </row>
    <row r="63" spans="1:9">
      <c r="A63" s="12" t="s">
        <v>2673</v>
      </c>
      <c r="B63" s="13" t="s">
        <v>2674</v>
      </c>
      <c r="C63" s="14">
        <v>-0.0890111874346721</v>
      </c>
      <c r="D63" s="12" t="s">
        <v>2389</v>
      </c>
      <c r="E63" s="13" t="s">
        <v>2390</v>
      </c>
      <c r="F63" s="15">
        <v>-3.939563</v>
      </c>
      <c r="G63" s="12" t="s">
        <v>1976</v>
      </c>
      <c r="H63" s="13" t="s">
        <v>1977</v>
      </c>
      <c r="I63" s="14">
        <v>-0.0751185548402566</v>
      </c>
    </row>
    <row r="64" spans="1:9">
      <c r="A64" s="12" t="s">
        <v>3073</v>
      </c>
      <c r="B64" s="13" t="s">
        <v>3074</v>
      </c>
      <c r="C64" s="14">
        <v>-0.0883876328024183</v>
      </c>
      <c r="D64" s="12" t="s">
        <v>624</v>
      </c>
      <c r="E64" s="13" t="s">
        <v>625</v>
      </c>
      <c r="F64" s="15">
        <v>-3.549158</v>
      </c>
      <c r="G64" s="12" t="s">
        <v>2124</v>
      </c>
      <c r="H64" s="13" t="s">
        <v>2125</v>
      </c>
      <c r="I64" s="14">
        <v>-0.0736002513264451</v>
      </c>
    </row>
    <row r="65" spans="1:9">
      <c r="A65" s="12" t="s">
        <v>684</v>
      </c>
      <c r="B65" s="13" t="s">
        <v>685</v>
      </c>
      <c r="C65" s="14">
        <v>-0.0865865505846962</v>
      </c>
      <c r="D65" s="12" t="s">
        <v>2138</v>
      </c>
      <c r="E65" s="13" t="s">
        <v>2139</v>
      </c>
      <c r="F65" s="15">
        <v>-3.424874</v>
      </c>
      <c r="G65" s="12" t="s">
        <v>796</v>
      </c>
      <c r="H65" s="13" t="s">
        <v>797</v>
      </c>
      <c r="I65" s="14">
        <v>-0.0684426856758752</v>
      </c>
    </row>
    <row r="66" spans="1:9">
      <c r="A66" s="12" t="s">
        <v>702</v>
      </c>
      <c r="B66" s="13" t="s">
        <v>703</v>
      </c>
      <c r="C66" s="14">
        <v>-0.0800796418731643</v>
      </c>
      <c r="D66" s="12" t="s">
        <v>2381</v>
      </c>
      <c r="E66" s="13" t="s">
        <v>2382</v>
      </c>
      <c r="F66" s="15">
        <v>-3.176838</v>
      </c>
      <c r="G66" s="12" t="s">
        <v>2381</v>
      </c>
      <c r="H66" s="13" t="s">
        <v>2382</v>
      </c>
      <c r="I66" s="14">
        <v>-0.0683054870895079</v>
      </c>
    </row>
    <row r="67" spans="1:9">
      <c r="A67" s="12" t="s">
        <v>3451</v>
      </c>
      <c r="B67" s="13" t="s">
        <v>3452</v>
      </c>
      <c r="C67" s="14">
        <v>-0.0783353733170135</v>
      </c>
      <c r="D67" s="12" t="s">
        <v>2202</v>
      </c>
      <c r="E67" s="13" t="s">
        <v>2203</v>
      </c>
      <c r="F67" s="15">
        <v>-3.116641</v>
      </c>
      <c r="G67" s="12" t="s">
        <v>1952</v>
      </c>
      <c r="H67" s="13" t="s">
        <v>1953</v>
      </c>
      <c r="I67" s="14">
        <v>-0.0678801180124453</v>
      </c>
    </row>
  </sheetData>
  <mergeCells count="11">
    <mergeCell ref="A2:C2"/>
    <mergeCell ref="D2:F2"/>
    <mergeCell ref="G2:I2"/>
    <mergeCell ref="J2:M2"/>
    <mergeCell ref="A36:C36"/>
    <mergeCell ref="D36:F36"/>
    <mergeCell ref="G36:I36"/>
    <mergeCell ref="J36:M36"/>
    <mergeCell ref="A40:C40"/>
    <mergeCell ref="D40:F40"/>
    <mergeCell ref="G40:I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topLeftCell="A13" workbookViewId="0">
      <selection activeCell="A28" sqref="A28:I48"/>
    </sheetView>
  </sheetViews>
  <sheetFormatPr defaultColWidth="9" defaultRowHeight="13.5"/>
  <cols>
    <col min="1" max="1" width="10" style="2" customWidth="1"/>
    <col min="2" max="2" width="22" style="2" customWidth="1"/>
    <col min="3" max="3" width="14" style="2" customWidth="1"/>
    <col min="4" max="4" width="10" customWidth="1"/>
    <col min="5" max="5" width="22" customWidth="1"/>
    <col min="6" max="6" width="14" customWidth="1"/>
    <col min="7" max="7" width="10" style="2" customWidth="1"/>
    <col min="8" max="8" width="22" style="2" customWidth="1"/>
    <col min="9" max="9" width="14" style="3" customWidth="1"/>
    <col min="10" max="12" width="20.625" customWidth="1"/>
    <col min="13" max="13" width="20.625" style="4" customWidth="1"/>
  </cols>
  <sheetData>
    <row r="1" ht="22" customHeight="1" spans="1:9">
      <c r="A1" s="5" t="s">
        <v>13</v>
      </c>
    </row>
    <row r="2" s="1" customFormat="1" ht="12" customHeight="1" spans="1:9">
      <c r="A2" s="6" t="s">
        <v>3691</v>
      </c>
      <c r="D2" s="6" t="s">
        <v>3692</v>
      </c>
      <c r="G2" s="6" t="s">
        <v>3693</v>
      </c>
    </row>
    <row r="3" spans="1:9">
      <c r="A3" s="7" t="s">
        <v>1</v>
      </c>
      <c r="B3" s="7" t="s">
        <v>2</v>
      </c>
      <c r="C3" s="7" t="s">
        <v>11</v>
      </c>
      <c r="D3" s="7" t="s">
        <v>1</v>
      </c>
      <c r="E3" s="7" t="s">
        <v>2</v>
      </c>
      <c r="F3" s="7" t="s">
        <v>3685</v>
      </c>
      <c r="G3" s="7" t="s">
        <v>1</v>
      </c>
      <c r="H3" s="7" t="s">
        <v>2</v>
      </c>
      <c r="I3" s="7" t="s">
        <v>3686</v>
      </c>
    </row>
    <row r="4" spans="1:9">
      <c r="A4" s="8" t="s">
        <v>636</v>
      </c>
      <c r="B4" s="9" t="s">
        <v>637</v>
      </c>
      <c r="C4" s="10">
        <v>0.0655136417376978</v>
      </c>
      <c r="D4" s="8" t="s">
        <v>636</v>
      </c>
      <c r="E4" s="9" t="s">
        <v>637</v>
      </c>
      <c r="F4" s="11">
        <v>35.347396</v>
      </c>
      <c r="G4" s="8" t="s">
        <v>636</v>
      </c>
      <c r="H4" s="9" t="s">
        <v>637</v>
      </c>
      <c r="I4" s="10">
        <v>0.143879364022318</v>
      </c>
    </row>
    <row r="5" spans="1:9">
      <c r="A5" s="8" t="s">
        <v>3423</v>
      </c>
      <c r="B5" s="9" t="s">
        <v>3424</v>
      </c>
      <c r="C5" s="10">
        <v>0.046758077013094</v>
      </c>
      <c r="D5" s="8" t="s">
        <v>2513</v>
      </c>
      <c r="E5" s="9" t="s">
        <v>2514</v>
      </c>
      <c r="F5" s="11">
        <v>17.521098</v>
      </c>
      <c r="G5" s="8" t="s">
        <v>2903</v>
      </c>
      <c r="H5" s="9" t="s">
        <v>2904</v>
      </c>
      <c r="I5" s="10">
        <v>0.0725696330432817</v>
      </c>
    </row>
    <row r="6" spans="1:9">
      <c r="A6" s="8" t="s">
        <v>2044</v>
      </c>
      <c r="B6" s="9" t="s">
        <v>2045</v>
      </c>
      <c r="C6" s="10">
        <v>0.0426599801191806</v>
      </c>
      <c r="D6" s="8" t="s">
        <v>3405</v>
      </c>
      <c r="E6" s="9" t="s">
        <v>3406</v>
      </c>
      <c r="F6" s="11">
        <v>13.769601</v>
      </c>
      <c r="G6" s="8" t="s">
        <v>2401</v>
      </c>
      <c r="H6" s="9" t="s">
        <v>2402</v>
      </c>
      <c r="I6" s="10">
        <v>0.0465884337403577</v>
      </c>
    </row>
    <row r="7" spans="1:9">
      <c r="A7" s="8" t="s">
        <v>3279</v>
      </c>
      <c r="B7" s="9" t="s">
        <v>3280</v>
      </c>
      <c r="C7" s="10">
        <v>0.0274225541366923</v>
      </c>
      <c r="D7" s="8" t="s">
        <v>2903</v>
      </c>
      <c r="E7" s="9" t="s">
        <v>2904</v>
      </c>
      <c r="F7" s="11">
        <v>12.724294</v>
      </c>
      <c r="G7" s="8" t="s">
        <v>2076</v>
      </c>
      <c r="H7" s="9" t="s">
        <v>2077</v>
      </c>
      <c r="I7" s="10">
        <v>0.0463429177493134</v>
      </c>
    </row>
    <row r="8" spans="1:9">
      <c r="A8" s="8" t="s">
        <v>2901</v>
      </c>
      <c r="B8" s="9" t="s">
        <v>2902</v>
      </c>
      <c r="C8" s="10">
        <v>0.0260594595430962</v>
      </c>
      <c r="D8" s="8" t="s">
        <v>3429</v>
      </c>
      <c r="E8" s="9" t="s">
        <v>3430</v>
      </c>
      <c r="F8" s="11">
        <v>11.679383</v>
      </c>
      <c r="G8" s="8" t="s">
        <v>1366</v>
      </c>
      <c r="H8" s="9" t="s">
        <v>1367</v>
      </c>
      <c r="I8" s="10">
        <v>0.0392246884810693</v>
      </c>
    </row>
    <row r="9" spans="1:9">
      <c r="A9" s="8" t="s">
        <v>2909</v>
      </c>
      <c r="B9" s="9" t="s">
        <v>2910</v>
      </c>
      <c r="C9" s="10">
        <v>0.0242152983072696</v>
      </c>
      <c r="D9" s="8" t="s">
        <v>1366</v>
      </c>
      <c r="E9" s="9" t="s">
        <v>1367</v>
      </c>
      <c r="F9" s="11">
        <v>10.294854</v>
      </c>
      <c r="G9" s="8" t="s">
        <v>3405</v>
      </c>
      <c r="H9" s="9" t="s">
        <v>3406</v>
      </c>
      <c r="I9" s="10">
        <v>0.0370949805788006</v>
      </c>
    </row>
    <row r="10" spans="1:9">
      <c r="A10" s="8" t="s">
        <v>2401</v>
      </c>
      <c r="B10" s="9" t="s">
        <v>2402</v>
      </c>
      <c r="C10" s="10">
        <v>0.0201962623983533</v>
      </c>
      <c r="D10" s="8" t="s">
        <v>2401</v>
      </c>
      <c r="E10" s="9" t="s">
        <v>2402</v>
      </c>
      <c r="F10" s="11">
        <v>9.083843</v>
      </c>
      <c r="G10" s="8" t="s">
        <v>2513</v>
      </c>
      <c r="H10" s="9" t="s">
        <v>2514</v>
      </c>
      <c r="I10" s="10">
        <v>0.0369233550563997</v>
      </c>
    </row>
    <row r="11" spans="1:9">
      <c r="A11" s="8" t="s">
        <v>602</v>
      </c>
      <c r="B11" s="9" t="s">
        <v>603</v>
      </c>
      <c r="C11" s="10">
        <v>0.0201075894554818</v>
      </c>
      <c r="D11" s="8" t="s">
        <v>1256</v>
      </c>
      <c r="E11" s="9" t="s">
        <v>1257</v>
      </c>
      <c r="F11" s="11">
        <v>6.766875</v>
      </c>
      <c r="G11" s="8" t="s">
        <v>1056</v>
      </c>
      <c r="H11" s="9" t="s">
        <v>1057</v>
      </c>
      <c r="I11" s="10">
        <v>0.0300815423218577</v>
      </c>
    </row>
    <row r="12" spans="1:9">
      <c r="A12" s="8" t="s">
        <v>2407</v>
      </c>
      <c r="B12" s="9" t="s">
        <v>2408</v>
      </c>
      <c r="C12" s="10">
        <v>0.019225213412977</v>
      </c>
      <c r="D12" s="8" t="s">
        <v>2168</v>
      </c>
      <c r="E12" s="9" t="s">
        <v>2169</v>
      </c>
      <c r="F12" s="11">
        <v>5.321203</v>
      </c>
      <c r="G12" s="8" t="s">
        <v>2306</v>
      </c>
      <c r="H12" s="9" t="s">
        <v>2307</v>
      </c>
      <c r="I12" s="10">
        <v>0.0288429112970411</v>
      </c>
    </row>
    <row r="13" spans="1:9">
      <c r="A13" s="8" t="s">
        <v>2082</v>
      </c>
      <c r="B13" s="9" t="s">
        <v>2083</v>
      </c>
      <c r="C13" s="10">
        <v>0.0186102696543481</v>
      </c>
      <c r="D13" s="8" t="s">
        <v>3389</v>
      </c>
      <c r="E13" s="9" t="s">
        <v>3390</v>
      </c>
      <c r="F13" s="11">
        <v>5.180711</v>
      </c>
      <c r="G13" s="8" t="s">
        <v>2168</v>
      </c>
      <c r="H13" s="9" t="s">
        <v>2169</v>
      </c>
      <c r="I13" s="10">
        <v>0.0266879207625788</v>
      </c>
    </row>
    <row r="14" spans="1:9">
      <c r="A14" s="8" t="s">
        <v>124</v>
      </c>
      <c r="B14" s="9" t="s">
        <v>125</v>
      </c>
      <c r="C14" s="10">
        <v>0.0127829380841776</v>
      </c>
      <c r="D14" s="8" t="s">
        <v>2076</v>
      </c>
      <c r="E14" s="9" t="s">
        <v>2077</v>
      </c>
      <c r="F14" s="11">
        <v>5.061698</v>
      </c>
      <c r="G14" s="8" t="s">
        <v>3059</v>
      </c>
      <c r="H14" s="9" t="s">
        <v>3060</v>
      </c>
      <c r="I14" s="10">
        <v>0.02396795514814</v>
      </c>
    </row>
    <row r="15" spans="1:9">
      <c r="A15" s="8" t="s">
        <v>2066</v>
      </c>
      <c r="B15" s="9" t="s">
        <v>2067</v>
      </c>
      <c r="C15" s="10">
        <v>0.0120454100030968</v>
      </c>
      <c r="D15" s="8" t="s">
        <v>1306</v>
      </c>
      <c r="E15" s="9" t="s">
        <v>1307</v>
      </c>
      <c r="F15" s="11">
        <v>4.640695</v>
      </c>
      <c r="G15" s="8" t="s">
        <v>3429</v>
      </c>
      <c r="H15" s="9" t="s">
        <v>3430</v>
      </c>
      <c r="I15" s="10">
        <v>0.0238456797578776</v>
      </c>
    </row>
    <row r="16" spans="1:9">
      <c r="A16" s="8" t="s">
        <v>2463</v>
      </c>
      <c r="B16" s="9" t="s">
        <v>2464</v>
      </c>
      <c r="C16" s="10">
        <v>0.00901144786268031</v>
      </c>
      <c r="D16" s="8" t="s">
        <v>1056</v>
      </c>
      <c r="E16" s="9" t="s">
        <v>1057</v>
      </c>
      <c r="F16" s="11">
        <v>4.498623</v>
      </c>
      <c r="G16" s="8" t="s">
        <v>2214</v>
      </c>
      <c r="H16" s="9" t="s">
        <v>2215</v>
      </c>
      <c r="I16" s="10">
        <v>0.0236652461120381</v>
      </c>
    </row>
    <row r="17" spans="1:9">
      <c r="A17" s="8" t="s">
        <v>2425</v>
      </c>
      <c r="B17" s="9" t="s">
        <v>2426</v>
      </c>
      <c r="C17" s="10">
        <v>0.00792224913175197</v>
      </c>
      <c r="D17" s="8" t="s">
        <v>2272</v>
      </c>
      <c r="E17" s="9" t="s">
        <v>2273</v>
      </c>
      <c r="F17" s="11">
        <v>4.183826</v>
      </c>
      <c r="G17" s="8" t="s">
        <v>2120</v>
      </c>
      <c r="H17" s="9" t="s">
        <v>2121</v>
      </c>
      <c r="I17" s="10">
        <v>0.0235147703831137</v>
      </c>
    </row>
    <row r="18" spans="1:9">
      <c r="A18" s="8" t="s">
        <v>2080</v>
      </c>
      <c r="B18" s="9" t="s">
        <v>2081</v>
      </c>
      <c r="C18" s="10">
        <v>0.00715660301630873</v>
      </c>
      <c r="D18" s="8" t="s">
        <v>2306</v>
      </c>
      <c r="E18" s="9" t="s">
        <v>2307</v>
      </c>
      <c r="F18" s="11">
        <v>4.052076</v>
      </c>
      <c r="G18" s="8" t="s">
        <v>602</v>
      </c>
      <c r="H18" s="9" t="s">
        <v>603</v>
      </c>
      <c r="I18" s="10">
        <v>0.0202813956209693</v>
      </c>
    </row>
    <row r="19" spans="1:9">
      <c r="A19" s="8" t="s">
        <v>2076</v>
      </c>
      <c r="B19" s="9" t="s">
        <v>2077</v>
      </c>
      <c r="C19" s="10">
        <v>0.00713070311406718</v>
      </c>
      <c r="D19" s="8" t="s">
        <v>514</v>
      </c>
      <c r="E19" s="9" t="s">
        <v>515</v>
      </c>
      <c r="F19" s="11">
        <v>3.764305</v>
      </c>
      <c r="G19" s="8" t="s">
        <v>2272</v>
      </c>
      <c r="H19" s="9" t="s">
        <v>2273</v>
      </c>
      <c r="I19" s="10">
        <v>0.0195071881172934</v>
      </c>
    </row>
    <row r="20" spans="1:9">
      <c r="A20" s="8" t="s">
        <v>280</v>
      </c>
      <c r="B20" s="9" t="s">
        <v>281</v>
      </c>
      <c r="C20" s="10">
        <v>0.00675044059568693</v>
      </c>
      <c r="D20" s="8" t="s">
        <v>290</v>
      </c>
      <c r="E20" s="9" t="s">
        <v>291</v>
      </c>
      <c r="F20" s="11">
        <v>3.168507</v>
      </c>
      <c r="G20" s="8" t="s">
        <v>1306</v>
      </c>
      <c r="H20" s="9" t="s">
        <v>1307</v>
      </c>
      <c r="I20" s="10">
        <v>0.0194534721632615</v>
      </c>
    </row>
    <row r="21" spans="1:9">
      <c r="A21" s="8" t="s">
        <v>2096</v>
      </c>
      <c r="B21" s="9" t="s">
        <v>2097</v>
      </c>
      <c r="C21" s="10">
        <v>0.00580725994602152</v>
      </c>
      <c r="D21" s="8" t="s">
        <v>2060</v>
      </c>
      <c r="E21" s="9" t="s">
        <v>2061</v>
      </c>
      <c r="F21" s="11">
        <v>3.120013</v>
      </c>
      <c r="G21" s="8" t="s">
        <v>3423</v>
      </c>
      <c r="H21" s="9" t="s">
        <v>3424</v>
      </c>
      <c r="I21" s="10">
        <v>0.0192562710014474</v>
      </c>
    </row>
    <row r="22" spans="1:9">
      <c r="A22" s="8" t="s">
        <v>1306</v>
      </c>
      <c r="B22" s="9" t="s">
        <v>1307</v>
      </c>
      <c r="C22" s="10">
        <v>0.00557646261417576</v>
      </c>
      <c r="D22" s="8" t="s">
        <v>124</v>
      </c>
      <c r="E22" s="9" t="s">
        <v>125</v>
      </c>
      <c r="F22" s="11">
        <v>3.107142</v>
      </c>
      <c r="G22" s="8" t="s">
        <v>290</v>
      </c>
      <c r="H22" s="9" t="s">
        <v>291</v>
      </c>
      <c r="I22" s="10">
        <v>0.0182941642103069</v>
      </c>
    </row>
    <row r="23" spans="1:9">
      <c r="A23" s="8" t="s">
        <v>2228</v>
      </c>
      <c r="B23" s="9" t="s">
        <v>2229</v>
      </c>
      <c r="C23" s="10">
        <v>0.00520508180892573</v>
      </c>
      <c r="D23" s="8" t="s">
        <v>522</v>
      </c>
      <c r="E23" s="9" t="s">
        <v>523</v>
      </c>
      <c r="F23" s="11">
        <v>2.843699</v>
      </c>
      <c r="G23" s="8" t="s">
        <v>514</v>
      </c>
      <c r="H23" s="9" t="s">
        <v>515</v>
      </c>
      <c r="I23" s="10">
        <v>0.0158883581933773</v>
      </c>
    </row>
    <row r="26" ht="15" customHeight="1" spans="1:9">
      <c r="A26" s="6" t="s">
        <v>3694</v>
      </c>
      <c r="D26" s="6" t="s">
        <v>3695</v>
      </c>
      <c r="G26" s="6" t="s">
        <v>3696</v>
      </c>
    </row>
    <row r="27" spans="1:9">
      <c r="A27" s="7" t="s">
        <v>1</v>
      </c>
      <c r="B27" s="7" t="s">
        <v>2</v>
      </c>
      <c r="C27" s="7" t="s">
        <v>11</v>
      </c>
      <c r="D27" s="7" t="s">
        <v>1</v>
      </c>
      <c r="E27" s="7" t="s">
        <v>2</v>
      </c>
      <c r="F27" s="7" t="s">
        <v>3690</v>
      </c>
      <c r="G27" s="7" t="s">
        <v>1</v>
      </c>
      <c r="H27" s="7" t="s">
        <v>2</v>
      </c>
      <c r="I27" s="7" t="s">
        <v>3686</v>
      </c>
    </row>
    <row r="28" spans="1:9">
      <c r="A28" s="12" t="s">
        <v>1190</v>
      </c>
      <c r="B28" s="13" t="s">
        <v>1191</v>
      </c>
      <c r="C28" s="14">
        <v>-0.0504998457145588</v>
      </c>
      <c r="D28" s="12" t="s">
        <v>1984</v>
      </c>
      <c r="E28" s="13" t="s">
        <v>1985</v>
      </c>
      <c r="F28" s="15">
        <v>-46.401302</v>
      </c>
      <c r="G28" s="12" t="s">
        <v>1952</v>
      </c>
      <c r="H28" s="13" t="s">
        <v>1953</v>
      </c>
      <c r="I28" s="14">
        <v>-0.0678801180124453</v>
      </c>
    </row>
    <row r="29" spans="1:9">
      <c r="A29" s="12" t="s">
        <v>1262</v>
      </c>
      <c r="B29" s="13" t="s">
        <v>1263</v>
      </c>
      <c r="C29" s="14">
        <v>-0.0433569324996191</v>
      </c>
      <c r="D29" s="12" t="s">
        <v>1982</v>
      </c>
      <c r="E29" s="13" t="s">
        <v>1983</v>
      </c>
      <c r="F29" s="15">
        <v>-37.000494</v>
      </c>
      <c r="G29" s="12" t="s">
        <v>1190</v>
      </c>
      <c r="H29" s="13" t="s">
        <v>1191</v>
      </c>
      <c r="I29" s="14">
        <v>-0.0503891561717957</v>
      </c>
    </row>
    <row r="30" spans="1:9">
      <c r="A30" s="12" t="s">
        <v>2218</v>
      </c>
      <c r="B30" s="13" t="s">
        <v>2219</v>
      </c>
      <c r="C30" s="14">
        <v>-0.0367704194683355</v>
      </c>
      <c r="D30" s="12" t="s">
        <v>1262</v>
      </c>
      <c r="E30" s="13" t="s">
        <v>1263</v>
      </c>
      <c r="F30" s="15">
        <v>-19.289962</v>
      </c>
      <c r="G30" s="12" t="s">
        <v>2353</v>
      </c>
      <c r="H30" s="13" t="s">
        <v>2354</v>
      </c>
      <c r="I30" s="14">
        <v>-0.0494249037034658</v>
      </c>
    </row>
    <row r="31" spans="1:9">
      <c r="A31" s="12" t="s">
        <v>1984</v>
      </c>
      <c r="B31" s="13" t="s">
        <v>1985</v>
      </c>
      <c r="C31" s="14">
        <v>-0.0261546860812377</v>
      </c>
      <c r="D31" s="12" t="s">
        <v>2226</v>
      </c>
      <c r="E31" s="13" t="s">
        <v>2227</v>
      </c>
      <c r="F31" s="15">
        <v>-19.16174</v>
      </c>
      <c r="G31" s="12" t="s">
        <v>1984</v>
      </c>
      <c r="H31" s="13" t="s">
        <v>1985</v>
      </c>
      <c r="I31" s="14">
        <v>-0.0469465936806431</v>
      </c>
    </row>
    <row r="32" spans="1:9">
      <c r="A32" s="12" t="s">
        <v>3389</v>
      </c>
      <c r="B32" s="13" t="s">
        <v>3390</v>
      </c>
      <c r="C32" s="14">
        <v>-0.0260969868418992</v>
      </c>
      <c r="D32" s="12" t="s">
        <v>1952</v>
      </c>
      <c r="E32" s="13" t="s">
        <v>1953</v>
      </c>
      <c r="F32" s="15">
        <v>-17.048399</v>
      </c>
      <c r="G32" s="12" t="s">
        <v>2114</v>
      </c>
      <c r="H32" s="13" t="s">
        <v>2115</v>
      </c>
      <c r="I32" s="14">
        <v>-0.0446877567196344</v>
      </c>
    </row>
    <row r="33" spans="1:9">
      <c r="A33" s="12" t="s">
        <v>2340</v>
      </c>
      <c r="B33" s="13" t="s">
        <v>2341</v>
      </c>
      <c r="C33" s="14">
        <v>-0.0230246067425949</v>
      </c>
      <c r="D33" s="12" t="s">
        <v>2100</v>
      </c>
      <c r="E33" s="13" t="s">
        <v>2101</v>
      </c>
      <c r="F33" s="15">
        <v>-13.964015</v>
      </c>
      <c r="G33" s="12" t="s">
        <v>2340</v>
      </c>
      <c r="H33" s="13" t="s">
        <v>2341</v>
      </c>
      <c r="I33" s="14">
        <v>-0.044449557801569</v>
      </c>
    </row>
    <row r="34" spans="1:9">
      <c r="A34" s="12" t="s">
        <v>1988</v>
      </c>
      <c r="B34" s="13" t="s">
        <v>1989</v>
      </c>
      <c r="C34" s="14">
        <v>-0.0213881415609189</v>
      </c>
      <c r="D34" s="12" t="s">
        <v>2094</v>
      </c>
      <c r="E34" s="13" t="s">
        <v>2095</v>
      </c>
      <c r="F34" s="15">
        <v>-13.588643</v>
      </c>
      <c r="G34" s="12" t="s">
        <v>2266</v>
      </c>
      <c r="H34" s="13" t="s">
        <v>2267</v>
      </c>
      <c r="I34" s="14">
        <v>-0.0402235575634419</v>
      </c>
    </row>
    <row r="35" spans="1:9">
      <c r="A35" s="12" t="s">
        <v>2110</v>
      </c>
      <c r="B35" s="13" t="s">
        <v>2111</v>
      </c>
      <c r="C35" s="14">
        <v>-0.0211163626879446</v>
      </c>
      <c r="D35" s="12" t="s">
        <v>1988</v>
      </c>
      <c r="E35" s="13" t="s">
        <v>1989</v>
      </c>
      <c r="F35" s="15">
        <v>-11.032414</v>
      </c>
      <c r="G35" s="12" t="s">
        <v>2100</v>
      </c>
      <c r="H35" s="13" t="s">
        <v>2101</v>
      </c>
      <c r="I35" s="14">
        <v>-0.0371460181991831</v>
      </c>
    </row>
    <row r="36" spans="1:9">
      <c r="A36" s="12" t="s">
        <v>3405</v>
      </c>
      <c r="B36" s="13" t="s">
        <v>3406</v>
      </c>
      <c r="C36" s="14">
        <v>-0.0205462480291012</v>
      </c>
      <c r="D36" s="12" t="s">
        <v>1190</v>
      </c>
      <c r="E36" s="13" t="s">
        <v>1191</v>
      </c>
      <c r="F36" s="15">
        <v>-8.837372</v>
      </c>
      <c r="G36" s="12" t="s">
        <v>1262</v>
      </c>
      <c r="H36" s="13" t="s">
        <v>1263</v>
      </c>
      <c r="I36" s="14">
        <v>-0.0341099437196137</v>
      </c>
    </row>
    <row r="37" spans="1:9">
      <c r="A37" s="12" t="s">
        <v>1982</v>
      </c>
      <c r="B37" s="13" t="s">
        <v>1983</v>
      </c>
      <c r="C37" s="14">
        <v>-0.0205041005302498</v>
      </c>
      <c r="D37" s="12" t="s">
        <v>1072</v>
      </c>
      <c r="E37" s="13" t="s">
        <v>1073</v>
      </c>
      <c r="F37" s="15">
        <v>-8.719097</v>
      </c>
      <c r="G37" s="12" t="s">
        <v>2226</v>
      </c>
      <c r="H37" s="13" t="s">
        <v>2227</v>
      </c>
      <c r="I37" s="14">
        <v>-0.0337217552555726</v>
      </c>
    </row>
    <row r="38" spans="1:9">
      <c r="A38" s="12" t="s">
        <v>2160</v>
      </c>
      <c r="B38" s="13" t="s">
        <v>2161</v>
      </c>
      <c r="C38" s="14">
        <v>-0.0199818444207561</v>
      </c>
      <c r="D38" s="12" t="s">
        <v>2284</v>
      </c>
      <c r="E38" s="13" t="s">
        <v>2285</v>
      </c>
      <c r="F38" s="15">
        <v>-8.308824</v>
      </c>
      <c r="G38" s="12" t="s">
        <v>2433</v>
      </c>
      <c r="H38" s="13" t="s">
        <v>2434</v>
      </c>
      <c r="I38" s="14">
        <v>-0.0304739658114206</v>
      </c>
    </row>
    <row r="39" spans="1:9">
      <c r="A39" s="12" t="s">
        <v>1366</v>
      </c>
      <c r="B39" s="13" t="s">
        <v>1367</v>
      </c>
      <c r="C39" s="14">
        <v>-0.0199002800525025</v>
      </c>
      <c r="D39" s="12" t="s">
        <v>2258</v>
      </c>
      <c r="E39" s="13" t="s">
        <v>2259</v>
      </c>
      <c r="F39" s="15">
        <v>-8.278609</v>
      </c>
      <c r="G39" s="12" t="s">
        <v>1982</v>
      </c>
      <c r="H39" s="13" t="s">
        <v>1983</v>
      </c>
      <c r="I39" s="14">
        <v>-0.0266807390831791</v>
      </c>
    </row>
    <row r="40" spans="1:9">
      <c r="A40" s="12" t="s">
        <v>2214</v>
      </c>
      <c r="B40" s="13" t="s">
        <v>2215</v>
      </c>
      <c r="C40" s="14">
        <v>-0.0195533644200226</v>
      </c>
      <c r="D40" s="12" t="s">
        <v>2353</v>
      </c>
      <c r="E40" s="13" t="s">
        <v>2354</v>
      </c>
      <c r="F40" s="15">
        <v>-8.197849</v>
      </c>
      <c r="G40" s="12" t="s">
        <v>2389</v>
      </c>
      <c r="H40" s="13" t="s">
        <v>2390</v>
      </c>
      <c r="I40" s="14">
        <v>-0.0263036696781433</v>
      </c>
    </row>
    <row r="41" spans="1:9">
      <c r="A41" s="12" t="s">
        <v>1110</v>
      </c>
      <c r="B41" s="13" t="s">
        <v>1111</v>
      </c>
      <c r="C41" s="14">
        <v>-0.0155284635067662</v>
      </c>
      <c r="D41" s="12" t="s">
        <v>2266</v>
      </c>
      <c r="E41" s="13" t="s">
        <v>2267</v>
      </c>
      <c r="F41" s="15">
        <v>-7.889668</v>
      </c>
      <c r="G41" s="12" t="s">
        <v>2310</v>
      </c>
      <c r="H41" s="13" t="s">
        <v>2311</v>
      </c>
      <c r="I41" s="14">
        <v>-0.0238726819067029</v>
      </c>
    </row>
    <row r="42" spans="1:9">
      <c r="A42" s="12" t="s">
        <v>1072</v>
      </c>
      <c r="B42" s="13" t="s">
        <v>1073</v>
      </c>
      <c r="C42" s="14">
        <v>-0.0143301674401793</v>
      </c>
      <c r="D42" s="12" t="s">
        <v>2310</v>
      </c>
      <c r="E42" s="13" t="s">
        <v>2311</v>
      </c>
      <c r="F42" s="15">
        <v>-6.594254</v>
      </c>
      <c r="G42" s="12" t="s">
        <v>2258</v>
      </c>
      <c r="H42" s="13" t="s">
        <v>2259</v>
      </c>
      <c r="I42" s="14">
        <v>-0.0236742447369074</v>
      </c>
    </row>
    <row r="43" spans="1:9">
      <c r="A43" s="12" t="s">
        <v>1360</v>
      </c>
      <c r="B43" s="13" t="s">
        <v>1361</v>
      </c>
      <c r="C43" s="14">
        <v>-0.0137789911352549</v>
      </c>
      <c r="D43" s="12" t="s">
        <v>1296</v>
      </c>
      <c r="E43" s="13" t="s">
        <v>1297</v>
      </c>
      <c r="F43" s="15">
        <v>-6.520289</v>
      </c>
      <c r="G43" s="12" t="s">
        <v>624</v>
      </c>
      <c r="H43" s="13" t="s">
        <v>625</v>
      </c>
      <c r="I43" s="14">
        <v>-0.0231533453864975</v>
      </c>
    </row>
    <row r="44" spans="1:9">
      <c r="A44" s="12" t="s">
        <v>282</v>
      </c>
      <c r="B44" s="13" t="s">
        <v>283</v>
      </c>
      <c r="C44" s="14">
        <v>-0.0124216165721429</v>
      </c>
      <c r="D44" s="12" t="s">
        <v>2274</v>
      </c>
      <c r="E44" s="13" t="s">
        <v>2275</v>
      </c>
      <c r="F44" s="15">
        <v>-6.112291</v>
      </c>
      <c r="G44" s="12" t="s">
        <v>2218</v>
      </c>
      <c r="H44" s="13" t="s">
        <v>2219</v>
      </c>
      <c r="I44" s="14">
        <v>-0.0221818231644923</v>
      </c>
    </row>
    <row r="45" spans="1:9">
      <c r="A45" s="12" t="s">
        <v>492</v>
      </c>
      <c r="B45" s="13" t="s">
        <v>493</v>
      </c>
      <c r="C45" s="14">
        <v>-0.0122200276836883</v>
      </c>
      <c r="D45" s="12" t="s">
        <v>2340</v>
      </c>
      <c r="E45" s="13" t="s">
        <v>2341</v>
      </c>
      <c r="F45" s="15">
        <v>-6.097346</v>
      </c>
      <c r="G45" s="12" t="s">
        <v>2202</v>
      </c>
      <c r="H45" s="13" t="s">
        <v>2203</v>
      </c>
      <c r="I45" s="14">
        <v>-0.0218427292043498</v>
      </c>
    </row>
    <row r="46" spans="1:9">
      <c r="A46" s="12" t="s">
        <v>2433</v>
      </c>
      <c r="B46" s="13" t="s">
        <v>2434</v>
      </c>
      <c r="C46" s="14">
        <v>-0.0117414939179653</v>
      </c>
      <c r="D46" s="12" t="s">
        <v>2114</v>
      </c>
      <c r="E46" s="13" t="s">
        <v>2115</v>
      </c>
      <c r="F46" s="15">
        <v>-6.018819</v>
      </c>
      <c r="G46" s="12" t="s">
        <v>2094</v>
      </c>
      <c r="H46" s="13" t="s">
        <v>2095</v>
      </c>
      <c r="I46" s="14">
        <v>-0.0215590728841066</v>
      </c>
    </row>
    <row r="47" spans="1:9">
      <c r="A47" s="12" t="s">
        <v>2074</v>
      </c>
      <c r="B47" s="13" t="s">
        <v>2075</v>
      </c>
      <c r="C47" s="14">
        <v>-0.0104985551578598</v>
      </c>
      <c r="D47" s="12" t="s">
        <v>2761</v>
      </c>
      <c r="E47" s="13" t="s">
        <v>2762</v>
      </c>
      <c r="F47" s="15">
        <v>-5.947479</v>
      </c>
      <c r="G47" s="12" t="s">
        <v>1072</v>
      </c>
      <c r="H47" s="13" t="s">
        <v>1073</v>
      </c>
      <c r="I47" s="14">
        <v>-0.0211808984489295</v>
      </c>
    </row>
  </sheetData>
  <mergeCells count="11">
    <mergeCell ref="A2:C2"/>
    <mergeCell ref="D2:F2"/>
    <mergeCell ref="G2:I2"/>
    <mergeCell ref="J2:M2"/>
    <mergeCell ref="A26:C26"/>
    <mergeCell ref="D26:F26"/>
    <mergeCell ref="G26:I26"/>
    <mergeCell ref="J26:M26"/>
    <mergeCell ref="A30:C30"/>
    <mergeCell ref="D30:F30"/>
    <mergeCell ref="G30:I3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workbookViewId="0">
      <selection activeCell="A28" sqref="A28:I48"/>
    </sheetView>
  </sheetViews>
  <sheetFormatPr defaultColWidth="9" defaultRowHeight="13.5"/>
  <cols>
    <col min="1" max="1" width="10" style="2" customWidth="1"/>
    <col min="2" max="2" width="22" style="2" customWidth="1"/>
    <col min="3" max="3" width="14" style="2" customWidth="1"/>
    <col min="4" max="4" width="10" customWidth="1"/>
    <col min="5" max="5" width="22" customWidth="1"/>
    <col min="6" max="6" width="14" customWidth="1"/>
    <col min="7" max="7" width="10" style="2" customWidth="1"/>
    <col min="8" max="8" width="22" style="2" customWidth="1"/>
    <col min="9" max="9" width="14" style="3" customWidth="1"/>
    <col min="10" max="12" width="20.625" customWidth="1"/>
    <col min="13" max="13" width="20.625" style="4" customWidth="1"/>
  </cols>
  <sheetData>
    <row r="1" ht="22" customHeight="1" spans="1:9">
      <c r="A1" s="5" t="s">
        <v>13</v>
      </c>
    </row>
    <row r="2" s="1" customFormat="1" ht="12" customHeight="1" spans="1:9">
      <c r="A2" s="6" t="s">
        <v>3691</v>
      </c>
      <c r="D2" s="6" t="s">
        <v>3692</v>
      </c>
      <c r="G2" s="6" t="s">
        <v>3693</v>
      </c>
    </row>
    <row r="3" spans="1:9">
      <c r="A3" s="7" t="s">
        <v>1</v>
      </c>
      <c r="B3" s="7" t="s">
        <v>2</v>
      </c>
      <c r="C3" s="7" t="s">
        <v>11</v>
      </c>
      <c r="D3" s="7" t="s">
        <v>1</v>
      </c>
      <c r="E3" s="7" t="s">
        <v>2</v>
      </c>
      <c r="F3" s="7" t="s">
        <v>3685</v>
      </c>
      <c r="G3" s="7" t="s">
        <v>1</v>
      </c>
      <c r="H3" s="7" t="s">
        <v>2</v>
      </c>
      <c r="I3" s="7" t="s">
        <v>3686</v>
      </c>
    </row>
    <row r="4" spans="1:9">
      <c r="A4" s="8" t="s">
        <v>234</v>
      </c>
      <c r="B4" s="9" t="s">
        <v>235</v>
      </c>
      <c r="C4" s="10">
        <v>0.284750038224407</v>
      </c>
      <c r="D4" s="8" t="s">
        <v>708</v>
      </c>
      <c r="E4" s="9" t="s">
        <v>709</v>
      </c>
      <c r="F4" s="11">
        <v>9.949104</v>
      </c>
      <c r="G4" s="8" t="s">
        <v>2058</v>
      </c>
      <c r="H4" s="9" t="s">
        <v>2059</v>
      </c>
      <c r="I4" s="10">
        <v>0.342296280128905</v>
      </c>
    </row>
    <row r="5" spans="1:9">
      <c r="A5" s="8" t="s">
        <v>2032</v>
      </c>
      <c r="B5" s="9" t="s">
        <v>2033</v>
      </c>
      <c r="C5" s="10">
        <v>0.201818159475103</v>
      </c>
      <c r="D5" s="8" t="s">
        <v>2090</v>
      </c>
      <c r="E5" s="9" t="s">
        <v>2091</v>
      </c>
      <c r="F5" s="11">
        <v>7.463702</v>
      </c>
      <c r="G5" s="8" t="s">
        <v>234</v>
      </c>
      <c r="H5" s="9" t="s">
        <v>235</v>
      </c>
      <c r="I5" s="10">
        <v>0.280332572372687</v>
      </c>
    </row>
    <row r="6" spans="1:9">
      <c r="A6" s="8" t="s">
        <v>2058</v>
      </c>
      <c r="B6" s="9" t="s">
        <v>2059</v>
      </c>
      <c r="C6" s="10">
        <v>0.189812332439678</v>
      </c>
      <c r="D6" s="8" t="s">
        <v>2058</v>
      </c>
      <c r="E6" s="9" t="s">
        <v>2059</v>
      </c>
      <c r="F6" s="11">
        <v>6.983629</v>
      </c>
      <c r="G6" s="8" t="s">
        <v>3391</v>
      </c>
      <c r="H6" s="9" t="s">
        <v>3392</v>
      </c>
      <c r="I6" s="10">
        <v>0.210629284281846</v>
      </c>
    </row>
    <row r="7" spans="1:9">
      <c r="A7" s="8" t="s">
        <v>174</v>
      </c>
      <c r="B7" s="9" t="s">
        <v>175</v>
      </c>
      <c r="C7" s="10">
        <v>0.171459515462153</v>
      </c>
      <c r="D7" s="8" t="s">
        <v>382</v>
      </c>
      <c r="E7" s="9" t="s">
        <v>383</v>
      </c>
      <c r="F7" s="11">
        <v>4.281316</v>
      </c>
      <c r="G7" s="8" t="s">
        <v>174</v>
      </c>
      <c r="H7" s="9" t="s">
        <v>175</v>
      </c>
      <c r="I7" s="10">
        <v>0.204788620597103</v>
      </c>
    </row>
    <row r="8" spans="1:9">
      <c r="A8" s="8" t="s">
        <v>3559</v>
      </c>
      <c r="B8" s="9" t="s">
        <v>3560</v>
      </c>
      <c r="C8" s="10">
        <v>0.150865472786462</v>
      </c>
      <c r="D8" s="8" t="s">
        <v>992</v>
      </c>
      <c r="E8" s="9" t="s">
        <v>993</v>
      </c>
      <c r="F8" s="11">
        <v>4.135346</v>
      </c>
      <c r="G8" s="8" t="s">
        <v>490</v>
      </c>
      <c r="H8" s="9" t="s">
        <v>491</v>
      </c>
      <c r="I8" s="10">
        <v>0.174418608807358</v>
      </c>
    </row>
    <row r="9" spans="1:9">
      <c r="A9" s="8" t="s">
        <v>3421</v>
      </c>
      <c r="B9" s="9" t="s">
        <v>3422</v>
      </c>
      <c r="C9" s="10">
        <v>0.13211203100229</v>
      </c>
      <c r="D9" s="8" t="s">
        <v>2405</v>
      </c>
      <c r="E9" s="9" t="s">
        <v>2406</v>
      </c>
      <c r="F9" s="11">
        <v>3.805163</v>
      </c>
      <c r="G9" s="8" t="s">
        <v>3421</v>
      </c>
      <c r="H9" s="9" t="s">
        <v>3422</v>
      </c>
      <c r="I9" s="10">
        <v>0.146414380265368</v>
      </c>
    </row>
    <row r="10" spans="1:9">
      <c r="A10" s="8" t="s">
        <v>1044</v>
      </c>
      <c r="B10" s="9" t="s">
        <v>1045</v>
      </c>
      <c r="C10" s="10">
        <v>0.122995309219856</v>
      </c>
      <c r="D10" s="8" t="s">
        <v>2917</v>
      </c>
      <c r="E10" s="9" t="s">
        <v>2918</v>
      </c>
      <c r="F10" s="11">
        <v>3.621853</v>
      </c>
      <c r="G10" s="8" t="s">
        <v>494</v>
      </c>
      <c r="H10" s="9" t="s">
        <v>495</v>
      </c>
      <c r="I10" s="10">
        <v>0.141797973463088</v>
      </c>
    </row>
    <row r="11" spans="1:9">
      <c r="A11" s="8" t="s">
        <v>1850</v>
      </c>
      <c r="B11" s="9" t="s">
        <v>1851</v>
      </c>
      <c r="C11" s="10">
        <v>0.114662988505747</v>
      </c>
      <c r="D11" s="8" t="s">
        <v>126</v>
      </c>
      <c r="E11" s="9" t="s">
        <v>127</v>
      </c>
      <c r="F11" s="11">
        <v>3.073158</v>
      </c>
      <c r="G11" s="8" t="s">
        <v>3527</v>
      </c>
      <c r="H11" s="9" t="s">
        <v>3528</v>
      </c>
      <c r="I11" s="10">
        <v>0.125472484109586</v>
      </c>
    </row>
    <row r="12" spans="1:9">
      <c r="A12" s="8" t="s">
        <v>3119</v>
      </c>
      <c r="B12" s="9" t="s">
        <v>3120</v>
      </c>
      <c r="C12" s="10">
        <v>0.105494690979676</v>
      </c>
      <c r="D12" s="8" t="s">
        <v>1330</v>
      </c>
      <c r="E12" s="9" t="s">
        <v>1331</v>
      </c>
      <c r="F12" s="11">
        <v>3.02093</v>
      </c>
      <c r="G12" s="8" t="s">
        <v>1044</v>
      </c>
      <c r="H12" s="9" t="s">
        <v>1045</v>
      </c>
      <c r="I12" s="10">
        <v>0.121804337672181</v>
      </c>
    </row>
    <row r="13" spans="1:9">
      <c r="A13" s="8" t="s">
        <v>490</v>
      </c>
      <c r="B13" s="9" t="s">
        <v>491</v>
      </c>
      <c r="C13" s="10">
        <v>0.100940197374424</v>
      </c>
      <c r="D13" s="8" t="s">
        <v>3433</v>
      </c>
      <c r="E13" s="9" t="s">
        <v>3434</v>
      </c>
      <c r="F13" s="11">
        <v>2.595557</v>
      </c>
      <c r="G13" s="8" t="s">
        <v>708</v>
      </c>
      <c r="H13" s="9" t="s">
        <v>709</v>
      </c>
      <c r="I13" s="10">
        <v>0.119555980291891</v>
      </c>
    </row>
    <row r="14" spans="1:9">
      <c r="A14" s="8" t="s">
        <v>2991</v>
      </c>
      <c r="B14" s="9" t="s">
        <v>2992</v>
      </c>
      <c r="C14" s="10">
        <v>0.0957957842887947</v>
      </c>
      <c r="D14" s="8" t="s">
        <v>2415</v>
      </c>
      <c r="E14" s="9" t="s">
        <v>2416</v>
      </c>
      <c r="F14" s="11">
        <v>2.553779</v>
      </c>
      <c r="G14" s="8" t="s">
        <v>688</v>
      </c>
      <c r="H14" s="9" t="s">
        <v>689</v>
      </c>
      <c r="I14" s="10">
        <v>0.118807857033111</v>
      </c>
    </row>
    <row r="15" spans="1:9">
      <c r="A15" s="8" t="s">
        <v>1736</v>
      </c>
      <c r="B15" s="9" t="s">
        <v>1737</v>
      </c>
      <c r="C15" s="10">
        <v>0.0926830101053997</v>
      </c>
      <c r="D15" s="8" t="s">
        <v>3399</v>
      </c>
      <c r="E15" s="9" t="s">
        <v>3400</v>
      </c>
      <c r="F15" s="11">
        <v>2.354931</v>
      </c>
      <c r="G15" s="8" t="s">
        <v>198</v>
      </c>
      <c r="H15" s="9" t="s">
        <v>199</v>
      </c>
      <c r="I15" s="10">
        <v>0.11795366438766</v>
      </c>
    </row>
    <row r="16" spans="1:9">
      <c r="A16" s="8" t="s">
        <v>3403</v>
      </c>
      <c r="B16" s="9" t="s">
        <v>3404</v>
      </c>
      <c r="C16" s="10">
        <v>0.0891384766234345</v>
      </c>
      <c r="D16" s="8" t="s">
        <v>1266</v>
      </c>
      <c r="E16" s="9" t="s">
        <v>1267</v>
      </c>
      <c r="F16" s="11">
        <v>2.334656</v>
      </c>
      <c r="G16" s="8" t="s">
        <v>3469</v>
      </c>
      <c r="H16" s="9" t="s">
        <v>3470</v>
      </c>
      <c r="I16" s="10">
        <v>0.116652867322701</v>
      </c>
    </row>
    <row r="17" spans="1:9">
      <c r="A17" s="8" t="s">
        <v>3501</v>
      </c>
      <c r="B17" s="9" t="s">
        <v>3502</v>
      </c>
      <c r="C17" s="10">
        <v>0.0839379622151991</v>
      </c>
      <c r="D17" s="8" t="s">
        <v>1308</v>
      </c>
      <c r="E17" s="9" t="s">
        <v>1309</v>
      </c>
      <c r="F17" s="11">
        <v>2.26581</v>
      </c>
      <c r="G17" s="8" t="s">
        <v>3453</v>
      </c>
      <c r="H17" s="9" t="s">
        <v>3454</v>
      </c>
      <c r="I17" s="10">
        <v>0.116128283019675</v>
      </c>
    </row>
    <row r="18" spans="1:9">
      <c r="A18" s="8" t="s">
        <v>2917</v>
      </c>
      <c r="B18" s="9" t="s">
        <v>2918</v>
      </c>
      <c r="C18" s="10">
        <v>0.0827763009835137</v>
      </c>
      <c r="D18" s="8" t="s">
        <v>1086</v>
      </c>
      <c r="E18" s="9" t="s">
        <v>1087</v>
      </c>
      <c r="F18" s="11">
        <v>2.11159</v>
      </c>
      <c r="G18" s="8" t="s">
        <v>2917</v>
      </c>
      <c r="H18" s="9" t="s">
        <v>2918</v>
      </c>
      <c r="I18" s="10">
        <v>0.111863818588438</v>
      </c>
    </row>
    <row r="19" spans="1:9">
      <c r="A19" s="8" t="s">
        <v>3117</v>
      </c>
      <c r="B19" s="9" t="s">
        <v>3118</v>
      </c>
      <c r="C19" s="10">
        <v>0.0771505722000771</v>
      </c>
      <c r="D19" s="8" t="s">
        <v>1060</v>
      </c>
      <c r="E19" s="9" t="s">
        <v>1061</v>
      </c>
      <c r="F19" s="11">
        <v>2.031619</v>
      </c>
      <c r="G19" s="8" t="s">
        <v>1850</v>
      </c>
      <c r="H19" s="9" t="s">
        <v>1851</v>
      </c>
      <c r="I19" s="10">
        <v>0.109988109393579</v>
      </c>
    </row>
    <row r="20" spans="1:9">
      <c r="A20" s="8" t="s">
        <v>2961</v>
      </c>
      <c r="B20" s="9" t="s">
        <v>2962</v>
      </c>
      <c r="C20" s="10">
        <v>0.0764212617845059</v>
      </c>
      <c r="D20" s="8" t="s">
        <v>2557</v>
      </c>
      <c r="E20" s="9" t="s">
        <v>2558</v>
      </c>
      <c r="F20" s="11">
        <v>1.99362</v>
      </c>
      <c r="G20" s="8" t="s">
        <v>3147</v>
      </c>
      <c r="H20" s="9" t="s">
        <v>3148</v>
      </c>
      <c r="I20" s="10">
        <v>0.103786116426005</v>
      </c>
    </row>
    <row r="21" spans="1:9">
      <c r="A21" s="8" t="s">
        <v>3527</v>
      </c>
      <c r="B21" s="9" t="s">
        <v>3528</v>
      </c>
      <c r="C21" s="10">
        <v>0.0724821512702497</v>
      </c>
      <c r="D21" s="8" t="s">
        <v>1338</v>
      </c>
      <c r="E21" s="9" t="s">
        <v>1339</v>
      </c>
      <c r="F21" s="11">
        <v>1.887193</v>
      </c>
      <c r="G21" s="8" t="s">
        <v>240</v>
      </c>
      <c r="H21" s="9" t="s">
        <v>241</v>
      </c>
      <c r="I21" s="10">
        <v>0.0981770128652082</v>
      </c>
    </row>
    <row r="22" spans="1:9">
      <c r="A22" s="8" t="s">
        <v>1380</v>
      </c>
      <c r="B22" s="9" t="s">
        <v>1381</v>
      </c>
      <c r="C22" s="10">
        <v>0.0702215914087927</v>
      </c>
      <c r="D22" s="8" t="s">
        <v>1104</v>
      </c>
      <c r="E22" s="9" t="s">
        <v>1105</v>
      </c>
      <c r="F22" s="11">
        <v>1.847778</v>
      </c>
      <c r="G22" s="8" t="s">
        <v>992</v>
      </c>
      <c r="H22" s="9" t="s">
        <v>993</v>
      </c>
      <c r="I22" s="10">
        <v>0.0923894384762733</v>
      </c>
    </row>
    <row r="23" spans="1:9">
      <c r="A23" s="8" t="s">
        <v>964</v>
      </c>
      <c r="B23" s="9" t="s">
        <v>965</v>
      </c>
      <c r="C23" s="10">
        <v>0.0698239416379153</v>
      </c>
      <c r="D23" s="8" t="s">
        <v>494</v>
      </c>
      <c r="E23" s="9" t="s">
        <v>495</v>
      </c>
      <c r="F23" s="11">
        <v>1.70794</v>
      </c>
      <c r="G23" s="8" t="s">
        <v>2036</v>
      </c>
      <c r="H23" s="9" t="s">
        <v>2037</v>
      </c>
      <c r="I23" s="10">
        <v>0.0920436872118928</v>
      </c>
    </row>
    <row r="26" ht="15" customHeight="1" spans="1:9">
      <c r="A26" s="6" t="s">
        <v>3694</v>
      </c>
      <c r="D26" s="6" t="s">
        <v>3695</v>
      </c>
      <c r="G26" s="6" t="s">
        <v>3696</v>
      </c>
    </row>
    <row r="27" spans="1:9">
      <c r="A27" s="7" t="s">
        <v>1</v>
      </c>
      <c r="B27" s="7" t="s">
        <v>2</v>
      </c>
      <c r="C27" s="7" t="s">
        <v>11</v>
      </c>
      <c r="D27" s="7" t="s">
        <v>1</v>
      </c>
      <c r="E27" s="7" t="s">
        <v>2</v>
      </c>
      <c r="F27" s="7" t="s">
        <v>3690</v>
      </c>
      <c r="G27" s="7" t="s">
        <v>1</v>
      </c>
      <c r="H27" s="7" t="s">
        <v>2</v>
      </c>
      <c r="I27" s="7" t="s">
        <v>3686</v>
      </c>
    </row>
    <row r="28" spans="1:9">
      <c r="A28" s="12" t="s">
        <v>2012</v>
      </c>
      <c r="B28" s="13" t="s">
        <v>2013</v>
      </c>
      <c r="C28" s="14">
        <v>-0.438975781706123</v>
      </c>
      <c r="D28" s="12" t="s">
        <v>796</v>
      </c>
      <c r="E28" s="13" t="s">
        <v>797</v>
      </c>
      <c r="F28" s="15">
        <v>-7.170759</v>
      </c>
      <c r="G28" s="12" t="s">
        <v>3087</v>
      </c>
      <c r="H28" s="13" t="s">
        <v>3088</v>
      </c>
      <c r="I28" s="14">
        <v>-0.342478419755046</v>
      </c>
    </row>
    <row r="29" spans="1:9">
      <c r="A29" s="12" t="s">
        <v>3255</v>
      </c>
      <c r="B29" s="13" t="s">
        <v>3256</v>
      </c>
      <c r="C29" s="14">
        <v>-0.229939923702486</v>
      </c>
      <c r="D29" s="12" t="s">
        <v>2138</v>
      </c>
      <c r="E29" s="13" t="s">
        <v>2139</v>
      </c>
      <c r="F29" s="15">
        <v>-3.424874</v>
      </c>
      <c r="G29" s="12" t="s">
        <v>3487</v>
      </c>
      <c r="H29" s="13" t="s">
        <v>3488</v>
      </c>
      <c r="I29" s="14">
        <v>-0.214501266989173</v>
      </c>
    </row>
    <row r="30" spans="1:9">
      <c r="A30" s="12" t="s">
        <v>3479</v>
      </c>
      <c r="B30" s="13" t="s">
        <v>3480</v>
      </c>
      <c r="C30" s="14">
        <v>-0.203920319591693</v>
      </c>
      <c r="D30" s="12" t="s">
        <v>2381</v>
      </c>
      <c r="E30" s="13" t="s">
        <v>2382</v>
      </c>
      <c r="F30" s="15">
        <v>-3.176838</v>
      </c>
      <c r="G30" s="12" t="s">
        <v>1818</v>
      </c>
      <c r="H30" s="13" t="s">
        <v>1819</v>
      </c>
      <c r="I30" s="14">
        <v>-0.184038625390514</v>
      </c>
    </row>
    <row r="31" spans="1:9">
      <c r="A31" s="12" t="s">
        <v>3611</v>
      </c>
      <c r="B31" s="13" t="s">
        <v>3612</v>
      </c>
      <c r="C31" s="14">
        <v>-0.192428576926531</v>
      </c>
      <c r="D31" s="12" t="s">
        <v>2537</v>
      </c>
      <c r="E31" s="13" t="s">
        <v>2538</v>
      </c>
      <c r="F31" s="15">
        <v>-2.983629</v>
      </c>
      <c r="G31" s="12" t="s">
        <v>738</v>
      </c>
      <c r="H31" s="13" t="s">
        <v>739</v>
      </c>
      <c r="I31" s="14">
        <v>-0.168604462342892</v>
      </c>
    </row>
    <row r="32" spans="1:9">
      <c r="A32" s="12" t="s">
        <v>1818</v>
      </c>
      <c r="B32" s="13" t="s">
        <v>1819</v>
      </c>
      <c r="C32" s="14">
        <v>-0.184214791975048</v>
      </c>
      <c r="D32" s="12" t="s">
        <v>2355</v>
      </c>
      <c r="E32" s="13" t="s">
        <v>2356</v>
      </c>
      <c r="F32" s="15">
        <v>-2.936972</v>
      </c>
      <c r="G32" s="12" t="s">
        <v>88</v>
      </c>
      <c r="H32" s="13" t="s">
        <v>89</v>
      </c>
      <c r="I32" s="14">
        <v>-0.160433587938299</v>
      </c>
    </row>
    <row r="33" spans="1:9">
      <c r="A33" s="12" t="s">
        <v>738</v>
      </c>
      <c r="B33" s="13" t="s">
        <v>739</v>
      </c>
      <c r="C33" s="14">
        <v>-0.175278309090152</v>
      </c>
      <c r="D33" s="12" t="s">
        <v>2230</v>
      </c>
      <c r="E33" s="13" t="s">
        <v>2231</v>
      </c>
      <c r="F33" s="15">
        <v>-2.586307</v>
      </c>
      <c r="G33" s="12" t="s">
        <v>646</v>
      </c>
      <c r="H33" s="13" t="s">
        <v>647</v>
      </c>
      <c r="I33" s="14">
        <v>-0.160152799331503</v>
      </c>
    </row>
    <row r="34" spans="1:9">
      <c r="A34" s="12" t="s">
        <v>3481</v>
      </c>
      <c r="B34" s="13" t="s">
        <v>3482</v>
      </c>
      <c r="C34" s="14">
        <v>-0.171147156603927</v>
      </c>
      <c r="D34" s="12" t="s">
        <v>1078</v>
      </c>
      <c r="E34" s="13" t="s">
        <v>1079</v>
      </c>
      <c r="F34" s="15">
        <v>-2.425083</v>
      </c>
      <c r="G34" s="12" t="s">
        <v>1302</v>
      </c>
      <c r="H34" s="13" t="s">
        <v>1303</v>
      </c>
      <c r="I34" s="14">
        <v>-0.137800424694417</v>
      </c>
    </row>
    <row r="35" spans="1:9">
      <c r="A35" s="12" t="s">
        <v>88</v>
      </c>
      <c r="B35" s="13" t="s">
        <v>89</v>
      </c>
      <c r="C35" s="14">
        <v>-0.165056762426394</v>
      </c>
      <c r="D35" s="12" t="s">
        <v>2256</v>
      </c>
      <c r="E35" s="13" t="s">
        <v>2257</v>
      </c>
      <c r="F35" s="15">
        <v>-2.373949</v>
      </c>
      <c r="G35" s="12" t="s">
        <v>3171</v>
      </c>
      <c r="H35" s="13" t="s">
        <v>3172</v>
      </c>
      <c r="I35" s="14">
        <v>-0.110522521735331</v>
      </c>
    </row>
    <row r="36" spans="1:9">
      <c r="A36" s="12" t="s">
        <v>646</v>
      </c>
      <c r="B36" s="13" t="s">
        <v>647</v>
      </c>
      <c r="C36" s="14">
        <v>-0.164163762108103</v>
      </c>
      <c r="D36" s="12" t="s">
        <v>2897</v>
      </c>
      <c r="E36" s="13" t="s">
        <v>2898</v>
      </c>
      <c r="F36" s="15">
        <v>-2.001436</v>
      </c>
      <c r="G36" s="12" t="s">
        <v>82</v>
      </c>
      <c r="H36" s="13" t="s">
        <v>83</v>
      </c>
      <c r="I36" s="14">
        <v>-0.106817582789675</v>
      </c>
    </row>
    <row r="37" spans="1:9">
      <c r="A37" s="12" t="s">
        <v>3061</v>
      </c>
      <c r="B37" s="13" t="s">
        <v>3062</v>
      </c>
      <c r="C37" s="14">
        <v>-0.149302452157047</v>
      </c>
      <c r="D37" s="12" t="s">
        <v>1976</v>
      </c>
      <c r="E37" s="13" t="s">
        <v>1977</v>
      </c>
      <c r="F37" s="15">
        <v>-1.979979</v>
      </c>
      <c r="G37" s="12" t="s">
        <v>3609</v>
      </c>
      <c r="H37" s="13" t="s">
        <v>3610</v>
      </c>
      <c r="I37" s="14">
        <v>-0.105982024946493</v>
      </c>
    </row>
    <row r="38" spans="1:9">
      <c r="A38" s="12" t="s">
        <v>3485</v>
      </c>
      <c r="B38" s="13" t="s">
        <v>3486</v>
      </c>
      <c r="C38" s="14">
        <v>-0.138258803197235</v>
      </c>
      <c r="D38" s="12" t="s">
        <v>2345</v>
      </c>
      <c r="E38" s="13" t="s">
        <v>2346</v>
      </c>
      <c r="F38" s="15">
        <v>-1.808995</v>
      </c>
      <c r="G38" s="12" t="s">
        <v>28</v>
      </c>
      <c r="H38" s="13" t="s">
        <v>29</v>
      </c>
      <c r="I38" s="14">
        <v>-0.102186385358447</v>
      </c>
    </row>
    <row r="39" spans="1:9">
      <c r="A39" s="12" t="s">
        <v>3077</v>
      </c>
      <c r="B39" s="13" t="s">
        <v>3078</v>
      </c>
      <c r="C39" s="14">
        <v>-0.131690711195686</v>
      </c>
      <c r="D39" s="12" t="s">
        <v>876</v>
      </c>
      <c r="E39" s="13" t="s">
        <v>877</v>
      </c>
      <c r="F39" s="15">
        <v>-1.771403</v>
      </c>
      <c r="G39" s="12" t="s">
        <v>3611</v>
      </c>
      <c r="H39" s="13" t="s">
        <v>3612</v>
      </c>
      <c r="I39" s="14">
        <v>-0.0940043480505727</v>
      </c>
    </row>
    <row r="40" spans="1:9">
      <c r="A40" s="12" t="s">
        <v>3599</v>
      </c>
      <c r="B40" s="13" t="s">
        <v>3600</v>
      </c>
      <c r="C40" s="14">
        <v>-0.12678027235572</v>
      </c>
      <c r="D40" s="12" t="s">
        <v>1188</v>
      </c>
      <c r="E40" s="13" t="s">
        <v>1189</v>
      </c>
      <c r="F40" s="15">
        <v>-1.63782</v>
      </c>
      <c r="G40" s="12" t="s">
        <v>666</v>
      </c>
      <c r="H40" s="13" t="s">
        <v>667</v>
      </c>
      <c r="I40" s="14">
        <v>-0.0934771625346794</v>
      </c>
    </row>
    <row r="41" spans="1:9">
      <c r="A41" s="12" t="s">
        <v>1302</v>
      </c>
      <c r="B41" s="13" t="s">
        <v>1303</v>
      </c>
      <c r="C41" s="14">
        <v>-0.126466494403282</v>
      </c>
      <c r="D41" s="12" t="s">
        <v>2553</v>
      </c>
      <c r="E41" s="13" t="s">
        <v>2554</v>
      </c>
      <c r="F41" s="15">
        <v>-1.4957</v>
      </c>
      <c r="G41" s="12" t="s">
        <v>1882</v>
      </c>
      <c r="H41" s="13" t="s">
        <v>1883</v>
      </c>
      <c r="I41" s="14">
        <v>-0.0926327794585861</v>
      </c>
    </row>
    <row r="42" spans="1:9">
      <c r="A42" s="12" t="s">
        <v>2889</v>
      </c>
      <c r="B42" s="13" t="s">
        <v>2890</v>
      </c>
      <c r="C42" s="14">
        <v>-0.116412350454904</v>
      </c>
      <c r="D42" s="12" t="s">
        <v>2441</v>
      </c>
      <c r="E42" s="13" t="s">
        <v>2442</v>
      </c>
      <c r="F42" s="15">
        <v>-1.46223</v>
      </c>
      <c r="G42" s="12" t="s">
        <v>438</v>
      </c>
      <c r="H42" s="13" t="s">
        <v>439</v>
      </c>
      <c r="I42" s="14">
        <v>-0.0913165794988954</v>
      </c>
    </row>
    <row r="43" spans="1:9">
      <c r="A43" s="12" t="s">
        <v>30</v>
      </c>
      <c r="B43" s="13" t="s">
        <v>31</v>
      </c>
      <c r="C43" s="14">
        <v>-0.103589791424027</v>
      </c>
      <c r="D43" s="12" t="s">
        <v>3227</v>
      </c>
      <c r="E43" s="13" t="s">
        <v>3228</v>
      </c>
      <c r="F43" s="15">
        <v>-1.339986</v>
      </c>
      <c r="G43" s="12" t="s">
        <v>2643</v>
      </c>
      <c r="H43" s="13" t="s">
        <v>2644</v>
      </c>
      <c r="I43" s="14">
        <v>-0.0880286355184591</v>
      </c>
    </row>
    <row r="44" spans="1:9">
      <c r="A44" s="12" t="s">
        <v>438</v>
      </c>
      <c r="B44" s="13" t="s">
        <v>439</v>
      </c>
      <c r="C44" s="14">
        <v>-0.102788719636983</v>
      </c>
      <c r="D44" s="12" t="s">
        <v>3139</v>
      </c>
      <c r="E44" s="13" t="s">
        <v>3140</v>
      </c>
      <c r="F44" s="15">
        <v>-1.32468</v>
      </c>
      <c r="G44" s="12" t="s">
        <v>2138</v>
      </c>
      <c r="H44" s="13" t="s">
        <v>2139</v>
      </c>
      <c r="I44" s="14">
        <v>-0.0840005841259887</v>
      </c>
    </row>
    <row r="45" spans="1:9">
      <c r="A45" s="12" t="s">
        <v>3609</v>
      </c>
      <c r="B45" s="13" t="s">
        <v>3610</v>
      </c>
      <c r="C45" s="14">
        <v>-0.101423307075966</v>
      </c>
      <c r="D45" s="12" t="s">
        <v>632</v>
      </c>
      <c r="E45" s="13" t="s">
        <v>633</v>
      </c>
      <c r="F45" s="15">
        <v>-1.279086</v>
      </c>
      <c r="G45" s="12" t="s">
        <v>684</v>
      </c>
      <c r="H45" s="13" t="s">
        <v>685</v>
      </c>
      <c r="I45" s="14">
        <v>-0.0839206961467069</v>
      </c>
    </row>
    <row r="46" spans="1:9">
      <c r="A46" s="12" t="s">
        <v>82</v>
      </c>
      <c r="B46" s="13" t="s">
        <v>83</v>
      </c>
      <c r="C46" s="14">
        <v>-0.0995996606579802</v>
      </c>
      <c r="D46" s="12" t="s">
        <v>2280</v>
      </c>
      <c r="E46" s="13" t="s">
        <v>2281</v>
      </c>
      <c r="F46" s="15">
        <v>-1.224214</v>
      </c>
      <c r="G46" s="12" t="s">
        <v>3101</v>
      </c>
      <c r="H46" s="13" t="s">
        <v>3102</v>
      </c>
      <c r="I46" s="14">
        <v>-0.0820452901406708</v>
      </c>
    </row>
    <row r="47" spans="1:9">
      <c r="A47" s="12" t="s">
        <v>2811</v>
      </c>
      <c r="B47" s="13" t="s">
        <v>2812</v>
      </c>
      <c r="C47" s="14">
        <v>-0.099059411079914</v>
      </c>
      <c r="D47" s="12" t="s">
        <v>686</v>
      </c>
      <c r="E47" s="13" t="s">
        <v>687</v>
      </c>
      <c r="F47" s="15">
        <v>-1.174119</v>
      </c>
      <c r="G47" s="12" t="s">
        <v>744</v>
      </c>
      <c r="H47" s="13" t="s">
        <v>745</v>
      </c>
      <c r="I47" s="14">
        <v>-0.0813416705264783</v>
      </c>
    </row>
  </sheetData>
  <mergeCells count="11">
    <mergeCell ref="A2:C2"/>
    <mergeCell ref="D2:F2"/>
    <mergeCell ref="G2:I2"/>
    <mergeCell ref="J2:M2"/>
    <mergeCell ref="A26:C26"/>
    <mergeCell ref="D26:F26"/>
    <mergeCell ref="G26:I26"/>
    <mergeCell ref="J26:M26"/>
    <mergeCell ref="A30:C30"/>
    <mergeCell ref="D30:F30"/>
    <mergeCell ref="G30:I3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全市场ETF数据</vt:lpstr>
      <vt:lpstr>全部排行榜</vt:lpstr>
      <vt:lpstr>大市值排行榜</vt:lpstr>
      <vt:lpstr>小市值排行版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一二（71cm）</cp:lastModifiedBy>
  <dcterms:created xsi:type="dcterms:W3CDTF">2026-06-16T02:20:00Z</dcterms:created>
  <dcterms:modified xsi:type="dcterms:W3CDTF">2026-06-19T08:10:02Z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E35CB70D384D45AFB82964DF5A21ED04_13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